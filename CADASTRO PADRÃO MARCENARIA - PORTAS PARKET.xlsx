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chau\OneDrive\Documentos\"/>
    </mc:Choice>
  </mc:AlternateContent>
  <xr:revisionPtr revIDLastSave="0" documentId="13_ncr:1_{5782FA89-FFCC-40CA-BCAC-C0A7BA5FF60E}" xr6:coauthVersionLast="47" xr6:coauthVersionMax="47" xr10:uidLastSave="{00000000-0000-0000-0000-000000000000}"/>
  <bookViews>
    <workbookView xWindow="1515" yWindow="0" windowWidth="27315" windowHeight="15585" tabRatio="746" activeTab="5" xr2:uid="{00000000-000D-0000-FFFF-FFFF00000000}"/>
  </bookViews>
  <sheets>
    <sheet name="Tabela de preços" sheetId="12" r:id="rId1"/>
    <sheet name="Produtos Geris " sheetId="1" state="hidden" r:id="rId2"/>
    <sheet name="Produtos Cir" sheetId="2" state="hidden" r:id="rId3"/>
    <sheet name="Produtos Correr DN150 " sheetId="3" state="hidden" r:id="rId4"/>
    <sheet name="Produtos Camarão" sheetId="4" state="hidden" r:id="rId5"/>
    <sheet name="EM BRANCO" sheetId="14" r:id="rId6"/>
    <sheet name="Grade Geris WC" sheetId="5" r:id="rId7"/>
    <sheet name="Grade Geris Interno" sheetId="6" r:id="rId8"/>
    <sheet name="Grade Geris Externo" sheetId="7" r:id="rId9"/>
    <sheet name="Grade Correr DN150" sheetId="8" r:id="rId10"/>
    <sheet name="Grade CIR WC" sheetId="9" r:id="rId11"/>
    <sheet name="Grade CIR Interno" sheetId="10" r:id="rId12"/>
    <sheet name="Grade CIR Externo" sheetId="11" r:id="rId13"/>
  </sheets>
  <calcPr calcId="191029"/>
</workbook>
</file>

<file path=xl/calcChain.xml><?xml version="1.0" encoding="utf-8"?>
<calcChain xmlns="http://schemas.openxmlformats.org/spreadsheetml/2006/main">
  <c r="B41" i="14" l="1"/>
  <c r="B40" i="14"/>
  <c r="B39" i="14"/>
  <c r="B38" i="14"/>
  <c r="B37" i="14"/>
  <c r="E37" i="14" s="1"/>
  <c r="F37" i="14" s="1"/>
  <c r="B36" i="14"/>
  <c r="E36" i="14" s="1"/>
  <c r="B33" i="14"/>
  <c r="B32" i="14"/>
  <c r="B31" i="14"/>
  <c r="B30" i="14"/>
  <c r="E30" i="14" s="1"/>
  <c r="B29" i="14"/>
  <c r="E29" i="14" s="1"/>
  <c r="B28" i="14"/>
  <c r="B27" i="14"/>
  <c r="B26" i="14"/>
  <c r="B25" i="14"/>
  <c r="B24" i="14"/>
  <c r="E24" i="14" s="1"/>
  <c r="B23" i="14"/>
  <c r="E23" i="14" s="1"/>
  <c r="B22" i="14"/>
  <c r="E22" i="14" s="1"/>
  <c r="B21" i="14"/>
  <c r="E21" i="14" s="1"/>
  <c r="B20" i="14"/>
  <c r="E20" i="14" s="1"/>
  <c r="B19" i="14"/>
  <c r="E19" i="14" s="1"/>
  <c r="B18" i="14"/>
  <c r="E18" i="14" s="1"/>
  <c r="B17" i="14"/>
  <c r="E17" i="14" s="1"/>
  <c r="B6" i="14"/>
  <c r="E6" i="14" s="1"/>
  <c r="F6" i="14" s="1"/>
  <c r="B7" i="14"/>
  <c r="B8" i="14"/>
  <c r="B9" i="14"/>
  <c r="B10" i="14"/>
  <c r="E10" i="14" s="1"/>
  <c r="F10" i="14" s="1"/>
  <c r="B11" i="14"/>
  <c r="E11" i="14" s="1"/>
  <c r="F11" i="14" s="1"/>
  <c r="B12" i="14"/>
  <c r="B13" i="14"/>
  <c r="B14" i="14"/>
  <c r="E14" i="14" s="1"/>
  <c r="F14" i="14" s="1"/>
  <c r="B5" i="14"/>
  <c r="E5" i="14" s="1"/>
  <c r="E41" i="14"/>
  <c r="F41" i="14" s="1"/>
  <c r="E40" i="14"/>
  <c r="E39" i="14"/>
  <c r="E38" i="14"/>
  <c r="E13" i="14"/>
  <c r="F13" i="14" s="1"/>
  <c r="E12" i="14"/>
  <c r="E9" i="14"/>
  <c r="E8" i="14"/>
  <c r="F8" i="14" s="1"/>
  <c r="E7" i="14"/>
  <c r="E25" i="14"/>
  <c r="E26" i="14"/>
  <c r="F26" i="14" s="1"/>
  <c r="E27" i="14"/>
  <c r="E28" i="14"/>
  <c r="F28" i="14" s="1"/>
  <c r="E31" i="14"/>
  <c r="E32" i="14"/>
  <c r="F32" i="14" s="1"/>
  <c r="E33" i="14"/>
  <c r="D6" i="14"/>
  <c r="F7" i="14"/>
  <c r="D7" i="14"/>
  <c r="D8" i="14"/>
  <c r="D9" i="14"/>
  <c r="D38" i="14"/>
  <c r="D39" i="14"/>
  <c r="D40" i="14"/>
  <c r="D41" i="14"/>
  <c r="D19" i="14"/>
  <c r="D20" i="14"/>
  <c r="D21" i="14"/>
  <c r="D22" i="14"/>
  <c r="D23" i="14"/>
  <c r="D24" i="14"/>
  <c r="D37" i="14"/>
  <c r="D36" i="14"/>
  <c r="D33" i="14"/>
  <c r="F33" i="14"/>
  <c r="D32" i="14"/>
  <c r="D31" i="14"/>
  <c r="D30" i="14"/>
  <c r="D29" i="14"/>
  <c r="D28" i="14"/>
  <c r="D27" i="14"/>
  <c r="D26" i="14"/>
  <c r="D25" i="14"/>
  <c r="D18" i="14"/>
  <c r="D17" i="14"/>
  <c r="D14" i="14"/>
  <c r="D13" i="14"/>
  <c r="D12" i="14"/>
  <c r="D11" i="14"/>
  <c r="D10" i="14"/>
  <c r="D5" i="14"/>
  <c r="I29" i="5"/>
  <c r="I28" i="5"/>
  <c r="I25" i="5"/>
  <c r="I24" i="5"/>
  <c r="I23" i="5"/>
  <c r="I22" i="5"/>
  <c r="I21" i="5"/>
  <c r="I20" i="5"/>
  <c r="I19" i="5"/>
  <c r="I18" i="5"/>
  <c r="I17" i="5"/>
  <c r="I16" i="5"/>
  <c r="I15" i="5"/>
  <c r="I8" i="5"/>
  <c r="I9" i="5"/>
  <c r="I10" i="5"/>
  <c r="I11" i="5"/>
  <c r="I12" i="5"/>
  <c r="I7" i="5"/>
  <c r="B29" i="5"/>
  <c r="C29" i="5" s="1"/>
  <c r="B28" i="5"/>
  <c r="C28" i="5" s="1"/>
  <c r="B25" i="5"/>
  <c r="C25" i="5" s="1"/>
  <c r="B24" i="5"/>
  <c r="C24" i="5" s="1"/>
  <c r="B23" i="5"/>
  <c r="C23" i="5" s="1"/>
  <c r="D23" i="5" s="1"/>
  <c r="E23" i="5" s="1"/>
  <c r="F23" i="5" s="1"/>
  <c r="G23" i="5" s="1"/>
  <c r="B22" i="5"/>
  <c r="C22" i="5" s="1"/>
  <c r="D22" i="5" s="1"/>
  <c r="E22" i="5" s="1"/>
  <c r="F22" i="5" s="1"/>
  <c r="G22" i="5" s="1"/>
  <c r="B21" i="5"/>
  <c r="C21" i="5" s="1"/>
  <c r="B20" i="5"/>
  <c r="C20" i="5" s="1"/>
  <c r="D20" i="5" s="1"/>
  <c r="E20" i="5" s="1"/>
  <c r="F20" i="5" s="1"/>
  <c r="G20" i="5" s="1"/>
  <c r="B19" i="5"/>
  <c r="C19" i="5" s="1"/>
  <c r="D19" i="5" s="1"/>
  <c r="E19" i="5" s="1"/>
  <c r="F19" i="5" s="1"/>
  <c r="G19" i="5" s="1"/>
  <c r="B18" i="5"/>
  <c r="C18" i="5" s="1"/>
  <c r="D18" i="5" s="1"/>
  <c r="B17" i="5"/>
  <c r="C17" i="5" s="1"/>
  <c r="D17" i="5" s="1"/>
  <c r="B16" i="5"/>
  <c r="C16" i="5" s="1"/>
  <c r="D16" i="5" s="1"/>
  <c r="B15" i="5"/>
  <c r="C15" i="5" s="1"/>
  <c r="D15" i="5" s="1"/>
  <c r="E15" i="5" s="1"/>
  <c r="F15" i="5" s="1"/>
  <c r="G15" i="5" s="1"/>
  <c r="B12" i="5"/>
  <c r="B11" i="5"/>
  <c r="B10" i="5"/>
  <c r="B9" i="5"/>
  <c r="B8" i="5"/>
  <c r="B7" i="5"/>
  <c r="I13" i="11"/>
  <c r="J13" i="11" s="1"/>
  <c r="I12" i="11"/>
  <c r="J12" i="11" s="1"/>
  <c r="J17" i="8"/>
  <c r="K17" i="8" s="1"/>
  <c r="J18" i="8"/>
  <c r="K18" i="8" s="1"/>
  <c r="J19" i="8"/>
  <c r="K19" i="8" s="1"/>
  <c r="J20" i="8"/>
  <c r="K20" i="8" s="1"/>
  <c r="J23" i="8"/>
  <c r="K23" i="8" s="1"/>
  <c r="J24" i="8"/>
  <c r="K24" i="8" s="1"/>
  <c r="J16" i="8"/>
  <c r="K16" i="8" s="1"/>
  <c r="I18" i="11"/>
  <c r="J18" i="11" s="1"/>
  <c r="I19" i="11"/>
  <c r="J19" i="11" s="1"/>
  <c r="I20" i="11"/>
  <c r="J20" i="11" s="1"/>
  <c r="I21" i="11"/>
  <c r="J21" i="11" s="1"/>
  <c r="I22" i="11"/>
  <c r="J22" i="11" s="1"/>
  <c r="I24" i="11"/>
  <c r="J24" i="11" s="1"/>
  <c r="I25" i="11"/>
  <c r="J25" i="11" s="1"/>
  <c r="I17" i="11"/>
  <c r="J17" i="11" s="1"/>
  <c r="I8" i="11"/>
  <c r="J8" i="11" s="1"/>
  <c r="I9" i="11"/>
  <c r="J9" i="11" s="1"/>
  <c r="I10" i="11"/>
  <c r="J10" i="11" s="1"/>
  <c r="I11" i="11"/>
  <c r="J11" i="11" s="1"/>
  <c r="J14" i="7"/>
  <c r="K14" i="7" s="1"/>
  <c r="J11" i="6"/>
  <c r="J11" i="7"/>
  <c r="J11" i="9"/>
  <c r="J10" i="10"/>
  <c r="J11" i="8"/>
  <c r="J10" i="6"/>
  <c r="J10" i="7"/>
  <c r="J10" i="9"/>
  <c r="J10" i="8"/>
  <c r="F39" i="14" l="1"/>
  <c r="F12" i="14"/>
  <c r="F5" i="14"/>
  <c r="F9" i="14"/>
  <c r="F18" i="14"/>
  <c r="F20" i="14"/>
  <c r="F29" i="14"/>
  <c r="F31" i="14"/>
  <c r="F19" i="14"/>
  <c r="D29" i="5"/>
  <c r="E29" i="5" s="1"/>
  <c r="F29" i="5" s="1"/>
  <c r="G29" i="5" s="1"/>
  <c r="F40" i="14"/>
  <c r="F38" i="14"/>
  <c r="F24" i="14"/>
  <c r="F22" i="14"/>
  <c r="F23" i="14"/>
  <c r="F21" i="14"/>
  <c r="F17" i="14"/>
  <c r="F30" i="14"/>
  <c r="F25" i="14"/>
  <c r="F36" i="14"/>
  <c r="F27" i="14"/>
  <c r="I7" i="11"/>
  <c r="J7" i="11" s="1"/>
  <c r="J22" i="10"/>
  <c r="K22" i="10" s="1"/>
  <c r="J21" i="10"/>
  <c r="K21" i="10" s="1"/>
  <c r="J20" i="10"/>
  <c r="K20" i="10" s="1"/>
  <c r="J19" i="10"/>
  <c r="K19" i="10" s="1"/>
  <c r="J18" i="10"/>
  <c r="K18" i="10" s="1"/>
  <c r="J17" i="10"/>
  <c r="K17" i="10" s="1"/>
  <c r="J16" i="10"/>
  <c r="K16" i="10" s="1"/>
  <c r="J15" i="10"/>
  <c r="K15" i="10" s="1"/>
  <c r="J12" i="10"/>
  <c r="K12" i="10" s="1"/>
  <c r="J11" i="10"/>
  <c r="K11" i="10" s="1"/>
  <c r="K10" i="10"/>
  <c r="J9" i="10"/>
  <c r="K9" i="10" s="1"/>
  <c r="J8" i="10"/>
  <c r="K8" i="10" s="1"/>
  <c r="J7" i="10"/>
  <c r="K7" i="10" s="1"/>
  <c r="J22" i="9"/>
  <c r="K22" i="9" s="1"/>
  <c r="J21" i="9"/>
  <c r="K21" i="9" s="1"/>
  <c r="J19" i="9"/>
  <c r="K19" i="9" s="1"/>
  <c r="J18" i="9"/>
  <c r="K18" i="9" s="1"/>
  <c r="J17" i="9"/>
  <c r="K17" i="9" s="1"/>
  <c r="J16" i="9"/>
  <c r="K16" i="9" s="1"/>
  <c r="J15" i="9"/>
  <c r="K15" i="9" s="1"/>
  <c r="J12" i="9"/>
  <c r="K12" i="9" s="1"/>
  <c r="K11" i="9"/>
  <c r="K10" i="9"/>
  <c r="J9" i="9"/>
  <c r="K9" i="9" s="1"/>
  <c r="J8" i="9"/>
  <c r="K8" i="9" s="1"/>
  <c r="J7" i="9"/>
  <c r="K7" i="9" s="1"/>
  <c r="J13" i="8"/>
  <c r="K13" i="8" s="1"/>
  <c r="J12" i="8"/>
  <c r="K12" i="8" s="1"/>
  <c r="K11" i="8"/>
  <c r="K10" i="8"/>
  <c r="J9" i="8"/>
  <c r="K9" i="8" s="1"/>
  <c r="J8" i="8"/>
  <c r="K8" i="8" s="1"/>
  <c r="J7" i="8"/>
  <c r="K7" i="8" s="1"/>
  <c r="J24" i="7"/>
  <c r="K24" i="7" s="1"/>
  <c r="J23" i="7"/>
  <c r="K23" i="7" s="1"/>
  <c r="J22" i="7"/>
  <c r="K22" i="7" s="1"/>
  <c r="J21" i="7"/>
  <c r="K21" i="7" s="1"/>
  <c r="J19" i="7"/>
  <c r="K19" i="7" s="1"/>
  <c r="J18" i="7"/>
  <c r="K18" i="7" s="1"/>
  <c r="J17" i="7"/>
  <c r="K17" i="7" s="1"/>
  <c r="J16" i="7"/>
  <c r="K16" i="7" s="1"/>
  <c r="J15" i="7"/>
  <c r="K15" i="7" s="1"/>
  <c r="K11" i="7"/>
  <c r="K10" i="7"/>
  <c r="J9" i="7"/>
  <c r="K9" i="7" s="1"/>
  <c r="J8" i="7"/>
  <c r="K8" i="7" s="1"/>
  <c r="J7" i="7"/>
  <c r="K7" i="7" s="1"/>
  <c r="J30" i="6"/>
  <c r="K30" i="6" s="1"/>
  <c r="J29" i="6"/>
  <c r="K29" i="6" s="1"/>
  <c r="J25" i="6"/>
  <c r="K25" i="6" s="1"/>
  <c r="J24" i="6"/>
  <c r="K24" i="6" s="1"/>
  <c r="J23" i="6"/>
  <c r="K23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2" i="6"/>
  <c r="K12" i="6" s="1"/>
  <c r="K11" i="6"/>
  <c r="K10" i="6"/>
  <c r="J9" i="6"/>
  <c r="K9" i="6" s="1"/>
  <c r="J8" i="6"/>
  <c r="K8" i="6" s="1"/>
  <c r="J7" i="6"/>
  <c r="K7" i="6" s="1"/>
  <c r="J16" i="5"/>
  <c r="K16" i="5" s="1"/>
  <c r="J17" i="5"/>
  <c r="K17" i="5" s="1"/>
  <c r="J18" i="5"/>
  <c r="K18" i="5" s="1"/>
  <c r="J19" i="5"/>
  <c r="K19" i="5" s="1"/>
  <c r="J20" i="5"/>
  <c r="K20" i="5" s="1"/>
  <c r="D11" i="12"/>
  <c r="D8" i="12"/>
  <c r="J21" i="5" s="1"/>
  <c r="K21" i="5" s="1"/>
  <c r="D28" i="12"/>
  <c r="J27" i="7" s="1"/>
  <c r="K27" i="7" s="1"/>
  <c r="D19" i="12"/>
  <c r="E16" i="5" s="1"/>
  <c r="F16" i="5" s="1"/>
  <c r="G16" i="5" s="1"/>
  <c r="D4" i="12"/>
  <c r="J29" i="5" s="1"/>
  <c r="K29" i="5" s="1"/>
  <c r="J28" i="5"/>
  <c r="K28" i="5" s="1"/>
  <c r="J25" i="5"/>
  <c r="K25" i="5" s="1"/>
  <c r="J23" i="5"/>
  <c r="K23" i="5" s="1"/>
  <c r="J22" i="5"/>
  <c r="K22" i="5" s="1"/>
  <c r="J15" i="5"/>
  <c r="K15" i="5" s="1"/>
  <c r="J8" i="5"/>
  <c r="K8" i="5" s="1"/>
  <c r="J9" i="5"/>
  <c r="K9" i="5" s="1"/>
  <c r="J10" i="5"/>
  <c r="K10" i="5" s="1"/>
  <c r="J11" i="5"/>
  <c r="K11" i="5" s="1"/>
  <c r="J12" i="5"/>
  <c r="K12" i="5" s="1"/>
  <c r="J7" i="5"/>
  <c r="K7" i="5" s="1"/>
  <c r="F43" i="14" l="1"/>
  <c r="J28" i="7"/>
  <c r="K28" i="7" s="1"/>
  <c r="J24" i="5"/>
  <c r="K24" i="5" s="1"/>
  <c r="K31" i="5" s="1"/>
  <c r="J30" i="8"/>
  <c r="K30" i="8" s="1"/>
  <c r="I31" i="11"/>
  <c r="J31" i="11" s="1"/>
  <c r="J28" i="10"/>
  <c r="K28" i="10" s="1"/>
  <c r="J20" i="9"/>
  <c r="K20" i="9" s="1"/>
  <c r="J27" i="10"/>
  <c r="K27" i="10" s="1"/>
  <c r="I30" i="11"/>
  <c r="J30" i="11" s="1"/>
  <c r="J29" i="8"/>
  <c r="K29" i="8" s="1"/>
  <c r="J27" i="9"/>
  <c r="K27" i="9" s="1"/>
  <c r="I27" i="11"/>
  <c r="J27" i="11" s="1"/>
  <c r="J26" i="6"/>
  <c r="K26" i="6" s="1"/>
  <c r="J26" i="8"/>
  <c r="K26" i="8" s="1"/>
  <c r="J24" i="10"/>
  <c r="K24" i="10" s="1"/>
  <c r="J24" i="9"/>
  <c r="K24" i="9" s="1"/>
  <c r="J23" i="10"/>
  <c r="K23" i="10" s="1"/>
  <c r="D25" i="5"/>
  <c r="E25" i="5" s="1"/>
  <c r="F25" i="5" s="1"/>
  <c r="G25" i="5" s="1"/>
  <c r="J28" i="9"/>
  <c r="K28" i="9" s="1"/>
  <c r="E18" i="5"/>
  <c r="F18" i="5" s="1"/>
  <c r="G18" i="5" s="1"/>
  <c r="J23" i="9"/>
  <c r="K23" i="9" s="1"/>
  <c r="D24" i="5"/>
  <c r="E24" i="5" s="1"/>
  <c r="F24" i="5" s="1"/>
  <c r="G24" i="5" s="1"/>
  <c r="I23" i="11"/>
  <c r="J23" i="11" s="1"/>
  <c r="J22" i="8"/>
  <c r="K22" i="8" s="1"/>
  <c r="J21" i="8"/>
  <c r="K21" i="8" s="1"/>
  <c r="D28" i="5"/>
  <c r="E28" i="5" s="1"/>
  <c r="F28" i="5" s="1"/>
  <c r="G28" i="5" s="1"/>
  <c r="J22" i="6"/>
  <c r="K22" i="6" s="1"/>
  <c r="J20" i="7"/>
  <c r="K20" i="7" s="1"/>
  <c r="D21" i="5"/>
  <c r="E21" i="5" s="1"/>
  <c r="F21" i="5" s="1"/>
  <c r="G21" i="5" s="1"/>
  <c r="I26" i="11"/>
  <c r="J26" i="11" s="1"/>
  <c r="J25" i="8"/>
  <c r="K25" i="8" s="1"/>
  <c r="E17" i="5"/>
  <c r="F17" i="5" s="1"/>
  <c r="G17" i="5" s="1"/>
  <c r="K30" i="7" l="1"/>
  <c r="K30" i="10"/>
  <c r="K32" i="6"/>
  <c r="K32" i="8"/>
  <c r="J33" i="11"/>
  <c r="K30" i="9"/>
</calcChain>
</file>

<file path=xl/sharedStrings.xml><?xml version="1.0" encoding="utf-8"?>
<sst xmlns="http://schemas.openxmlformats.org/spreadsheetml/2006/main" count="1045" uniqueCount="320">
  <si>
    <t>GERIS WC</t>
  </si>
  <si>
    <t>METRAGEM (0.052X1.20X2.95)</t>
  </si>
  <si>
    <t>GERIS WC INTERNO</t>
  </si>
  <si>
    <t>GERIS WC EXTERNO</t>
  </si>
  <si>
    <t>Quadrado verde quer dizer que ja está cadastrado em sistema e colcoado a GRADE!</t>
  </si>
  <si>
    <t>Código</t>
  </si>
  <si>
    <t xml:space="preserve">Descrição </t>
  </si>
  <si>
    <t>PRICIPAIS</t>
  </si>
  <si>
    <t>PKTGER001</t>
  </si>
  <si>
    <t xml:space="preserve">PORTA PIVO GERIS WC LAM. CARVALHO EUROPEU </t>
  </si>
  <si>
    <t>PKTGER006</t>
  </si>
  <si>
    <t xml:space="preserve">PORTA PIVO GERIS INT. LAM. CARVALHO </t>
  </si>
  <si>
    <t>PKTGER011</t>
  </si>
  <si>
    <t xml:space="preserve">PORTA PIVO GERIS EXT. LAM. CARVALHO </t>
  </si>
  <si>
    <t>PKTGER002</t>
  </si>
  <si>
    <t xml:space="preserve">PORTA PIVO GERIS WC LAM. TAUARI NATURALLE </t>
  </si>
  <si>
    <t>PKTGER007</t>
  </si>
  <si>
    <t xml:space="preserve">PORTA PIVO GERIS INT. LAM. TAUARI </t>
  </si>
  <si>
    <t>PKTGER012</t>
  </si>
  <si>
    <t xml:space="preserve">PORTA PIVO GERIS EXT. LAM. TAUARI </t>
  </si>
  <si>
    <t>PKTGER003</t>
  </si>
  <si>
    <t xml:space="preserve">PORTA PIVO GERIS WC LAM. FREIJO </t>
  </si>
  <si>
    <t>PKTGER008</t>
  </si>
  <si>
    <t xml:space="preserve">PORTA PIVO GERIS INT. LAM. FREIJO </t>
  </si>
  <si>
    <t>PKTGER013</t>
  </si>
  <si>
    <t xml:space="preserve">PORTA PIVO GERIS EXT. LAM. FREIJO </t>
  </si>
  <si>
    <t>PKTGER004</t>
  </si>
  <si>
    <t xml:space="preserve">PORTA PIVO GERIS WC LAM. SUCUPIRA </t>
  </si>
  <si>
    <t>PKTGER009</t>
  </si>
  <si>
    <t xml:space="preserve">PORTA PIVO GERIS INT. LAM. SUCUPIRA </t>
  </si>
  <si>
    <t>PKTGER014</t>
  </si>
  <si>
    <t xml:space="preserve">PORTA PIVO GERIS EXT. LAM. SUCUPIRA </t>
  </si>
  <si>
    <t>PKTGER005</t>
  </si>
  <si>
    <t xml:space="preserve">PORTA PIVO GERIS WC LAM. NOGUEIRA </t>
  </si>
  <si>
    <t>PKTGER010</t>
  </si>
  <si>
    <t xml:space="preserve">PORTA PIVO GERIS INT. LAM. NOGUEIRA </t>
  </si>
  <si>
    <t>PKTGER015</t>
  </si>
  <si>
    <t xml:space="preserve">PORTA PIVO GERIS EXT. LAM. NOGUEIRA </t>
  </si>
  <si>
    <t>PKTGER016</t>
  </si>
  <si>
    <t xml:space="preserve">PORTA RIPADO PIVO GERIS WC LAM. CABREÚVA DOURADA TG  </t>
  </si>
  <si>
    <t>PKTGER009B</t>
  </si>
  <si>
    <t xml:space="preserve">PORTA PIVO GERIS INT. LAM. SUCUPIRA/CRU </t>
  </si>
  <si>
    <t>PKTGER018</t>
  </si>
  <si>
    <t xml:space="preserve">PORTA RIPADO PIVO GERIS EXT. LAM. CABREÚVA DOURADA TG  </t>
  </si>
  <si>
    <t>PKTGER019</t>
  </si>
  <si>
    <t xml:space="preserve">PORTA RIPADO PIVO GERIS WC LAM. PEROBA PREMIUM    </t>
  </si>
  <si>
    <t>PKTGER017</t>
  </si>
  <si>
    <t xml:space="preserve">PORTA RIPADO PIVO GERIS INT. LAM. CABREÚVA DOURADA TG  </t>
  </si>
  <si>
    <t>PKTGER021</t>
  </si>
  <si>
    <t xml:space="preserve">PORTA PIVO GERIS EXT. LAM. PEROBA PREMIUM  </t>
  </si>
  <si>
    <t>PKTGER022</t>
  </si>
  <si>
    <t xml:space="preserve">PORTA PIVO GERIS WC LACA BEGE </t>
  </si>
  <si>
    <t>PKTGER020</t>
  </si>
  <si>
    <t xml:space="preserve">PORTA PIVO GERIS INT. LAM. PEROBA PREMIUM   </t>
  </si>
  <si>
    <t>PKTGER025</t>
  </si>
  <si>
    <t>PKTGER023</t>
  </si>
  <si>
    <t xml:space="preserve">PORTA PIVO GERIS INT. LACA BEGE </t>
  </si>
  <si>
    <t>PKTGER024</t>
  </si>
  <si>
    <t xml:space="preserve">PORTA PIVO GERIS EXT. LACA BEGE </t>
  </si>
  <si>
    <t>PKTGER000</t>
  </si>
  <si>
    <t xml:space="preserve">PORTA PIVO GERIS WC LAM. CABREUVA VERMELHO WC </t>
  </si>
  <si>
    <t xml:space="preserve">PORTA PIVO GERIS WC LAM. CANELA WC </t>
  </si>
  <si>
    <t xml:space="preserve">PORTA PIVO GERIS WC LAM. CATUABA WC </t>
  </si>
  <si>
    <t xml:space="preserve">PORTA PIVO GERIS WC LAM. CEDRO ARANA WC </t>
  </si>
  <si>
    <t xml:space="preserve">PORTA PIVO GERIS WC LAM. CEDROWC </t>
  </si>
  <si>
    <t xml:space="preserve">PORTA PIVO GERIS WC LAM. CEREJEIRA WC </t>
  </si>
  <si>
    <t xml:space="preserve">PORTA PIVO GERIS WC LAM. CUMARU WC </t>
  </si>
  <si>
    <t xml:space="preserve">PORTA PIVO GERIS WC LAM. CURUPIXAWC </t>
  </si>
  <si>
    <t xml:space="preserve">PORTA PIVO GERIS WC LAM. DESCANSO DE MARFIM WC </t>
  </si>
  <si>
    <t xml:space="preserve">PORTA PIVO GERIS WC LAM. EUCALIPTOWC </t>
  </si>
  <si>
    <t xml:space="preserve">PORTA PIVO GERIS WC LAM. FIGUEIRA BRANCAWC </t>
  </si>
  <si>
    <t xml:space="preserve">PORTA PIVO GERIS WC LAM. FREIJO SUCUPIRA WC </t>
  </si>
  <si>
    <t xml:space="preserve">PORTA PIVO GERIS WC LAM. GARANPEIRAWC </t>
  </si>
  <si>
    <t xml:space="preserve">PORTA PIVO GERIS WC LAM. GOIABAO CLAROWC </t>
  </si>
  <si>
    <t xml:space="preserve">PORTA PIVO GERIS WC LAM. GOIABAO ESCUROWC </t>
  </si>
  <si>
    <t xml:space="preserve">PORTA PIVO GERIS WC LAM. GOIABAO IPE AMARELOWC </t>
  </si>
  <si>
    <t xml:space="preserve">PORTA PIVO GERIS WC LAM. IPE BRASIL WC </t>
  </si>
  <si>
    <t xml:space="preserve">PORTA PIVO GERIS WC LAM. IPE ESCUROWC </t>
  </si>
  <si>
    <t xml:space="preserve">PORTA PIVO GERIS WC LAM. ITAUBA WC </t>
  </si>
  <si>
    <t xml:space="preserve">PORTA PIVO GERIS WC LAM. JATOBA WC </t>
  </si>
  <si>
    <t xml:space="preserve">PORTA PIVO GERIS WC LAM. JEQUITIBA WC </t>
  </si>
  <si>
    <t xml:space="preserve">PORTA PIVO GERIS WC LAM. LOURO FAIA SBIANCATO WC </t>
  </si>
  <si>
    <t xml:space="preserve">PORTA PIVO GERIS WC LAM. LOURO FAIA WC </t>
  </si>
  <si>
    <t xml:space="preserve">PORTA PIVO GERIS WC LAM. LOURO PRETO WC </t>
  </si>
  <si>
    <t xml:space="preserve">PORTA PIVO GERIS WC LAM. LOURO MARFIMWC </t>
  </si>
  <si>
    <t xml:space="preserve">PORTA PIVO GERIS WC LAM. MUIRACATIARA WC </t>
  </si>
  <si>
    <t xml:space="preserve">PORTA PIVO GERIS WC LAM. MUIRAPIRANGA WC </t>
  </si>
  <si>
    <t xml:space="preserve">PORTA PIVO GERIS WC LAM. PEROBA DO CAMPOWC </t>
  </si>
  <si>
    <t xml:space="preserve">PORTA PIVO GERIS WC LAM. PEROBA MICAWC </t>
  </si>
  <si>
    <t xml:space="preserve">PORTA PIVO GERIS WC LAM. PEROBA ROSA WC </t>
  </si>
  <si>
    <t xml:space="preserve">PORTA PIVO GERIS WC LAM. PINHO WC </t>
  </si>
  <si>
    <t xml:space="preserve">PORTA PIVO GERIS WC LAM. PINOS WC </t>
  </si>
  <si>
    <t xml:space="preserve">PORTA PIVO GERIS WC LAM. ROXINHO WC </t>
  </si>
  <si>
    <t xml:space="preserve">PORTA PIVO GERIS WC LAM. SINAMOMO WC </t>
  </si>
  <si>
    <t xml:space="preserve">PORTA PIVO GERIS WC LAM. SUCUPIRA WC </t>
  </si>
  <si>
    <t xml:space="preserve">PORTA PIVO GERIS WC LAM. TAUARI BRANCO WC </t>
  </si>
  <si>
    <t xml:space="preserve">PORTA PIVO GERIS WC LAM. TAUARI CHAMPANHE WC </t>
  </si>
  <si>
    <t xml:space="preserve">PORTA PIVO GERIS WC LAM. TEKA NACIONALWC </t>
  </si>
  <si>
    <t xml:space="preserve">PORTA PIVO GERIS WC LAM. TIMBORANA WC </t>
  </si>
  <si>
    <t xml:space="preserve">PORTA PIVO GERIS WC LAM. NOGUEIRA WC </t>
  </si>
  <si>
    <t>CIR WC</t>
  </si>
  <si>
    <t>CIR INTERNO</t>
  </si>
  <si>
    <t>CIR EXTERNO</t>
  </si>
  <si>
    <t>PKTCIR001</t>
  </si>
  <si>
    <t xml:space="preserve">PORTA PIVO CIR WC LAM. CARVALHO EUROPEU </t>
  </si>
  <si>
    <t>PKTCIR006</t>
  </si>
  <si>
    <t xml:space="preserve">PORTA PIVO CIR INT LAM. CARVALHO EUROPEU </t>
  </si>
  <si>
    <t>PKTCIR011</t>
  </si>
  <si>
    <t xml:space="preserve">PORTA PIVO CIR EXT. LAM. CARVALHO EUROPEU </t>
  </si>
  <si>
    <t>PKTCIR002</t>
  </si>
  <si>
    <t xml:space="preserve">PORTA PIVO CIR WC LAM. TAUARI NATURALLE </t>
  </si>
  <si>
    <t>PKTCIR007</t>
  </si>
  <si>
    <t xml:space="preserve">PORTA PIVO CIR INT. LAM. TAUARI NATURALLE </t>
  </si>
  <si>
    <t>PKTCIR012</t>
  </si>
  <si>
    <t xml:space="preserve">PORTA PIVO CIR EXT.  LAM. TAUARI NATURALLE </t>
  </si>
  <si>
    <t>PKTCIR003</t>
  </si>
  <si>
    <t xml:space="preserve">PORTA PIVO CIR WC LAM. FREIJO </t>
  </si>
  <si>
    <t>PKTCIR008</t>
  </si>
  <si>
    <t xml:space="preserve">PORTA PIVO CIR INT. LAM.  FREIJO </t>
  </si>
  <si>
    <t>PKTCIR013</t>
  </si>
  <si>
    <t xml:space="preserve">PORTA PIVO CIR EXT.  LAM.  FREIJO </t>
  </si>
  <si>
    <t>PKTCIR004</t>
  </si>
  <si>
    <t xml:space="preserve">PORTA PIVO CIR WC LAM. SUCUPIRA </t>
  </si>
  <si>
    <t>PKTCIR009</t>
  </si>
  <si>
    <t xml:space="preserve">PORTA PIVO CIR INT. LAM. SUCUPIRA </t>
  </si>
  <si>
    <t>PKTCIR014</t>
  </si>
  <si>
    <t xml:space="preserve">PORTA PIVO CIR EXT.  LAM. SUCUPIRA </t>
  </si>
  <si>
    <t>PKTCIR005</t>
  </si>
  <si>
    <t xml:space="preserve">PORTA PIVO CIR WC LAM. NOGUEIRA </t>
  </si>
  <si>
    <t>PKTCIR010</t>
  </si>
  <si>
    <t xml:space="preserve">PORTA PIVO CIR INT. LAM. NOGUEIRA </t>
  </si>
  <si>
    <t>PKTCIR015</t>
  </si>
  <si>
    <t xml:space="preserve">PORTA PIVO CIR EXT.  LAM. NOGUEIRA </t>
  </si>
  <si>
    <t>PKTCIR016</t>
  </si>
  <si>
    <t xml:space="preserve">PORTA RIPADO PIVO CIR WC LAM. CABREÚVA DOURADA TG  </t>
  </si>
  <si>
    <t>PKTCIR017</t>
  </si>
  <si>
    <t xml:space="preserve">PORTA RIPADO PIVO CIR INT. LAM. CABREÚVA DOURADA TG  </t>
  </si>
  <si>
    <t>PKTCIR018</t>
  </si>
  <si>
    <t xml:space="preserve">PORTA RIPADO PIVO CIR EXT. LAM. CABREÚVA DOURADA TG  </t>
  </si>
  <si>
    <t xml:space="preserve">PORTA PIVO CIR WC LAM. CEDROWC </t>
  </si>
  <si>
    <t xml:space="preserve">PORTA PIVO CIR WC LAM. CEREJEIRA WC </t>
  </si>
  <si>
    <t xml:space="preserve">PORTA PIVO CIR WC LAM. CUMARU WC </t>
  </si>
  <si>
    <t xml:space="preserve">PORTA PIVO CIR WC LAM. CURUPIXAWC </t>
  </si>
  <si>
    <t xml:space="preserve">PORTA PIVO CIR WC LAM. DESCANSO DE MARFIM WC </t>
  </si>
  <si>
    <t xml:space="preserve">PORTA PIVO CIR WC LAM. EUCALIPTOWC </t>
  </si>
  <si>
    <t xml:space="preserve">PORTA PIVO CIR WC LAM. FIGUEIRA BRANCAWC </t>
  </si>
  <si>
    <t xml:space="preserve">PORTA PIVO CIR WC LAM. FREIJO SUCUPIRA WC </t>
  </si>
  <si>
    <t xml:space="preserve">PORTA PIVO CIR WC LAM. GARANPEIRAWC </t>
  </si>
  <si>
    <t xml:space="preserve">PORTA PIVO CIR WC LAM. GOIABAO CLAROWC </t>
  </si>
  <si>
    <t xml:space="preserve">PORTA PIVO CIR WC LAM. GOIABAO ESCUROWC </t>
  </si>
  <si>
    <t xml:space="preserve">PORTA PIVO CIR WC LAM. GOIABAO IPE AMARELOWC </t>
  </si>
  <si>
    <t xml:space="preserve">PORTA PIVO CIR WC LAM. IPE BRASIL WC </t>
  </si>
  <si>
    <t xml:space="preserve">PORTA PIVO CIR WC LAM. IPE ESCUROWC </t>
  </si>
  <si>
    <t xml:space="preserve">PORTA PIVO CIR WC LAM. ITAUBA WC </t>
  </si>
  <si>
    <t xml:space="preserve">PORTA PIVO CIR WC LAM. JATOBA WC </t>
  </si>
  <si>
    <t xml:space="preserve">PORTA PIVO CIR WC LAM. JEQUITIBA WC </t>
  </si>
  <si>
    <t xml:space="preserve">PORTA PIVO CIR WC LAM. LOURO FAIA SBIANCATO WC </t>
  </si>
  <si>
    <t xml:space="preserve">PORTA PIVO CIR WC LAM. LOURO FAIA WC </t>
  </si>
  <si>
    <t xml:space="preserve">PORTA PIVO CIR WC LAM. LOURO PRETO WC </t>
  </si>
  <si>
    <t xml:space="preserve">PORTA PIVO CIR WC LAM. LOURO MARFIMWC </t>
  </si>
  <si>
    <t xml:space="preserve">PORTA PIVO CIR WC LAM. MUIRACATIARA WC </t>
  </si>
  <si>
    <t xml:space="preserve">PORTA PIVO CIR WC LAM. MUIRAPIRANGA WC </t>
  </si>
  <si>
    <t xml:space="preserve">PORTA PIVO CIR WC LAM. PEROBA DO CAMPOWC </t>
  </si>
  <si>
    <t xml:space="preserve">PORTA PIVO CIR WC LAM. PEROBA MICAWC </t>
  </si>
  <si>
    <t xml:space="preserve">PORTA PIVO CIR WC LAM. PEROBA ROSA WC </t>
  </si>
  <si>
    <t xml:space="preserve">PORTA PIVO CIR WC LAM. PINHO WC </t>
  </si>
  <si>
    <t xml:space="preserve">PORTA PIVO CIR WC LAM. PINOS WC </t>
  </si>
  <si>
    <t xml:space="preserve">PORTA PIVO CIR WC LAM. ROXINHO WC </t>
  </si>
  <si>
    <t xml:space="preserve">PORTA PIVO CIR WC LAM. SINAMOMO WC </t>
  </si>
  <si>
    <t xml:space="preserve">PORTA PIVO CIR WC LAM. SUCUPIRA WC </t>
  </si>
  <si>
    <t xml:space="preserve">PORTA PIVO CIR WC LAM. TAUARI BRANCO WC </t>
  </si>
  <si>
    <t xml:space="preserve">PORTA PIVO CIR WC LAM. TAUARI CHAMPANHE WC </t>
  </si>
  <si>
    <t xml:space="preserve">PORTA PIVO CIR WC LAM. TEKA NACIONALWC </t>
  </si>
  <si>
    <t xml:space="preserve">PORTA PIVO CIR WC LAM. TIMBORANA WC </t>
  </si>
  <si>
    <t xml:space="preserve">PORTA PIVO CIR WC LAM. NOGUEIRA WC </t>
  </si>
  <si>
    <t>DN150 01 F</t>
  </si>
  <si>
    <t>DN150 02 F</t>
  </si>
  <si>
    <t>DN150 03 F</t>
  </si>
  <si>
    <t>PKTDN150001</t>
  </si>
  <si>
    <t>PORTA CORRER 01 F LAM. CARVALHO EUROPEU - 0.052X1.20X2.95</t>
  </si>
  <si>
    <t>PKTDN150006</t>
  </si>
  <si>
    <t>PORTA CORRER 01F DN150 LAM. CARV. EUR. - 0.052X1.20X2.95</t>
  </si>
  <si>
    <t>PKTDN150011</t>
  </si>
  <si>
    <t>PKTDN150002</t>
  </si>
  <si>
    <t>PORTA CORRER 01 F LAM. TAUARI NATURALLE - 0.052X1.20X2.95</t>
  </si>
  <si>
    <t>PKTDN150007</t>
  </si>
  <si>
    <t>PKTDN150012</t>
  </si>
  <si>
    <t>PKTDN150003</t>
  </si>
  <si>
    <t>PORTA CORRER 01 F LAM. FREIJO  - 0.052X1.20X2.95</t>
  </si>
  <si>
    <t>PKTDN150008</t>
  </si>
  <si>
    <t>PKTDN150013</t>
  </si>
  <si>
    <t>PKTDN150004</t>
  </si>
  <si>
    <t>PORTA CORRER 01 F LAM. SUCUPIRA  - 0.052X1.20X2.95</t>
  </si>
  <si>
    <t>PKTDN150009</t>
  </si>
  <si>
    <t>PKTDN150014</t>
  </si>
  <si>
    <t>PKTDN150005</t>
  </si>
  <si>
    <t>PORTA CORRER 01 F LAM. NOGUEIRA  - 0.052X1.20X2.95</t>
  </si>
  <si>
    <t>PKTDN150010</t>
  </si>
  <si>
    <t>PKTDN150015</t>
  </si>
  <si>
    <t>PKTDN150016</t>
  </si>
  <si>
    <t xml:space="preserve">PORTA RIPADO CORRER 01F LAM. CABREÚVA DOURADA TG  </t>
  </si>
  <si>
    <t>PKTDN150017</t>
  </si>
  <si>
    <t>PKTDN150018</t>
  </si>
  <si>
    <t>CAMARÃO 02F</t>
  </si>
  <si>
    <t>PKTCAM00001</t>
  </si>
  <si>
    <t xml:space="preserve">PORTA CAMARÃO 02F LAM. PEROBA PREMIUM </t>
  </si>
  <si>
    <t>PKTCAM00005</t>
  </si>
  <si>
    <t>PKTCAM00009</t>
  </si>
  <si>
    <t>PKTCAM00002</t>
  </si>
  <si>
    <t>PKTCAM00006</t>
  </si>
  <si>
    <t>PKTCAM00010</t>
  </si>
  <si>
    <t>PKTCAM00003</t>
  </si>
  <si>
    <t>PKTCAM00007</t>
  </si>
  <si>
    <t>PKTCAM00011</t>
  </si>
  <si>
    <t>PKTCAM00004</t>
  </si>
  <si>
    <t>PKTCAM00008</t>
  </si>
  <si>
    <t>PKTCAM00012</t>
  </si>
  <si>
    <t>PKTCAM00013</t>
  </si>
  <si>
    <t xml:space="preserve">POSSIVEIS VENDAS </t>
  </si>
  <si>
    <t xml:space="preserve">GRADE PORTAS BY PARKET - PORTA PIVO CIR WC WC LAM.  CARVALHO EUROPEU </t>
  </si>
  <si>
    <t>LISTA DE FERRAGENS E INSUMOS</t>
  </si>
  <si>
    <t>FERRAGENS</t>
  </si>
  <si>
    <t>QNT.</t>
  </si>
  <si>
    <t>CUSTO</t>
  </si>
  <si>
    <t>PKT100231IN</t>
  </si>
  <si>
    <t>PKT100050IN</t>
  </si>
  <si>
    <t>VEDA FRESTAS 04 X 09MM MARROM CLARO C/ 06 MT</t>
  </si>
  <si>
    <t>PKT100070IN</t>
  </si>
  <si>
    <t>PKT100511IN</t>
  </si>
  <si>
    <t>PKT100506IN</t>
  </si>
  <si>
    <t>ADAPTADOR P/WC ZMK NIQ 911.03.885</t>
  </si>
  <si>
    <t>PKT100505IN</t>
  </si>
  <si>
    <t>FECHADURA AUX LINGUETA RETA INOX FOSCO 911.22.490</t>
  </si>
  <si>
    <t>RONALD</t>
  </si>
  <si>
    <t>COLOCAR CODIGO PARA O ESTOQUE. (OBS: EM TUDO QUE VOCE TIVER)</t>
  </si>
  <si>
    <t>MATÉRIA PRIMA</t>
  </si>
  <si>
    <t>PKT100520IN</t>
  </si>
  <si>
    <t>COMPENSADO NAVAL 10MM (10X1200X3000)</t>
  </si>
  <si>
    <t>ALISSON</t>
  </si>
  <si>
    <t>FAZER OUTRAR OPÇÕES COM OUTRAS LAM.S - CUMARU, TAUARI, FREIJÓ SUCUPIRA, NOGUEIRA</t>
  </si>
  <si>
    <t>PKT400351P</t>
  </si>
  <si>
    <t>MADEIRA MACIÇA TAUARI (0.02X0.20X3.00)</t>
  </si>
  <si>
    <t>CRIAR CODIGO SIMPLES JUNTO AO RONALD - (EXEMPLO - PORTA CIR / PORTA CIR/PORTA D150/PORTA RO82TOP / PORTA DOBRA INVI / PORTA CAMARAO/</t>
  </si>
  <si>
    <t>PKT400352P</t>
  </si>
  <si>
    <t>MADEIRA MACIÇA TAUARI (0.02X0.20X1.00)</t>
  </si>
  <si>
    <t>PKT100066IN</t>
  </si>
  <si>
    <t>PKT100487IN</t>
  </si>
  <si>
    <t>PKT100064IN</t>
  </si>
  <si>
    <t>PKT100039IN</t>
  </si>
  <si>
    <t>PKT100033IN</t>
  </si>
  <si>
    <t>PKT100504IN</t>
  </si>
  <si>
    <t>PKT100218IN</t>
  </si>
  <si>
    <t>LISTA DE INSUMOS OBRA</t>
  </si>
  <si>
    <t>PKT100521IN</t>
  </si>
  <si>
    <t>PKT100024IN</t>
  </si>
  <si>
    <t xml:space="preserve"> </t>
  </si>
  <si>
    <t>GRADE PORTAS BY PARKET</t>
  </si>
  <si>
    <t>PKT100522IN</t>
  </si>
  <si>
    <t>COLA OBLONGO ACABAMENTO CHAVE 27,5x13mm</t>
  </si>
  <si>
    <t>PKT100519IN</t>
  </si>
  <si>
    <t>ADAPTADOR INTERNO, PARA FECHADURAS COD 911.03.886</t>
  </si>
  <si>
    <t>FUNDO ACABAMENTO BRILHO 0 MILESSI</t>
  </si>
  <si>
    <t>PKT100528IN</t>
  </si>
  <si>
    <t>CÓDIGO</t>
  </si>
  <si>
    <t>PKT100292IN</t>
  </si>
  <si>
    <t>KIT DN150 COM AMORTECIMENTO PARA 01 PORTA - DUCASSE</t>
  </si>
  <si>
    <t>PKT100425IN</t>
  </si>
  <si>
    <t>TRILHO U150 ANODIZADO PRATA 6MT- DUCASSE</t>
  </si>
  <si>
    <t>PKT100518IN</t>
  </si>
  <si>
    <t>PUXADOR FRONTAL OBLONGO INOX 304 ESCOVADO</t>
  </si>
  <si>
    <t>PKT100503IN</t>
  </si>
  <si>
    <t>PKT100509IN</t>
  </si>
  <si>
    <t>FECHADURA AUX P.CORRER RETA INOX FOSCO 911.26.335</t>
  </si>
  <si>
    <t>TRANQUETA GOTINHA AÇO INOX ESCOVADO</t>
  </si>
  <si>
    <t>PIVÔ CIR 80KG - ECLISSE</t>
  </si>
  <si>
    <t>DESCRIÇÃO</t>
  </si>
  <si>
    <t>VALOR</t>
  </si>
  <si>
    <t>PKT100285IN</t>
  </si>
  <si>
    <t>KIT RO 82TOP P/ 1 Porta FE9009 80-100kg</t>
  </si>
  <si>
    <t>PKT100288IN</t>
  </si>
  <si>
    <t>TRILHO SUP RM-003 P/RO82 6M FSC</t>
  </si>
  <si>
    <t>CUSTO TOTAL</t>
  </si>
  <si>
    <t>UNID</t>
  </si>
  <si>
    <t>M²</t>
  </si>
  <si>
    <t>LT</t>
  </si>
  <si>
    <t>UNID MED</t>
  </si>
  <si>
    <t>KIT</t>
  </si>
  <si>
    <t>M³</t>
  </si>
  <si>
    <t>TOTAL</t>
  </si>
  <si>
    <t>EMBALAGEM</t>
  </si>
  <si>
    <t>PIVOT HEAVY H143 (300KG) AÇO ESCOVADO</t>
  </si>
  <si>
    <t>PERFIL DE ALUMINIO 1/2 - 02 METROS - 10MM INTERNO</t>
  </si>
  <si>
    <t>25 LT</t>
  </si>
  <si>
    <t>100 Unid</t>
  </si>
  <si>
    <t>5000 Unid</t>
  </si>
  <si>
    <t>PIVOT IL 100 (INVISIVEL) 280KG - ITALY LINE</t>
  </si>
  <si>
    <t>BARRA</t>
  </si>
  <si>
    <t xml:space="preserve">BARRA TUBO 20 X 30 X 6,00 CH PRETO </t>
  </si>
  <si>
    <t>BUCHA 08MM</t>
  </si>
  <si>
    <t>COLA DE CONTATO 2,8KG</t>
  </si>
  <si>
    <t>CT</t>
  </si>
  <si>
    <t>COLA PUR TEKBOND 500G</t>
  </si>
  <si>
    <t>COLA TITE BOND 1KG</t>
  </si>
  <si>
    <t>FECHADURA SEGURANÇA 03 PINOS C/ ROLETE 70291 KESO</t>
  </si>
  <si>
    <t>IMÃ 22X10 N.42</t>
  </si>
  <si>
    <t>LAMINA NATURAL CARVALHO EUROPEU</t>
  </si>
  <si>
    <t>PARAFUSO BICROMATIZADO PHILIPS 6.0X80MM</t>
  </si>
  <si>
    <t>PINO F30 P/ PINADOR PNEUMATICO</t>
  </si>
  <si>
    <t>1000 Unid</t>
  </si>
  <si>
    <t>FECHADURA SEGURANÇA 12 PINOS C/ ROLETE 70200 KESO</t>
  </si>
  <si>
    <t>GRAMPO TIPO ''U'' 80x12MM</t>
  </si>
  <si>
    <t>OBSERVAÇÃO</t>
  </si>
  <si>
    <t>LISTA DE INSUMOS DE OBRA</t>
  </si>
  <si>
    <t>QUANT</t>
  </si>
  <si>
    <t>UNID
 MEDIDA</t>
  </si>
  <si>
    <t>CJ</t>
  </si>
  <si>
    <t>PKT100633IN</t>
  </si>
  <si>
    <t>PKT100297IN</t>
  </si>
  <si>
    <t>Apenas incluir código do produto e quantidade</t>
  </si>
  <si>
    <t>O restante está com fórmula e preenche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</si>
</sst>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-416]#,##0.00"/>
  </numFmts>
  <fonts count="34">
    <font>
      <sz val="10"/>
      <color rgb="FF000000"/>
      <name val="Arial"/>
      <scheme val="minor"/>
    </font>
    <font>
      <b/>
      <sz val="13"/>
      <color theme="1"/>
      <name val="Oswald"/>
    </font>
    <font>
      <b/>
      <sz val="13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4"/>
      <name val="Oswald"/>
    </font>
    <font>
      <b/>
      <sz val="11"/>
      <color rgb="FF000000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b/>
      <sz val="10"/>
      <color rgb="FF434343"/>
      <name val="Lexend"/>
    </font>
    <font>
      <sz val="10"/>
      <color rgb="FF434343"/>
      <name val="Arial"/>
      <scheme val="minor"/>
    </font>
    <font>
      <b/>
      <sz val="10"/>
      <color theme="1"/>
      <name val="Lexend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  <scheme val="minor"/>
    </font>
    <font>
      <b/>
      <sz val="13"/>
      <color rgb="FFFFFFFF"/>
      <name val="Arial"/>
      <scheme val="minor"/>
    </font>
    <font>
      <sz val="11"/>
      <color rgb="FFFFFFFF"/>
      <name val="Arial"/>
    </font>
    <font>
      <sz val="10"/>
      <color rgb="FFFFFFFF"/>
      <name val="Arial"/>
      <scheme val="minor"/>
    </font>
    <font>
      <b/>
      <sz val="10"/>
      <color rgb="FFFFFFFF"/>
      <name val="Lexend"/>
    </font>
    <font>
      <sz val="11"/>
      <color rgb="FF000000"/>
      <name val="Bahnschrift"/>
    </font>
    <font>
      <sz val="11"/>
      <color rgb="FF000000"/>
      <name val="Calibri"/>
    </font>
    <font>
      <sz val="9"/>
      <color rgb="FF000000"/>
      <name val="Bahnschrift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000000"/>
      <name val="Arial"/>
    </font>
    <font>
      <sz val="11"/>
      <color rgb="FFFFFFFF"/>
      <name val="Calibri"/>
    </font>
    <font>
      <b/>
      <sz val="10"/>
      <color rgb="FF000000"/>
      <name val="Arial"/>
      <family val="2"/>
      <scheme val="minor"/>
    </font>
    <font>
      <sz val="9"/>
      <color theme="2"/>
      <name val="Bahnschrift"/>
    </font>
    <font>
      <sz val="10"/>
      <color theme="2"/>
      <name val="Arial"/>
      <scheme val="minor"/>
    </font>
    <font>
      <sz val="9"/>
      <color theme="2"/>
      <name val="Calibri"/>
    </font>
    <font>
      <b/>
      <sz val="9"/>
      <color theme="2"/>
      <name val="Calibri"/>
    </font>
    <font>
      <sz val="9"/>
      <color rgb="FF000000"/>
      <name val="Arial"/>
      <family val="2"/>
      <scheme val="major"/>
    </font>
    <font>
      <sz val="9"/>
      <color theme="1"/>
      <name val="Bahnschrift"/>
    </font>
    <font>
      <b/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A9D08E"/>
        <bgColor rgb="FFA9D08E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8F8F8"/>
        <bgColor rgb="FFF8F8F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  <fill>
      <patternFill patternType="solid">
        <fgColor rgb="FFAEAAAA"/>
        <bgColor rgb="FFAEAAAA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rgb="FFD0CECE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FFFFFF"/>
      </patternFill>
    </fill>
  </fills>
  <borders count="3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999999"/>
      </left>
      <right style="thick">
        <color rgb="FF999999"/>
      </right>
      <top style="thick">
        <color rgb="FF999999"/>
      </top>
      <bottom/>
      <diagonal/>
    </border>
    <border>
      <left style="thick">
        <color rgb="FF999999"/>
      </left>
      <right style="thick">
        <color rgb="FF999999"/>
      </right>
      <top/>
      <bottom/>
      <diagonal/>
    </border>
    <border>
      <left/>
      <right style="thick">
        <color rgb="FF999999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999999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999999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999999"/>
      </left>
      <right style="medium">
        <color rgb="FF000000"/>
      </right>
      <top style="medium">
        <color rgb="FF000000"/>
      </top>
      <bottom/>
      <diagonal/>
    </border>
    <border>
      <left style="thick">
        <color rgb="FF999999"/>
      </left>
      <right style="thick">
        <color rgb="FF999999"/>
      </right>
      <top/>
      <bottom style="thick">
        <color rgb="FF999999"/>
      </bottom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D7D3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3" borderId="1" xfId="0" applyFont="1" applyFill="1" applyBorder="1"/>
    <xf numFmtId="0" fontId="1" fillId="4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/>
    <xf numFmtId="0" fontId="3" fillId="5" borderId="0" xfId="0" applyFont="1" applyFill="1"/>
    <xf numFmtId="0" fontId="4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5" fillId="2" borderId="5" xfId="0" applyFont="1" applyFill="1" applyBorder="1"/>
    <xf numFmtId="0" fontId="7" fillId="2" borderId="8" xfId="0" applyFont="1" applyFill="1" applyBorder="1"/>
    <xf numFmtId="0" fontId="8" fillId="5" borderId="9" xfId="0" applyFont="1" applyFill="1" applyBorder="1"/>
    <xf numFmtId="0" fontId="9" fillId="7" borderId="10" xfId="0" applyFont="1" applyFill="1" applyBorder="1"/>
    <xf numFmtId="0" fontId="8" fillId="5" borderId="11" xfId="0" applyFont="1" applyFill="1" applyBorder="1"/>
    <xf numFmtId="0" fontId="8" fillId="5" borderId="12" xfId="0" applyFont="1" applyFill="1" applyBorder="1"/>
    <xf numFmtId="0" fontId="9" fillId="7" borderId="13" xfId="0" applyFont="1" applyFill="1" applyBorder="1"/>
    <xf numFmtId="0" fontId="7" fillId="2" borderId="5" xfId="0" applyFont="1" applyFill="1" applyBorder="1"/>
    <xf numFmtId="0" fontId="9" fillId="7" borderId="0" xfId="0" applyFont="1" applyFill="1"/>
    <xf numFmtId="0" fontId="8" fillId="5" borderId="14" xfId="0" applyFont="1" applyFill="1" applyBorder="1"/>
    <xf numFmtId="0" fontId="9" fillId="7" borderId="8" xfId="0" applyFont="1" applyFill="1" applyBorder="1"/>
    <xf numFmtId="0" fontId="9" fillId="7" borderId="0" xfId="0" applyFont="1" applyFill="1" applyAlignment="1">
      <alignment horizontal="left"/>
    </xf>
    <xf numFmtId="0" fontId="8" fillId="5" borderId="15" xfId="0" applyFont="1" applyFill="1" applyBorder="1"/>
    <xf numFmtId="0" fontId="8" fillId="5" borderId="16" xfId="0" applyFont="1" applyFill="1" applyBorder="1"/>
    <xf numFmtId="0" fontId="3" fillId="0" borderId="0" xfId="0" applyFont="1"/>
    <xf numFmtId="0" fontId="10" fillId="0" borderId="0" xfId="0" applyFont="1"/>
    <xf numFmtId="0" fontId="3" fillId="0" borderId="0" xfId="0" applyFont="1" applyAlignment="1">
      <alignment horizontal="right"/>
    </xf>
    <xf numFmtId="0" fontId="7" fillId="2" borderId="0" xfId="0" applyFont="1" applyFill="1"/>
    <xf numFmtId="0" fontId="7" fillId="2" borderId="17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8" borderId="1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9" borderId="0" xfId="0" applyFont="1" applyFill="1"/>
    <xf numFmtId="0" fontId="8" fillId="8" borderId="11" xfId="0" applyFont="1" applyFill="1" applyBorder="1" applyAlignment="1">
      <alignment horizontal="left" vertical="center"/>
    </xf>
    <xf numFmtId="0" fontId="13" fillId="7" borderId="8" xfId="0" applyFont="1" applyFill="1" applyBorder="1"/>
    <xf numFmtId="0" fontId="14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14" fillId="7" borderId="18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8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8" fillId="7" borderId="0" xfId="0" applyFont="1" applyFill="1"/>
    <xf numFmtId="0" fontId="19" fillId="0" borderId="0" xfId="0" applyFont="1"/>
    <xf numFmtId="0" fontId="20" fillId="7" borderId="0" xfId="0" applyFont="1" applyFill="1"/>
    <xf numFmtId="0" fontId="21" fillId="7" borderId="0" xfId="0" applyFont="1" applyFill="1"/>
    <xf numFmtId="0" fontId="22" fillId="7" borderId="0" xfId="0" applyFont="1" applyFill="1"/>
    <xf numFmtId="0" fontId="19" fillId="7" borderId="0" xfId="0" applyFont="1" applyFill="1"/>
    <xf numFmtId="0" fontId="21" fillId="0" borderId="0" xfId="0" applyFont="1"/>
    <xf numFmtId="0" fontId="20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7" borderId="0" xfId="0" applyFont="1" applyFill="1" applyAlignment="1">
      <alignment vertical="top"/>
    </xf>
    <xf numFmtId="0" fontId="20" fillId="7" borderId="0" xfId="0" applyFont="1" applyFill="1" applyAlignment="1">
      <alignment horizontal="left"/>
    </xf>
    <xf numFmtId="0" fontId="22" fillId="7" borderId="0" xfId="0" applyFont="1" applyFill="1" applyAlignment="1">
      <alignment horizontal="center"/>
    </xf>
    <xf numFmtId="0" fontId="19" fillId="0" borderId="26" xfId="0" applyFont="1" applyBorder="1"/>
    <xf numFmtId="0" fontId="21" fillId="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18" fillId="7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44" fontId="21" fillId="0" borderId="0" xfId="0" applyNumberFormat="1" applyFont="1" applyAlignment="1">
      <alignment horizontal="center"/>
    </xf>
    <xf numFmtId="44" fontId="19" fillId="0" borderId="0" xfId="0" applyNumberFormat="1" applyFont="1" applyAlignment="1">
      <alignment horizontal="center"/>
    </xf>
    <xf numFmtId="0" fontId="24" fillId="7" borderId="0" xfId="0" applyFont="1" applyFill="1"/>
    <xf numFmtId="0" fontId="18" fillId="10" borderId="0" xfId="0" applyFont="1" applyFill="1"/>
    <xf numFmtId="0" fontId="6" fillId="0" borderId="0" xfId="0" applyFont="1"/>
    <xf numFmtId="44" fontId="21" fillId="7" borderId="0" xfId="0" applyNumberFormat="1" applyFont="1" applyFill="1" applyAlignment="1">
      <alignment horizontal="center"/>
    </xf>
    <xf numFmtId="0" fontId="20" fillId="11" borderId="0" xfId="0" applyFont="1" applyFill="1"/>
    <xf numFmtId="44" fontId="24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0" fillId="0" borderId="0" xfId="0" applyNumberFormat="1" applyFont="1"/>
    <xf numFmtId="44" fontId="25" fillId="16" borderId="0" xfId="1" applyFont="1" applyFill="1" applyAlignment="1">
      <alignment horizontal="center"/>
    </xf>
    <xf numFmtId="44" fontId="25" fillId="16" borderId="0" xfId="0" applyNumberFormat="1" applyFont="1" applyFill="1" applyAlignment="1">
      <alignment horizontal="center"/>
    </xf>
    <xf numFmtId="0" fontId="20" fillId="13" borderId="23" xfId="0" applyFont="1" applyFill="1" applyBorder="1" applyAlignment="1">
      <alignment horizontal="center"/>
    </xf>
    <xf numFmtId="0" fontId="6" fillId="0" borderId="25" xfId="0" applyFont="1" applyBorder="1"/>
    <xf numFmtId="0" fontId="18" fillId="15" borderId="24" xfId="0" applyFont="1" applyFill="1" applyBorder="1" applyAlignment="1">
      <alignment horizontal="center"/>
    </xf>
    <xf numFmtId="0" fontId="6" fillId="0" borderId="24" xfId="0" applyFont="1" applyBorder="1"/>
    <xf numFmtId="164" fontId="3" fillId="0" borderId="0" xfId="0" applyNumberFormat="1" applyFont="1"/>
    <xf numFmtId="0" fontId="0" fillId="0" borderId="30" xfId="0" applyBorder="1"/>
    <xf numFmtId="0" fontId="19" fillId="0" borderId="30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4" fontId="18" fillId="10" borderId="0" xfId="0" applyNumberFormat="1" applyFont="1" applyFill="1" applyAlignment="1">
      <alignment horizontal="center"/>
    </xf>
    <xf numFmtId="164" fontId="18" fillId="7" borderId="0" xfId="0" applyNumberFormat="1" applyFont="1" applyFill="1"/>
    <xf numFmtId="4" fontId="21" fillId="7" borderId="0" xfId="0" applyNumberFormat="1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4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18" fillId="10" borderId="23" xfId="0" applyFont="1" applyFill="1" applyBorder="1"/>
    <xf numFmtId="0" fontId="20" fillId="11" borderId="23" xfId="0" applyFont="1" applyFill="1" applyBorder="1"/>
    <xf numFmtId="44" fontId="0" fillId="0" borderId="0" xfId="0" applyNumberFormat="1" applyAlignment="1">
      <alignment horizontal="center"/>
    </xf>
    <xf numFmtId="0" fontId="20" fillId="7" borderId="30" xfId="0" applyFont="1" applyFill="1" applyBorder="1"/>
    <xf numFmtId="0" fontId="19" fillId="0" borderId="30" xfId="0" applyFont="1" applyBorder="1"/>
    <xf numFmtId="0" fontId="19" fillId="0" borderId="30" xfId="0" applyFont="1" applyBorder="1" applyAlignment="1">
      <alignment horizontal="center"/>
    </xf>
    <xf numFmtId="0" fontId="21" fillId="7" borderId="30" xfId="0" applyFont="1" applyFill="1" applyBorder="1"/>
    <xf numFmtId="0" fontId="22" fillId="7" borderId="30" xfId="0" applyFont="1" applyFill="1" applyBorder="1"/>
    <xf numFmtId="0" fontId="22" fillId="7" borderId="30" xfId="0" applyFont="1" applyFill="1" applyBorder="1" applyAlignment="1">
      <alignment horizontal="center" vertical="center"/>
    </xf>
    <xf numFmtId="44" fontId="21" fillId="0" borderId="30" xfId="0" applyNumberFormat="1" applyFont="1" applyBorder="1" applyAlignment="1">
      <alignment horizontal="center"/>
    </xf>
    <xf numFmtId="0" fontId="22" fillId="14" borderId="30" xfId="0" applyFont="1" applyFill="1" applyBorder="1" applyAlignment="1">
      <alignment horizontal="center"/>
    </xf>
    <xf numFmtId="44" fontId="21" fillId="0" borderId="30" xfId="0" applyNumberFormat="1" applyFont="1" applyBorder="1"/>
    <xf numFmtId="0" fontId="20" fillId="7" borderId="30" xfId="0" applyFont="1" applyFill="1" applyBorder="1" applyAlignment="1">
      <alignment horizontal="center"/>
    </xf>
    <xf numFmtId="0" fontId="20" fillId="7" borderId="30" xfId="0" applyFont="1" applyFill="1" applyBorder="1" applyAlignment="1">
      <alignment horizontal="left"/>
    </xf>
    <xf numFmtId="0" fontId="22" fillId="7" borderId="30" xfId="0" applyFont="1" applyFill="1" applyBorder="1" applyAlignment="1">
      <alignment horizontal="center"/>
    </xf>
    <xf numFmtId="44" fontId="20" fillId="7" borderId="30" xfId="0" applyNumberFormat="1" applyFont="1" applyFill="1" applyBorder="1" applyAlignment="1">
      <alignment horizontal="center"/>
    </xf>
    <xf numFmtId="44" fontId="19" fillId="0" borderId="30" xfId="0" applyNumberFormat="1" applyFont="1" applyBorder="1" applyAlignment="1">
      <alignment horizontal="center"/>
    </xf>
    <xf numFmtId="0" fontId="19" fillId="7" borderId="30" xfId="0" applyFont="1" applyFill="1" applyBorder="1"/>
    <xf numFmtId="0" fontId="19" fillId="7" borderId="0" xfId="0" applyFont="1" applyFill="1" applyAlignment="1">
      <alignment horizontal="center" vertical="center"/>
    </xf>
    <xf numFmtId="0" fontId="26" fillId="17" borderId="30" xfId="0" applyFont="1" applyFill="1" applyBorder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6" fillId="19" borderId="30" xfId="0" applyFont="1" applyFill="1" applyBorder="1" applyAlignment="1">
      <alignment horizontal="center" vertical="center"/>
    </xf>
    <xf numFmtId="0" fontId="28" fillId="19" borderId="30" xfId="0" applyFont="1" applyFill="1" applyBorder="1" applyAlignment="1">
      <alignment horizontal="center" vertical="center"/>
    </xf>
    <xf numFmtId="0" fontId="29" fillId="18" borderId="30" xfId="0" applyFont="1" applyFill="1" applyBorder="1" applyAlignment="1">
      <alignment horizontal="center" vertical="center"/>
    </xf>
    <xf numFmtId="0" fontId="29" fillId="18" borderId="30" xfId="0" applyFont="1" applyFill="1" applyBorder="1" applyAlignment="1">
      <alignment horizontal="center" vertical="center" wrapText="1"/>
    </xf>
    <xf numFmtId="44" fontId="28" fillId="13" borderId="30" xfId="0" applyNumberFormat="1" applyFont="1" applyFill="1" applyBorder="1" applyAlignment="1">
      <alignment horizontal="center" vertical="center"/>
    </xf>
    <xf numFmtId="0" fontId="26" fillId="17" borderId="30" xfId="0" applyFont="1" applyFill="1" applyBorder="1" applyAlignment="1">
      <alignment horizontal="left" vertical="center"/>
    </xf>
    <xf numFmtId="0" fontId="30" fillId="5" borderId="30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left"/>
    </xf>
    <xf numFmtId="0" fontId="2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31" fillId="5" borderId="32" xfId="0" applyFont="1" applyFill="1" applyBorder="1"/>
    <xf numFmtId="0" fontId="6" fillId="0" borderId="24" xfId="0" applyFont="1" applyBorder="1" applyAlignment="1">
      <alignment horizontal="center" vertical="center"/>
    </xf>
    <xf numFmtId="0" fontId="20" fillId="5" borderId="30" xfId="0" applyFont="1" applyFill="1" applyBorder="1" applyAlignment="1">
      <alignment horizontal="center"/>
    </xf>
    <xf numFmtId="0" fontId="20" fillId="5" borderId="30" xfId="0" applyFont="1" applyFill="1" applyBorder="1"/>
    <xf numFmtId="0" fontId="6" fillId="0" borderId="30" xfId="0" applyFont="1" applyBorder="1"/>
    <xf numFmtId="0" fontId="22" fillId="14" borderId="30" xfId="0" applyFont="1" applyFill="1" applyBorder="1" applyAlignment="1">
      <alignment horizontal="center" vertical="center"/>
    </xf>
    <xf numFmtId="0" fontId="20" fillId="11" borderId="30" xfId="0" applyFont="1" applyFill="1" applyBorder="1"/>
    <xf numFmtId="0" fontId="22" fillId="0" borderId="30" xfId="0" applyFont="1" applyBorder="1" applyAlignment="1">
      <alignment horizontal="center" vertical="center"/>
    </xf>
    <xf numFmtId="44" fontId="21" fillId="13" borderId="30" xfId="0" applyNumberFormat="1" applyFont="1" applyFill="1" applyBorder="1"/>
    <xf numFmtId="0" fontId="20" fillId="0" borderId="30" xfId="0" applyFont="1" applyBorder="1"/>
    <xf numFmtId="0" fontId="31" fillId="5" borderId="31" xfId="0" applyFont="1" applyFill="1" applyBorder="1" applyAlignment="1">
      <alignment horizontal="center"/>
    </xf>
    <xf numFmtId="0" fontId="23" fillId="5" borderId="30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20" fillId="12" borderId="30" xfId="0" applyFont="1" applyFill="1" applyBorder="1"/>
    <xf numFmtId="0" fontId="21" fillId="0" borderId="30" xfId="0" applyFont="1" applyBorder="1"/>
    <xf numFmtId="0" fontId="20" fillId="12" borderId="30" xfId="0" applyFont="1" applyFill="1" applyBorder="1" applyAlignment="1">
      <alignment horizontal="center"/>
    </xf>
    <xf numFmtId="0" fontId="20" fillId="12" borderId="30" xfId="0" applyFont="1" applyFill="1" applyBorder="1" applyAlignment="1">
      <alignment horizontal="center" vertical="center"/>
    </xf>
    <xf numFmtId="44" fontId="21" fillId="0" borderId="30" xfId="0" applyNumberFormat="1" applyFont="1" applyBorder="1" applyAlignment="1">
      <alignment horizontal="center" vertical="center"/>
    </xf>
    <xf numFmtId="0" fontId="31" fillId="5" borderId="30" xfId="0" applyFont="1" applyFill="1" applyBorder="1"/>
    <xf numFmtId="0" fontId="22" fillId="0" borderId="30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44" fontId="21" fillId="13" borderId="30" xfId="0" applyNumberFormat="1" applyFont="1" applyFill="1" applyBorder="1" applyAlignment="1">
      <alignment horizontal="center"/>
    </xf>
    <xf numFmtId="44" fontId="20" fillId="0" borderId="0" xfId="0" applyNumberFormat="1" applyFont="1" applyAlignment="1">
      <alignment horizontal="center"/>
    </xf>
    <xf numFmtId="0" fontId="0" fillId="0" borderId="30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5" borderId="0" xfId="0" applyFont="1" applyFill="1"/>
    <xf numFmtId="0" fontId="11" fillId="7" borderId="0" xfId="0" applyFont="1" applyFill="1" applyAlignment="1">
      <alignment vertical="center"/>
    </xf>
    <xf numFmtId="44" fontId="25" fillId="16" borderId="0" xfId="1" applyFont="1" applyFill="1" applyBorder="1" applyAlignment="1">
      <alignment horizontal="center"/>
    </xf>
    <xf numFmtId="0" fontId="22" fillId="0" borderId="30" xfId="0" applyFont="1" applyBorder="1"/>
    <xf numFmtId="0" fontId="21" fillId="7" borderId="30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30" fillId="5" borderId="30" xfId="0" applyFont="1" applyFill="1" applyBorder="1" applyAlignment="1">
      <alignment horizontal="left" vertical="center"/>
    </xf>
    <xf numFmtId="0" fontId="26" fillId="17" borderId="33" xfId="0" applyFont="1" applyFill="1" applyBorder="1" applyAlignment="1">
      <alignment horizontal="left" vertical="center"/>
    </xf>
    <xf numFmtId="0" fontId="29" fillId="18" borderId="33" xfId="0" applyFont="1" applyFill="1" applyBorder="1" applyAlignment="1">
      <alignment horizontal="center" vertical="center"/>
    </xf>
    <xf numFmtId="0" fontId="29" fillId="18" borderId="33" xfId="0" applyFont="1" applyFill="1" applyBorder="1" applyAlignment="1">
      <alignment horizontal="center" vertical="center" wrapText="1"/>
    </xf>
    <xf numFmtId="44" fontId="28" fillId="13" borderId="33" xfId="0" applyNumberFormat="1" applyFont="1" applyFill="1" applyBorder="1" applyAlignment="1">
      <alignment horizontal="center" vertical="center"/>
    </xf>
    <xf numFmtId="44" fontId="20" fillId="7" borderId="0" xfId="0" applyNumberFormat="1" applyFont="1" applyFill="1" applyAlignment="1">
      <alignment horizontal="center"/>
    </xf>
    <xf numFmtId="0" fontId="27" fillId="18" borderId="3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top"/>
    </xf>
    <xf numFmtId="0" fontId="6" fillId="0" borderId="6" xfId="0" applyFont="1" applyBorder="1"/>
    <xf numFmtId="0" fontId="1" fillId="7" borderId="7" xfId="0" applyFont="1" applyFill="1" applyBorder="1" applyAlignment="1">
      <alignment vertical="top"/>
    </xf>
    <xf numFmtId="0" fontId="6" fillId="0" borderId="3" xfId="0" applyFont="1" applyBorder="1"/>
    <xf numFmtId="0" fontId="1" fillId="7" borderId="2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6" fillId="0" borderId="21" xfId="0" applyFont="1" applyBorder="1"/>
    <xf numFmtId="0" fontId="1" fillId="6" borderId="22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left"/>
    </xf>
    <xf numFmtId="0" fontId="0" fillId="0" borderId="0" xfId="0"/>
    <xf numFmtId="0" fontId="20" fillId="11" borderId="26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11" fillId="10" borderId="26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20" fillId="13" borderId="27" xfId="0" applyFont="1" applyFill="1" applyBorder="1" applyAlignment="1">
      <alignment horizontal="center"/>
    </xf>
    <xf numFmtId="0" fontId="6" fillId="0" borderId="29" xfId="0" applyFont="1" applyBorder="1"/>
    <xf numFmtId="0" fontId="20" fillId="15" borderId="28" xfId="0" applyFont="1" applyFill="1" applyBorder="1" applyAlignment="1">
      <alignment horizontal="center"/>
    </xf>
    <xf numFmtId="0" fontId="6" fillId="0" borderId="28" xfId="0" applyFont="1" applyBorder="1"/>
    <xf numFmtId="0" fontId="20" fillId="13" borderId="23" xfId="0" applyFont="1" applyFill="1" applyBorder="1" applyAlignment="1">
      <alignment horizontal="center"/>
    </xf>
    <xf numFmtId="0" fontId="6" fillId="0" borderId="25" xfId="0" applyFont="1" applyBorder="1"/>
    <xf numFmtId="0" fontId="18" fillId="15" borderId="24" xfId="0" applyFont="1" applyFill="1" applyBorder="1" applyAlignment="1">
      <alignment horizontal="center"/>
    </xf>
    <xf numFmtId="0" fontId="6" fillId="0" borderId="24" xfId="0" applyFont="1" applyBorder="1"/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24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left"/>
    </xf>
    <xf numFmtId="0" fontId="11" fillId="10" borderId="24" xfId="0" applyFont="1" applyFill="1" applyBorder="1" applyAlignment="1">
      <alignment horizontal="left"/>
    </xf>
    <xf numFmtId="0" fontId="20" fillId="11" borderId="23" xfId="0" applyFont="1" applyFill="1" applyBorder="1" applyAlignment="1">
      <alignment horizontal="center"/>
    </xf>
    <xf numFmtId="0" fontId="20" fillId="11" borderId="24" xfId="0" applyFont="1" applyFill="1" applyBorder="1" applyAlignment="1">
      <alignment horizontal="center"/>
    </xf>
    <xf numFmtId="0" fontId="20" fillId="11" borderId="25" xfId="0" applyFont="1" applyFill="1" applyBorder="1" applyAlignment="1">
      <alignment horizontal="center"/>
    </xf>
    <xf numFmtId="0" fontId="6" fillId="0" borderId="0" xfId="0" applyFont="1"/>
    <xf numFmtId="44" fontId="30" fillId="5" borderId="30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3" fillId="0" borderId="0" xfId="1" applyFont="1" applyAlignment="1">
      <alignment horizontal="center"/>
    </xf>
    <xf numFmtId="0" fontId="32" fillId="0" borderId="0" xfId="0" applyFont="1" applyAlignment="1">
      <alignment horizontal="left" vertical="center"/>
    </xf>
    <xf numFmtId="0" fontId="33" fillId="0" borderId="0" xfId="0" applyFont="1"/>
  </cellXfs>
  <cellStyles count="2">
    <cellStyle name="Mo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numFmt numFmtId="1" formatCode="0"/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numFmt numFmtId="0" formatCode="General"/>
      <fill>
        <patternFill patternType="solid">
          <fgColor rgb="FFA9D08E"/>
          <bgColor rgb="FFA9D08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ED7D31"/>
        </left>
        <right style="thin">
          <color rgb="FFED7D31"/>
        </right>
        <top style="thin">
          <color rgb="FFED7D3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FA197-AFEB-4C26-8DD2-90991E703A2E}" name="Tabela_preços" displayName="Tabela_preços" ref="A1:F33" totalsRowShown="0" headerRowDxfId="9" dataDxfId="7" headerRowBorderDxfId="8" tableBorderDxfId="6">
  <autoFilter ref="A1:F33" xr:uid="{C2EFA197-AFEB-4C26-8DD2-90991E703A2E}"/>
  <sortState xmlns:xlrd2="http://schemas.microsoft.com/office/spreadsheetml/2017/richdata2" ref="A2:F33">
    <sortCondition ref="A1:A33"/>
  </sortState>
  <tableColumns count="6">
    <tableColumn id="1" xr3:uid="{5CA65CDA-DF6E-4524-B5F4-4B7D29837226}" name="CÓDIGO" dataDxfId="5"/>
    <tableColumn id="2" xr3:uid="{AAE1F302-C426-49E9-9C1C-8E5790F43A4E}" name="DESCRIÇÃO" dataDxfId="4"/>
    <tableColumn id="3" xr3:uid="{746A58CF-82A6-4949-B041-1B2406A42F10}" name="UNID MED" dataDxfId="3"/>
    <tableColumn id="4" xr3:uid="{EF02667B-4015-4979-B919-035B7649C2A4}" name="VALOR" dataDxfId="2" dataCellStyle="Moeda"/>
    <tableColumn id="6" xr3:uid="{68A80632-A989-4FBD-A80F-F49C8BEFE34E}" name="EMBALAGEM" dataDxfId="1"/>
    <tableColumn id="5" xr3:uid="{3B95C26A-8436-4426-B7B6-F9CE95687489}" name="OBSERVAÇÃ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F1006"/>
  <sheetViews>
    <sheetView showGridLines="0" zoomScaleNormal="100" workbookViewId="0">
      <pane ySplit="1" topLeftCell="A2" activePane="bottomLeft" state="frozen"/>
      <selection pane="bottomLeft" activeCell="A14" sqref="A14:A16"/>
    </sheetView>
  </sheetViews>
  <sheetFormatPr defaultColWidth="12.5703125" defaultRowHeight="15.75" customHeight="1"/>
  <cols>
    <col min="1" max="1" width="13.140625" customWidth="1"/>
    <col min="2" max="2" width="62.7109375" style="106" customWidth="1"/>
    <col min="3" max="3" width="12.42578125" style="146" customWidth="1"/>
    <col min="4" max="4" width="14.85546875" style="222" customWidth="1"/>
    <col min="5" max="5" width="12.5703125" style="181"/>
    <col min="6" max="6" width="19.7109375" style="146" customWidth="1"/>
  </cols>
  <sheetData>
    <row r="1" spans="1:6" ht="15.75" customHeight="1">
      <c r="A1" s="143" t="s">
        <v>263</v>
      </c>
      <c r="B1" s="182" t="s">
        <v>275</v>
      </c>
      <c r="C1" s="143" t="s">
        <v>285</v>
      </c>
      <c r="D1" s="221" t="s">
        <v>276</v>
      </c>
      <c r="E1" s="143" t="s">
        <v>289</v>
      </c>
      <c r="F1" s="143" t="s">
        <v>311</v>
      </c>
    </row>
    <row r="2" spans="1:6" ht="15.75" customHeight="1">
      <c r="A2" s="143" t="s">
        <v>317</v>
      </c>
      <c r="B2" s="182" t="s">
        <v>295</v>
      </c>
      <c r="C2" s="143" t="s">
        <v>282</v>
      </c>
      <c r="D2" s="221">
        <v>318.74</v>
      </c>
      <c r="E2" s="143"/>
      <c r="F2" s="143"/>
    </row>
    <row r="3" spans="1:6" ht="15.75" customHeight="1">
      <c r="A3" s="143">
        <v>865</v>
      </c>
      <c r="B3" s="182" t="s">
        <v>305</v>
      </c>
      <c r="C3" s="143" t="s">
        <v>283</v>
      </c>
      <c r="D3" s="221">
        <v>65</v>
      </c>
      <c r="E3" s="143"/>
      <c r="F3" s="143"/>
    </row>
    <row r="4" spans="1:6" ht="15.75" customHeight="1">
      <c r="A4" s="143" t="s">
        <v>254</v>
      </c>
      <c r="B4" s="182" t="s">
        <v>298</v>
      </c>
      <c r="C4" s="143" t="s">
        <v>300</v>
      </c>
      <c r="D4" s="221">
        <f>0.18*100</f>
        <v>18</v>
      </c>
      <c r="E4" s="143" t="s">
        <v>308</v>
      </c>
      <c r="F4" s="143"/>
    </row>
    <row r="5" spans="1:6" ht="15.75" customHeight="1">
      <c r="A5" s="143" t="s">
        <v>249</v>
      </c>
      <c r="B5" s="182" t="s">
        <v>299</v>
      </c>
      <c r="C5" s="143" t="s">
        <v>282</v>
      </c>
      <c r="D5" s="221">
        <v>99</v>
      </c>
      <c r="E5" s="143"/>
      <c r="F5" s="143"/>
    </row>
    <row r="6" spans="1:6" ht="15.75" customHeight="1">
      <c r="A6" s="143" t="s">
        <v>248</v>
      </c>
      <c r="B6" s="182" t="s">
        <v>301</v>
      </c>
      <c r="C6" s="143" t="s">
        <v>282</v>
      </c>
      <c r="D6" s="221">
        <v>33.64</v>
      </c>
      <c r="E6" s="143"/>
      <c r="F6" s="143"/>
    </row>
    <row r="7" spans="1:6" ht="15.75" customHeight="1">
      <c r="A7" s="143" t="s">
        <v>225</v>
      </c>
      <c r="B7" s="182" t="s">
        <v>226</v>
      </c>
      <c r="C7" s="143" t="s">
        <v>282</v>
      </c>
      <c r="D7" s="221">
        <v>17.512</v>
      </c>
      <c r="E7" s="143"/>
      <c r="F7" s="143"/>
    </row>
    <row r="8" spans="1:6" ht="15.75" customHeight="1">
      <c r="A8" s="143" t="s">
        <v>247</v>
      </c>
      <c r="B8" s="182" t="s">
        <v>261</v>
      </c>
      <c r="C8" s="143" t="s">
        <v>284</v>
      </c>
      <c r="D8" s="221">
        <f>2192.67/25</f>
        <v>87.706800000000001</v>
      </c>
      <c r="E8" s="143" t="s">
        <v>292</v>
      </c>
      <c r="F8" s="143"/>
    </row>
    <row r="9" spans="1:6" ht="15.75" customHeight="1">
      <c r="A9" s="143" t="s">
        <v>245</v>
      </c>
      <c r="B9" s="182" t="s">
        <v>302</v>
      </c>
      <c r="C9" s="143" t="s">
        <v>282</v>
      </c>
      <c r="D9" s="221">
        <v>46.15</v>
      </c>
      <c r="E9" s="143"/>
      <c r="F9" s="143"/>
    </row>
    <row r="10" spans="1:6" ht="15.75" customHeight="1">
      <c r="A10" s="143" t="s">
        <v>227</v>
      </c>
      <c r="B10" s="182" t="s">
        <v>304</v>
      </c>
      <c r="C10" s="143" t="s">
        <v>282</v>
      </c>
      <c r="D10" s="221">
        <v>17.850000000000001</v>
      </c>
      <c r="E10" s="143"/>
      <c r="F10" s="143"/>
    </row>
    <row r="11" spans="1:6" ht="15.75" customHeight="1">
      <c r="A11" s="143" t="s">
        <v>251</v>
      </c>
      <c r="B11" s="182" t="s">
        <v>307</v>
      </c>
      <c r="C11" s="143" t="s">
        <v>300</v>
      </c>
      <c r="D11" s="221">
        <f>45.2/100</f>
        <v>0.45200000000000001</v>
      </c>
      <c r="E11" s="143" t="s">
        <v>294</v>
      </c>
      <c r="F11" s="143"/>
    </row>
    <row r="12" spans="1:6" ht="15.75" customHeight="1">
      <c r="A12" s="143" t="s">
        <v>224</v>
      </c>
      <c r="B12" s="182" t="s">
        <v>290</v>
      </c>
      <c r="C12" s="143" t="s">
        <v>282</v>
      </c>
      <c r="D12" s="221">
        <v>99.99</v>
      </c>
      <c r="E12" s="143"/>
      <c r="F12" s="143"/>
    </row>
    <row r="13" spans="1:6" ht="15.75" customHeight="1">
      <c r="A13" s="143" t="s">
        <v>277</v>
      </c>
      <c r="B13" s="182" t="s">
        <v>278</v>
      </c>
      <c r="C13" s="143" t="s">
        <v>286</v>
      </c>
      <c r="D13" s="221">
        <v>473.5</v>
      </c>
      <c r="E13" s="143"/>
      <c r="F13" s="143"/>
    </row>
    <row r="14" spans="1:6" ht="15.75" customHeight="1">
      <c r="A14" s="143" t="s">
        <v>279</v>
      </c>
      <c r="B14" s="182" t="s">
        <v>280</v>
      </c>
      <c r="C14" s="143" t="s">
        <v>296</v>
      </c>
      <c r="D14" s="221">
        <v>452</v>
      </c>
      <c r="E14" s="143"/>
      <c r="F14" s="143"/>
    </row>
    <row r="15" spans="1:6" ht="15.75" customHeight="1">
      <c r="A15" s="143" t="s">
        <v>264</v>
      </c>
      <c r="B15" s="182" t="s">
        <v>265</v>
      </c>
      <c r="C15" s="143" t="s">
        <v>286</v>
      </c>
      <c r="D15" s="221">
        <v>967.58</v>
      </c>
      <c r="E15" s="143"/>
      <c r="F15" s="143"/>
    </row>
    <row r="16" spans="1:6" ht="15.75" customHeight="1">
      <c r="A16" s="143" t="s">
        <v>266</v>
      </c>
      <c r="B16" s="182" t="s">
        <v>267</v>
      </c>
      <c r="C16" s="143" t="s">
        <v>296</v>
      </c>
      <c r="D16" s="221">
        <v>772.32</v>
      </c>
      <c r="E16" s="143"/>
      <c r="F16" s="143"/>
    </row>
    <row r="17" spans="1:6" ht="15.75" customHeight="1">
      <c r="A17" s="143" t="s">
        <v>246</v>
      </c>
      <c r="B17" s="182" t="s">
        <v>297</v>
      </c>
      <c r="C17" s="143" t="s">
        <v>296</v>
      </c>
      <c r="D17" s="221">
        <v>58.65</v>
      </c>
      <c r="E17" s="143"/>
      <c r="F17" s="143"/>
    </row>
    <row r="18" spans="1:6" ht="15.75" customHeight="1">
      <c r="A18" s="143" t="s">
        <v>270</v>
      </c>
      <c r="B18" s="182" t="s">
        <v>291</v>
      </c>
      <c r="C18" s="143" t="s">
        <v>296</v>
      </c>
      <c r="D18" s="221">
        <v>13.6</v>
      </c>
      <c r="E18" s="143"/>
      <c r="F18" s="143"/>
    </row>
    <row r="19" spans="1:6" ht="15.75" customHeight="1">
      <c r="A19" s="143" t="s">
        <v>250</v>
      </c>
      <c r="B19" s="182" t="s">
        <v>310</v>
      </c>
      <c r="C19" s="143" t="s">
        <v>300</v>
      </c>
      <c r="D19" s="221">
        <f>0.02*100</f>
        <v>2</v>
      </c>
      <c r="E19" s="143" t="s">
        <v>294</v>
      </c>
      <c r="F19" s="143"/>
    </row>
    <row r="20" spans="1:6" ht="15.75" customHeight="1">
      <c r="A20" s="143" t="s">
        <v>231</v>
      </c>
      <c r="B20" s="182" t="s">
        <v>232</v>
      </c>
      <c r="C20" s="143" t="s">
        <v>282</v>
      </c>
      <c r="D20" s="221">
        <v>105.20399999999999</v>
      </c>
      <c r="E20" s="143"/>
      <c r="F20" s="143"/>
    </row>
    <row r="21" spans="1:6" ht="15.75" customHeight="1">
      <c r="A21" s="143" t="s">
        <v>229</v>
      </c>
      <c r="B21" s="182" t="s">
        <v>230</v>
      </c>
      <c r="C21" s="143" t="s">
        <v>282</v>
      </c>
      <c r="D21" s="221">
        <v>19.12</v>
      </c>
      <c r="E21" s="143"/>
      <c r="F21" s="143"/>
    </row>
    <row r="22" spans="1:6" ht="15.75" customHeight="1">
      <c r="A22" s="143" t="s">
        <v>271</v>
      </c>
      <c r="B22" s="182" t="s">
        <v>272</v>
      </c>
      <c r="C22" s="143" t="s">
        <v>282</v>
      </c>
      <c r="D22" s="221">
        <v>104.43</v>
      </c>
      <c r="E22" s="143"/>
      <c r="F22" s="143"/>
    </row>
    <row r="23" spans="1:6" ht="15.75" customHeight="1">
      <c r="A23" s="143" t="s">
        <v>228</v>
      </c>
      <c r="B23" s="182" t="s">
        <v>274</v>
      </c>
      <c r="C23" s="143" t="s">
        <v>282</v>
      </c>
      <c r="D23" s="221">
        <v>463.02499999999998</v>
      </c>
      <c r="E23" s="143"/>
      <c r="F23" s="143"/>
    </row>
    <row r="24" spans="1:6" ht="15.75" customHeight="1">
      <c r="A24" s="143" t="s">
        <v>228</v>
      </c>
      <c r="B24" s="182" t="s">
        <v>273</v>
      </c>
      <c r="C24" s="143" t="s">
        <v>282</v>
      </c>
      <c r="D24" s="221">
        <v>293</v>
      </c>
      <c r="E24" s="143"/>
      <c r="F24" s="143"/>
    </row>
    <row r="25" spans="1:6" ht="15.75" customHeight="1">
      <c r="A25" s="143" t="s">
        <v>268</v>
      </c>
      <c r="B25" s="182" t="s">
        <v>269</v>
      </c>
      <c r="C25" s="143" t="s">
        <v>282</v>
      </c>
      <c r="D25" s="221">
        <v>110</v>
      </c>
      <c r="E25" s="143"/>
      <c r="F25" s="143"/>
    </row>
    <row r="26" spans="1:6" ht="15.75" customHeight="1">
      <c r="A26" s="143" t="s">
        <v>259</v>
      </c>
      <c r="B26" s="182" t="s">
        <v>260</v>
      </c>
      <c r="C26" s="143" t="s">
        <v>282</v>
      </c>
      <c r="D26" s="221">
        <v>33.26</v>
      </c>
      <c r="E26" s="143"/>
      <c r="F26" s="143"/>
    </row>
    <row r="27" spans="1:6" ht="15.75" customHeight="1">
      <c r="A27" s="143" t="s">
        <v>236</v>
      </c>
      <c r="B27" s="182" t="s">
        <v>237</v>
      </c>
      <c r="C27" s="143" t="s">
        <v>282</v>
      </c>
      <c r="D27" s="221">
        <v>185</v>
      </c>
      <c r="E27" s="143"/>
      <c r="F27" s="143"/>
    </row>
    <row r="28" spans="1:6" ht="15.75" customHeight="1">
      <c r="A28" s="143" t="s">
        <v>253</v>
      </c>
      <c r="B28" s="182" t="s">
        <v>306</v>
      </c>
      <c r="C28" s="143" t="s">
        <v>300</v>
      </c>
      <c r="D28" s="221">
        <f>100*0.28</f>
        <v>28.000000000000004</v>
      </c>
      <c r="E28" s="143" t="s">
        <v>293</v>
      </c>
      <c r="F28" s="143"/>
    </row>
    <row r="29" spans="1:6" ht="15.75" customHeight="1">
      <c r="A29" s="143" t="s">
        <v>257</v>
      </c>
      <c r="B29" s="182" t="s">
        <v>258</v>
      </c>
      <c r="C29" s="143" t="s">
        <v>282</v>
      </c>
      <c r="D29" s="221">
        <v>25</v>
      </c>
      <c r="E29" s="143"/>
      <c r="F29" s="143"/>
    </row>
    <row r="30" spans="1:6" ht="15.75" customHeight="1">
      <c r="A30" s="143" t="s">
        <v>262</v>
      </c>
      <c r="B30" s="182" t="s">
        <v>303</v>
      </c>
      <c r="C30" s="143" t="s">
        <v>315</v>
      </c>
      <c r="D30" s="221">
        <v>728.22</v>
      </c>
      <c r="E30" s="143"/>
      <c r="F30" s="143"/>
    </row>
    <row r="31" spans="1:6" ht="15.75" customHeight="1">
      <c r="A31" s="143" t="s">
        <v>316</v>
      </c>
      <c r="B31" s="182" t="s">
        <v>309</v>
      </c>
      <c r="C31" s="143" t="s">
        <v>315</v>
      </c>
      <c r="D31" s="221">
        <v>1301</v>
      </c>
      <c r="E31" s="143"/>
      <c r="F31" s="143"/>
    </row>
    <row r="32" spans="1:6" ht="15.75" customHeight="1">
      <c r="A32" s="143" t="s">
        <v>240</v>
      </c>
      <c r="B32" s="182" t="s">
        <v>241</v>
      </c>
      <c r="C32" s="143" t="s">
        <v>287</v>
      </c>
      <c r="D32" s="221">
        <v>2900</v>
      </c>
      <c r="E32" s="143"/>
      <c r="F32" s="143"/>
    </row>
    <row r="33" spans="1:6" ht="15.75" customHeight="1">
      <c r="A33" s="143" t="s">
        <v>243</v>
      </c>
      <c r="B33" s="182" t="s">
        <v>244</v>
      </c>
      <c r="C33" s="143" t="s">
        <v>287</v>
      </c>
      <c r="D33" s="221">
        <v>2900</v>
      </c>
      <c r="E33" s="143"/>
      <c r="F33" s="143"/>
    </row>
    <row r="39" spans="1:6" ht="12.75">
      <c r="D39" s="223"/>
    </row>
    <row r="40" spans="1:6" ht="12.75">
      <c r="D40" s="223"/>
    </row>
    <row r="41" spans="1:6" ht="12.75">
      <c r="D41" s="223"/>
    </row>
    <row r="42" spans="1:6" ht="12.75">
      <c r="D42" s="223"/>
    </row>
    <row r="43" spans="1:6" ht="12.75">
      <c r="D43" s="223"/>
    </row>
    <row r="44" spans="1:6" ht="12.75">
      <c r="D44" s="223"/>
    </row>
    <row r="45" spans="1:6" ht="12.75">
      <c r="D45" s="223"/>
    </row>
    <row r="46" spans="1:6" ht="12.75">
      <c r="D46" s="223"/>
    </row>
    <row r="47" spans="1:6" ht="12.75">
      <c r="D47" s="223"/>
    </row>
    <row r="48" spans="1:6" ht="12.75">
      <c r="D48" s="223"/>
    </row>
    <row r="49" spans="4:4" ht="12.75">
      <c r="D49" s="223"/>
    </row>
    <row r="50" spans="4:4" ht="12.75">
      <c r="D50" s="223"/>
    </row>
    <row r="51" spans="4:4" ht="12.75">
      <c r="D51" s="223"/>
    </row>
    <row r="52" spans="4:4" ht="12.75">
      <c r="D52" s="223"/>
    </row>
    <row r="53" spans="4:4" ht="12.75">
      <c r="D53" s="223"/>
    </row>
    <row r="54" spans="4:4" ht="12.75">
      <c r="D54" s="223"/>
    </row>
    <row r="55" spans="4:4" ht="12.75">
      <c r="D55" s="223"/>
    </row>
    <row r="56" spans="4:4" ht="12.75">
      <c r="D56" s="223"/>
    </row>
    <row r="57" spans="4:4" ht="12.75">
      <c r="D57" s="223"/>
    </row>
    <row r="58" spans="4:4" ht="12.75">
      <c r="D58" s="223"/>
    </row>
    <row r="59" spans="4:4" ht="12.75">
      <c r="D59" s="223"/>
    </row>
    <row r="60" spans="4:4" ht="12.75">
      <c r="D60" s="223"/>
    </row>
    <row r="61" spans="4:4" ht="12.75">
      <c r="D61" s="223"/>
    </row>
    <row r="62" spans="4:4" ht="12.75">
      <c r="D62" s="223"/>
    </row>
    <row r="63" spans="4:4" ht="12.75">
      <c r="D63" s="223"/>
    </row>
    <row r="64" spans="4:4" ht="12.75">
      <c r="D64" s="223"/>
    </row>
    <row r="65" spans="4:4" ht="12.75">
      <c r="D65" s="223"/>
    </row>
    <row r="66" spans="4:4" ht="12.75">
      <c r="D66" s="223"/>
    </row>
    <row r="67" spans="4:4" ht="12.75">
      <c r="D67" s="223"/>
    </row>
    <row r="68" spans="4:4" ht="12.75">
      <c r="D68" s="223"/>
    </row>
    <row r="69" spans="4:4" ht="12.75">
      <c r="D69" s="223"/>
    </row>
    <row r="70" spans="4:4" ht="12.75">
      <c r="D70" s="223"/>
    </row>
    <row r="71" spans="4:4" ht="12.75">
      <c r="D71" s="223"/>
    </row>
    <row r="72" spans="4:4" ht="12.75">
      <c r="D72" s="223"/>
    </row>
    <row r="73" spans="4:4" ht="12.75">
      <c r="D73" s="223"/>
    </row>
    <row r="74" spans="4:4" ht="12.75">
      <c r="D74" s="223"/>
    </row>
    <row r="75" spans="4:4" ht="12.75">
      <c r="D75" s="223"/>
    </row>
    <row r="76" spans="4:4" ht="12.75">
      <c r="D76" s="223"/>
    </row>
    <row r="77" spans="4:4" ht="12.75">
      <c r="D77" s="223"/>
    </row>
    <row r="78" spans="4:4" ht="12.75">
      <c r="D78" s="223"/>
    </row>
    <row r="79" spans="4:4" ht="12.75">
      <c r="D79" s="223"/>
    </row>
    <row r="80" spans="4:4" ht="12.75">
      <c r="D80" s="223"/>
    </row>
    <row r="81" spans="4:4" ht="12.75">
      <c r="D81" s="223"/>
    </row>
    <row r="82" spans="4:4" ht="12.75">
      <c r="D82" s="223"/>
    </row>
    <row r="83" spans="4:4" ht="12.75">
      <c r="D83" s="223"/>
    </row>
    <row r="84" spans="4:4" ht="12.75">
      <c r="D84" s="223"/>
    </row>
    <row r="85" spans="4:4" ht="12.75">
      <c r="D85" s="223"/>
    </row>
    <row r="86" spans="4:4" ht="12.75">
      <c r="D86" s="223"/>
    </row>
    <row r="87" spans="4:4" ht="12.75">
      <c r="D87" s="223"/>
    </row>
    <row r="88" spans="4:4" ht="12.75">
      <c r="D88" s="223"/>
    </row>
    <row r="89" spans="4:4" ht="12.75">
      <c r="D89" s="223"/>
    </row>
    <row r="90" spans="4:4" ht="12.75">
      <c r="D90" s="223"/>
    </row>
    <row r="91" spans="4:4" ht="12.75">
      <c r="D91" s="223"/>
    </row>
    <row r="92" spans="4:4" ht="12.75">
      <c r="D92" s="223"/>
    </row>
    <row r="93" spans="4:4" ht="12.75">
      <c r="D93" s="223"/>
    </row>
    <row r="94" spans="4:4" ht="12.75">
      <c r="D94" s="223"/>
    </row>
    <row r="95" spans="4:4" ht="12.75">
      <c r="D95" s="223"/>
    </row>
    <row r="96" spans="4:4" ht="12.75">
      <c r="D96" s="223"/>
    </row>
    <row r="97" spans="4:4" ht="12.75">
      <c r="D97" s="223"/>
    </row>
    <row r="98" spans="4:4" ht="12.75">
      <c r="D98" s="223"/>
    </row>
    <row r="99" spans="4:4" ht="12.75">
      <c r="D99" s="223"/>
    </row>
    <row r="100" spans="4:4" ht="12.75">
      <c r="D100" s="223"/>
    </row>
    <row r="101" spans="4:4" ht="12.75">
      <c r="D101" s="223"/>
    </row>
    <row r="102" spans="4:4" ht="12.75">
      <c r="D102" s="223"/>
    </row>
    <row r="103" spans="4:4" ht="12.75">
      <c r="D103" s="223"/>
    </row>
    <row r="104" spans="4:4" ht="12.75">
      <c r="D104" s="223"/>
    </row>
    <row r="105" spans="4:4" ht="12.75">
      <c r="D105" s="223"/>
    </row>
    <row r="106" spans="4:4" ht="12.75">
      <c r="D106" s="223"/>
    </row>
    <row r="107" spans="4:4" ht="12.75">
      <c r="D107" s="223"/>
    </row>
    <row r="108" spans="4:4" ht="12.75">
      <c r="D108" s="223"/>
    </row>
    <row r="109" spans="4:4" ht="12.75">
      <c r="D109" s="223"/>
    </row>
    <row r="110" spans="4:4" ht="12.75">
      <c r="D110" s="223"/>
    </row>
    <row r="111" spans="4:4" ht="12.75">
      <c r="D111" s="223"/>
    </row>
    <row r="112" spans="4:4" ht="12.75">
      <c r="D112" s="223"/>
    </row>
    <row r="113" spans="4:4" ht="12.75">
      <c r="D113" s="223"/>
    </row>
    <row r="114" spans="4:4" ht="12.75">
      <c r="D114" s="223"/>
    </row>
    <row r="115" spans="4:4" ht="12.75">
      <c r="D115" s="223"/>
    </row>
    <row r="116" spans="4:4" ht="12.75">
      <c r="D116" s="223"/>
    </row>
    <row r="117" spans="4:4" ht="12.75">
      <c r="D117" s="223"/>
    </row>
    <row r="118" spans="4:4" ht="12.75">
      <c r="D118" s="223"/>
    </row>
    <row r="119" spans="4:4" ht="12.75">
      <c r="D119" s="223"/>
    </row>
    <row r="120" spans="4:4" ht="12.75">
      <c r="D120" s="223"/>
    </row>
    <row r="121" spans="4:4" ht="12.75">
      <c r="D121" s="223"/>
    </row>
    <row r="122" spans="4:4" ht="12.75">
      <c r="D122" s="223"/>
    </row>
    <row r="123" spans="4:4" ht="12.75">
      <c r="D123" s="223"/>
    </row>
    <row r="124" spans="4:4" ht="12.75">
      <c r="D124" s="223"/>
    </row>
    <row r="125" spans="4:4" ht="12.75">
      <c r="D125" s="223"/>
    </row>
    <row r="126" spans="4:4" ht="12.75">
      <c r="D126" s="223"/>
    </row>
    <row r="127" spans="4:4" ht="12.75">
      <c r="D127" s="223"/>
    </row>
    <row r="128" spans="4:4" ht="12.75">
      <c r="D128" s="223"/>
    </row>
    <row r="129" spans="4:4" ht="12.75">
      <c r="D129" s="223"/>
    </row>
    <row r="130" spans="4:4" ht="12.75">
      <c r="D130" s="223"/>
    </row>
    <row r="131" spans="4:4" ht="12.75">
      <c r="D131" s="223"/>
    </row>
    <row r="132" spans="4:4" ht="12.75">
      <c r="D132" s="223"/>
    </row>
    <row r="133" spans="4:4" ht="12.75">
      <c r="D133" s="223"/>
    </row>
    <row r="134" spans="4:4" ht="12.75">
      <c r="D134" s="223"/>
    </row>
    <row r="135" spans="4:4" ht="12.75">
      <c r="D135" s="223"/>
    </row>
    <row r="136" spans="4:4" ht="12.75">
      <c r="D136" s="223"/>
    </row>
    <row r="137" spans="4:4" ht="12.75">
      <c r="D137" s="223"/>
    </row>
    <row r="138" spans="4:4" ht="12.75">
      <c r="D138" s="223"/>
    </row>
    <row r="139" spans="4:4" ht="12.75">
      <c r="D139" s="223"/>
    </row>
    <row r="140" spans="4:4" ht="12.75">
      <c r="D140" s="223"/>
    </row>
    <row r="141" spans="4:4" ht="12.75">
      <c r="D141" s="223"/>
    </row>
    <row r="142" spans="4:4" ht="12.75">
      <c r="D142" s="223"/>
    </row>
    <row r="143" spans="4:4" ht="12.75">
      <c r="D143" s="223"/>
    </row>
    <row r="144" spans="4:4" ht="12.75">
      <c r="D144" s="223"/>
    </row>
    <row r="145" spans="4:4" ht="12.75">
      <c r="D145" s="223"/>
    </row>
    <row r="146" spans="4:4" ht="12.75">
      <c r="D146" s="223"/>
    </row>
    <row r="147" spans="4:4" ht="12.75">
      <c r="D147" s="223"/>
    </row>
    <row r="148" spans="4:4" ht="12.75">
      <c r="D148" s="223"/>
    </row>
    <row r="149" spans="4:4" ht="12.75">
      <c r="D149" s="223"/>
    </row>
    <row r="150" spans="4:4" ht="12.75">
      <c r="D150" s="223"/>
    </row>
    <row r="151" spans="4:4" ht="12.75">
      <c r="D151" s="223"/>
    </row>
    <row r="152" spans="4:4" ht="12.75">
      <c r="D152" s="223"/>
    </row>
    <row r="153" spans="4:4" ht="12.75">
      <c r="D153" s="223"/>
    </row>
    <row r="154" spans="4:4" ht="12.75">
      <c r="D154" s="223"/>
    </row>
    <row r="155" spans="4:4" ht="12.75">
      <c r="D155" s="223"/>
    </row>
    <row r="156" spans="4:4" ht="12.75">
      <c r="D156" s="223"/>
    </row>
    <row r="157" spans="4:4" ht="12.75">
      <c r="D157" s="223"/>
    </row>
    <row r="158" spans="4:4" ht="12.75">
      <c r="D158" s="223"/>
    </row>
    <row r="159" spans="4:4" ht="12.75">
      <c r="D159" s="223"/>
    </row>
    <row r="160" spans="4:4" ht="12.75">
      <c r="D160" s="223"/>
    </row>
    <row r="161" spans="4:4" ht="12.75">
      <c r="D161" s="223"/>
    </row>
    <row r="162" spans="4:4" ht="12.75">
      <c r="D162" s="223"/>
    </row>
    <row r="163" spans="4:4" ht="12.75">
      <c r="D163" s="223"/>
    </row>
    <row r="164" spans="4:4" ht="12.75">
      <c r="D164" s="223"/>
    </row>
    <row r="165" spans="4:4" ht="12.75">
      <c r="D165" s="223"/>
    </row>
    <row r="166" spans="4:4" ht="12.75">
      <c r="D166" s="223"/>
    </row>
    <row r="167" spans="4:4" ht="12.75">
      <c r="D167" s="223"/>
    </row>
    <row r="168" spans="4:4" ht="12.75">
      <c r="D168" s="223"/>
    </row>
    <row r="169" spans="4:4" ht="12.75">
      <c r="D169" s="223"/>
    </row>
    <row r="170" spans="4:4" ht="12.75">
      <c r="D170" s="223"/>
    </row>
    <row r="171" spans="4:4" ht="12.75">
      <c r="D171" s="223"/>
    </row>
    <row r="172" spans="4:4" ht="12.75">
      <c r="D172" s="223"/>
    </row>
    <row r="173" spans="4:4" ht="12.75">
      <c r="D173" s="223"/>
    </row>
    <row r="174" spans="4:4" ht="12.75">
      <c r="D174" s="223"/>
    </row>
    <row r="175" spans="4:4" ht="12.75">
      <c r="D175" s="223"/>
    </row>
    <row r="176" spans="4:4" ht="12.75">
      <c r="D176" s="223"/>
    </row>
    <row r="177" spans="4:4" ht="12.75">
      <c r="D177" s="223"/>
    </row>
    <row r="178" spans="4:4" ht="12.75">
      <c r="D178" s="223"/>
    </row>
    <row r="179" spans="4:4" ht="12.75">
      <c r="D179" s="223"/>
    </row>
    <row r="180" spans="4:4" ht="12.75">
      <c r="D180" s="223"/>
    </row>
    <row r="181" spans="4:4" ht="12.75">
      <c r="D181" s="223"/>
    </row>
    <row r="182" spans="4:4" ht="12.75">
      <c r="D182" s="223"/>
    </row>
    <row r="183" spans="4:4" ht="12.75">
      <c r="D183" s="223"/>
    </row>
    <row r="184" spans="4:4" ht="12.75">
      <c r="D184" s="223"/>
    </row>
    <row r="185" spans="4:4" ht="12.75">
      <c r="D185" s="223"/>
    </row>
    <row r="186" spans="4:4" ht="12.75">
      <c r="D186" s="223"/>
    </row>
    <row r="187" spans="4:4" ht="12.75">
      <c r="D187" s="223"/>
    </row>
    <row r="188" spans="4:4" ht="12.75">
      <c r="D188" s="223"/>
    </row>
    <row r="189" spans="4:4" ht="12.75">
      <c r="D189" s="223"/>
    </row>
    <row r="190" spans="4:4" ht="12.75">
      <c r="D190" s="223"/>
    </row>
    <row r="191" spans="4:4" ht="12.75">
      <c r="D191" s="223"/>
    </row>
    <row r="192" spans="4:4" ht="12.75">
      <c r="D192" s="223"/>
    </row>
    <row r="193" spans="4:4" ht="12.75">
      <c r="D193" s="223"/>
    </row>
    <row r="194" spans="4:4" ht="12.75">
      <c r="D194" s="223"/>
    </row>
    <row r="195" spans="4:4" ht="12.75">
      <c r="D195" s="223"/>
    </row>
    <row r="196" spans="4:4" ht="12.75">
      <c r="D196" s="223"/>
    </row>
    <row r="197" spans="4:4" ht="12.75">
      <c r="D197" s="223"/>
    </row>
    <row r="198" spans="4:4" ht="12.75">
      <c r="D198" s="223"/>
    </row>
    <row r="199" spans="4:4" ht="12.75">
      <c r="D199" s="223"/>
    </row>
    <row r="200" spans="4:4" ht="12.75">
      <c r="D200" s="223"/>
    </row>
    <row r="201" spans="4:4" ht="12.75">
      <c r="D201" s="223"/>
    </row>
    <row r="202" spans="4:4" ht="12.75">
      <c r="D202" s="223"/>
    </row>
    <row r="203" spans="4:4" ht="12.75">
      <c r="D203" s="223"/>
    </row>
    <row r="204" spans="4:4" ht="12.75">
      <c r="D204" s="223"/>
    </row>
    <row r="205" spans="4:4" ht="12.75">
      <c r="D205" s="223"/>
    </row>
    <row r="206" spans="4:4" ht="12.75">
      <c r="D206" s="223"/>
    </row>
    <row r="207" spans="4:4" ht="12.75">
      <c r="D207" s="223"/>
    </row>
    <row r="208" spans="4:4" ht="12.75">
      <c r="D208" s="223"/>
    </row>
    <row r="209" spans="4:4" ht="12.75">
      <c r="D209" s="223"/>
    </row>
    <row r="210" spans="4:4" ht="12.75">
      <c r="D210" s="223"/>
    </row>
    <row r="211" spans="4:4" ht="12.75">
      <c r="D211" s="223"/>
    </row>
    <row r="212" spans="4:4" ht="12.75">
      <c r="D212" s="223"/>
    </row>
    <row r="213" spans="4:4" ht="12.75">
      <c r="D213" s="223"/>
    </row>
    <row r="214" spans="4:4" ht="12.75">
      <c r="D214" s="223"/>
    </row>
    <row r="215" spans="4:4" ht="12.75">
      <c r="D215" s="223"/>
    </row>
    <row r="216" spans="4:4" ht="12.75">
      <c r="D216" s="223"/>
    </row>
    <row r="217" spans="4:4" ht="12.75">
      <c r="D217" s="223"/>
    </row>
    <row r="218" spans="4:4" ht="12.75">
      <c r="D218" s="223"/>
    </row>
    <row r="219" spans="4:4" ht="12.75">
      <c r="D219" s="223"/>
    </row>
    <row r="220" spans="4:4" ht="12.75">
      <c r="D220" s="223"/>
    </row>
    <row r="221" spans="4:4" ht="12.75">
      <c r="D221" s="223"/>
    </row>
    <row r="222" spans="4:4" ht="12.75">
      <c r="D222" s="223"/>
    </row>
    <row r="223" spans="4:4" ht="12.75">
      <c r="D223" s="223"/>
    </row>
    <row r="224" spans="4:4" ht="12.75">
      <c r="D224" s="223"/>
    </row>
    <row r="225" spans="4:4" ht="12.75">
      <c r="D225" s="223"/>
    </row>
    <row r="226" spans="4:4" ht="12.75">
      <c r="D226" s="223"/>
    </row>
    <row r="227" spans="4:4" ht="12.75">
      <c r="D227" s="223"/>
    </row>
    <row r="228" spans="4:4" ht="12.75">
      <c r="D228" s="223"/>
    </row>
    <row r="229" spans="4:4" ht="12.75">
      <c r="D229" s="223"/>
    </row>
    <row r="230" spans="4:4" ht="12.75">
      <c r="D230" s="223"/>
    </row>
    <row r="231" spans="4:4" ht="12.75">
      <c r="D231" s="223"/>
    </row>
    <row r="232" spans="4:4" ht="12.75">
      <c r="D232" s="223"/>
    </row>
    <row r="233" spans="4:4" ht="12.75">
      <c r="D233" s="223"/>
    </row>
    <row r="234" spans="4:4" ht="12.75">
      <c r="D234" s="223"/>
    </row>
    <row r="235" spans="4:4" ht="12.75">
      <c r="D235" s="223"/>
    </row>
    <row r="236" spans="4:4" ht="12.75">
      <c r="D236" s="223"/>
    </row>
    <row r="237" spans="4:4" ht="12.75">
      <c r="D237" s="223"/>
    </row>
    <row r="238" spans="4:4" ht="12.75">
      <c r="D238" s="223"/>
    </row>
    <row r="239" spans="4:4" ht="12.75">
      <c r="D239" s="223"/>
    </row>
    <row r="240" spans="4:4" ht="12.75">
      <c r="D240" s="223"/>
    </row>
    <row r="241" spans="4:4" ht="12.75">
      <c r="D241" s="223"/>
    </row>
    <row r="242" spans="4:4" ht="12.75">
      <c r="D242" s="223"/>
    </row>
    <row r="243" spans="4:4" ht="12.75">
      <c r="D243" s="223"/>
    </row>
    <row r="244" spans="4:4" ht="12.75">
      <c r="D244" s="223"/>
    </row>
    <row r="245" spans="4:4" ht="12.75">
      <c r="D245" s="223"/>
    </row>
    <row r="246" spans="4:4" ht="12.75">
      <c r="D246" s="223"/>
    </row>
    <row r="247" spans="4:4" ht="12.75">
      <c r="D247" s="223"/>
    </row>
    <row r="248" spans="4:4" ht="12.75">
      <c r="D248" s="223"/>
    </row>
    <row r="249" spans="4:4" ht="12.75">
      <c r="D249" s="223"/>
    </row>
    <row r="250" spans="4:4" ht="12.75">
      <c r="D250" s="223"/>
    </row>
    <row r="251" spans="4:4" ht="12.75">
      <c r="D251" s="223"/>
    </row>
    <row r="252" spans="4:4" ht="12.75">
      <c r="D252" s="223"/>
    </row>
    <row r="253" spans="4:4" ht="12.75">
      <c r="D253" s="223"/>
    </row>
    <row r="254" spans="4:4" ht="12.75">
      <c r="D254" s="223"/>
    </row>
    <row r="255" spans="4:4" ht="12.75">
      <c r="D255" s="223"/>
    </row>
    <row r="256" spans="4:4" ht="12.75">
      <c r="D256" s="223"/>
    </row>
    <row r="257" spans="4:4" ht="12.75">
      <c r="D257" s="223"/>
    </row>
    <row r="258" spans="4:4" ht="12.75">
      <c r="D258" s="223"/>
    </row>
    <row r="259" spans="4:4" ht="12.75">
      <c r="D259" s="223"/>
    </row>
    <row r="260" spans="4:4" ht="12.75">
      <c r="D260" s="223"/>
    </row>
    <row r="261" spans="4:4" ht="12.75">
      <c r="D261" s="223"/>
    </row>
    <row r="262" spans="4:4" ht="12.75">
      <c r="D262" s="223"/>
    </row>
    <row r="263" spans="4:4" ht="12.75">
      <c r="D263" s="223"/>
    </row>
    <row r="264" spans="4:4" ht="12.75">
      <c r="D264" s="223"/>
    </row>
    <row r="265" spans="4:4" ht="12.75">
      <c r="D265" s="223"/>
    </row>
    <row r="266" spans="4:4" ht="12.75">
      <c r="D266" s="223"/>
    </row>
    <row r="267" spans="4:4" ht="12.75">
      <c r="D267" s="223"/>
    </row>
    <row r="268" spans="4:4" ht="12.75">
      <c r="D268" s="223"/>
    </row>
    <row r="269" spans="4:4" ht="12.75">
      <c r="D269" s="223"/>
    </row>
    <row r="270" spans="4:4" ht="12.75">
      <c r="D270" s="223"/>
    </row>
    <row r="271" spans="4:4" ht="12.75">
      <c r="D271" s="223"/>
    </row>
    <row r="272" spans="4:4" ht="12.75">
      <c r="D272" s="223"/>
    </row>
    <row r="273" spans="4:4" ht="12.75">
      <c r="D273" s="223"/>
    </row>
    <row r="274" spans="4:4" ht="12.75">
      <c r="D274" s="223"/>
    </row>
    <row r="275" spans="4:4" ht="12.75">
      <c r="D275" s="223"/>
    </row>
    <row r="276" spans="4:4" ht="12.75">
      <c r="D276" s="223"/>
    </row>
    <row r="277" spans="4:4" ht="12.75">
      <c r="D277" s="223"/>
    </row>
    <row r="278" spans="4:4" ht="12.75">
      <c r="D278" s="223"/>
    </row>
    <row r="279" spans="4:4" ht="12.75">
      <c r="D279" s="223"/>
    </row>
    <row r="280" spans="4:4" ht="12.75">
      <c r="D280" s="223"/>
    </row>
    <row r="281" spans="4:4" ht="12.75">
      <c r="D281" s="223"/>
    </row>
    <row r="282" spans="4:4" ht="12.75">
      <c r="D282" s="223"/>
    </row>
    <row r="283" spans="4:4" ht="12.75">
      <c r="D283" s="223"/>
    </row>
    <row r="284" spans="4:4" ht="12.75">
      <c r="D284" s="223"/>
    </row>
    <row r="285" spans="4:4" ht="12.75">
      <c r="D285" s="223"/>
    </row>
    <row r="286" spans="4:4" ht="12.75">
      <c r="D286" s="223"/>
    </row>
    <row r="287" spans="4:4" ht="12.75">
      <c r="D287" s="223"/>
    </row>
    <row r="288" spans="4:4" ht="12.75">
      <c r="D288" s="223"/>
    </row>
    <row r="289" spans="4:4" ht="12.75">
      <c r="D289" s="223"/>
    </row>
    <row r="290" spans="4:4" ht="12.75">
      <c r="D290" s="223"/>
    </row>
    <row r="291" spans="4:4" ht="12.75">
      <c r="D291" s="223"/>
    </row>
    <row r="292" spans="4:4" ht="12.75">
      <c r="D292" s="223"/>
    </row>
    <row r="293" spans="4:4" ht="12.75">
      <c r="D293" s="223"/>
    </row>
    <row r="294" spans="4:4" ht="12.75">
      <c r="D294" s="223"/>
    </row>
    <row r="295" spans="4:4" ht="12.75">
      <c r="D295" s="223"/>
    </row>
    <row r="296" spans="4:4" ht="12.75">
      <c r="D296" s="223"/>
    </row>
    <row r="297" spans="4:4" ht="12.75">
      <c r="D297" s="223"/>
    </row>
    <row r="298" spans="4:4" ht="12.75">
      <c r="D298" s="223"/>
    </row>
    <row r="299" spans="4:4" ht="12.75">
      <c r="D299" s="223"/>
    </row>
    <row r="300" spans="4:4" ht="12.75">
      <c r="D300" s="223"/>
    </row>
    <row r="301" spans="4:4" ht="12.75">
      <c r="D301" s="223"/>
    </row>
    <row r="302" spans="4:4" ht="12.75">
      <c r="D302" s="223"/>
    </row>
    <row r="303" spans="4:4" ht="12.75">
      <c r="D303" s="223"/>
    </row>
    <row r="304" spans="4:4" ht="12.75">
      <c r="D304" s="223"/>
    </row>
    <row r="305" spans="4:4" ht="12.75">
      <c r="D305" s="223"/>
    </row>
    <row r="306" spans="4:4" ht="12.75">
      <c r="D306" s="223"/>
    </row>
    <row r="307" spans="4:4" ht="12.75">
      <c r="D307" s="223"/>
    </row>
    <row r="308" spans="4:4" ht="12.75">
      <c r="D308" s="223"/>
    </row>
    <row r="309" spans="4:4" ht="12.75">
      <c r="D309" s="223"/>
    </row>
    <row r="310" spans="4:4" ht="12.75">
      <c r="D310" s="223"/>
    </row>
    <row r="311" spans="4:4" ht="12.75">
      <c r="D311" s="223"/>
    </row>
    <row r="312" spans="4:4" ht="12.75">
      <c r="D312" s="223"/>
    </row>
    <row r="313" spans="4:4" ht="12.75">
      <c r="D313" s="223"/>
    </row>
    <row r="314" spans="4:4" ht="12.75">
      <c r="D314" s="223"/>
    </row>
    <row r="315" spans="4:4" ht="12.75">
      <c r="D315" s="223"/>
    </row>
    <row r="316" spans="4:4" ht="12.75">
      <c r="D316" s="223"/>
    </row>
    <row r="317" spans="4:4" ht="12.75">
      <c r="D317" s="223"/>
    </row>
    <row r="318" spans="4:4" ht="12.75">
      <c r="D318" s="223"/>
    </row>
    <row r="319" spans="4:4" ht="12.75">
      <c r="D319" s="223"/>
    </row>
    <row r="320" spans="4:4" ht="12.75">
      <c r="D320" s="223"/>
    </row>
    <row r="321" spans="4:4" ht="12.75">
      <c r="D321" s="223"/>
    </row>
    <row r="322" spans="4:4" ht="12.75">
      <c r="D322" s="223"/>
    </row>
    <row r="323" spans="4:4" ht="12.75">
      <c r="D323" s="223"/>
    </row>
    <row r="324" spans="4:4" ht="12.75">
      <c r="D324" s="223"/>
    </row>
    <row r="325" spans="4:4" ht="12.75">
      <c r="D325" s="223"/>
    </row>
    <row r="326" spans="4:4" ht="12.75">
      <c r="D326" s="223"/>
    </row>
    <row r="327" spans="4:4" ht="12.75">
      <c r="D327" s="223"/>
    </row>
    <row r="328" spans="4:4" ht="12.75">
      <c r="D328" s="223"/>
    </row>
    <row r="329" spans="4:4" ht="12.75">
      <c r="D329" s="223"/>
    </row>
    <row r="330" spans="4:4" ht="12.75">
      <c r="D330" s="223"/>
    </row>
    <row r="331" spans="4:4" ht="12.75">
      <c r="D331" s="223"/>
    </row>
    <row r="332" spans="4:4" ht="12.75">
      <c r="D332" s="223"/>
    </row>
    <row r="333" spans="4:4" ht="12.75">
      <c r="D333" s="223"/>
    </row>
    <row r="334" spans="4:4" ht="12.75">
      <c r="D334" s="223"/>
    </row>
    <row r="335" spans="4:4" ht="12.75">
      <c r="D335" s="223"/>
    </row>
    <row r="336" spans="4:4" ht="12.75">
      <c r="D336" s="223"/>
    </row>
    <row r="337" spans="4:4" ht="12.75">
      <c r="D337" s="223"/>
    </row>
    <row r="338" spans="4:4" ht="12.75">
      <c r="D338" s="223"/>
    </row>
    <row r="339" spans="4:4" ht="12.75">
      <c r="D339" s="223"/>
    </row>
    <row r="340" spans="4:4" ht="12.75">
      <c r="D340" s="223"/>
    </row>
    <row r="341" spans="4:4" ht="12.75">
      <c r="D341" s="223"/>
    </row>
    <row r="342" spans="4:4" ht="12.75">
      <c r="D342" s="223"/>
    </row>
    <row r="343" spans="4:4" ht="12.75">
      <c r="D343" s="223"/>
    </row>
    <row r="344" spans="4:4" ht="12.75">
      <c r="D344" s="223"/>
    </row>
    <row r="345" spans="4:4" ht="12.75">
      <c r="D345" s="223"/>
    </row>
    <row r="346" spans="4:4" ht="12.75">
      <c r="D346" s="223"/>
    </row>
    <row r="347" spans="4:4" ht="12.75">
      <c r="D347" s="223"/>
    </row>
    <row r="348" spans="4:4" ht="12.75">
      <c r="D348" s="223"/>
    </row>
    <row r="349" spans="4:4" ht="12.75">
      <c r="D349" s="223"/>
    </row>
    <row r="350" spans="4:4" ht="12.75">
      <c r="D350" s="223"/>
    </row>
    <row r="351" spans="4:4" ht="12.75">
      <c r="D351" s="223"/>
    </row>
    <row r="352" spans="4:4" ht="12.75">
      <c r="D352" s="223"/>
    </row>
    <row r="353" spans="4:4" ht="12.75">
      <c r="D353" s="223"/>
    </row>
    <row r="354" spans="4:4" ht="12.75">
      <c r="D354" s="223"/>
    </row>
    <row r="355" spans="4:4" ht="12.75">
      <c r="D355" s="223"/>
    </row>
    <row r="356" spans="4:4" ht="12.75">
      <c r="D356" s="223"/>
    </row>
    <row r="357" spans="4:4" ht="12.75">
      <c r="D357" s="223"/>
    </row>
    <row r="358" spans="4:4" ht="12.75">
      <c r="D358" s="223"/>
    </row>
    <row r="359" spans="4:4" ht="12.75">
      <c r="D359" s="223"/>
    </row>
    <row r="360" spans="4:4" ht="12.75">
      <c r="D360" s="223"/>
    </row>
    <row r="361" spans="4:4" ht="12.75">
      <c r="D361" s="223"/>
    </row>
    <row r="362" spans="4:4" ht="12.75">
      <c r="D362" s="223"/>
    </row>
    <row r="363" spans="4:4" ht="12.75">
      <c r="D363" s="223"/>
    </row>
    <row r="364" spans="4:4" ht="12.75">
      <c r="D364" s="223"/>
    </row>
    <row r="365" spans="4:4" ht="12.75">
      <c r="D365" s="223"/>
    </row>
    <row r="366" spans="4:4" ht="12.75">
      <c r="D366" s="223"/>
    </row>
    <row r="367" spans="4:4" ht="12.75">
      <c r="D367" s="223"/>
    </row>
    <row r="368" spans="4:4" ht="12.75">
      <c r="D368" s="223"/>
    </row>
    <row r="369" spans="4:4" ht="12.75">
      <c r="D369" s="223"/>
    </row>
    <row r="370" spans="4:4" ht="12.75">
      <c r="D370" s="223"/>
    </row>
    <row r="371" spans="4:4" ht="12.75">
      <c r="D371" s="223"/>
    </row>
    <row r="372" spans="4:4" ht="12.75">
      <c r="D372" s="223"/>
    </row>
    <row r="373" spans="4:4" ht="12.75">
      <c r="D373" s="223"/>
    </row>
    <row r="374" spans="4:4" ht="12.75">
      <c r="D374" s="223"/>
    </row>
    <row r="375" spans="4:4" ht="12.75">
      <c r="D375" s="223"/>
    </row>
    <row r="376" spans="4:4" ht="12.75">
      <c r="D376" s="223"/>
    </row>
    <row r="377" spans="4:4" ht="12.75">
      <c r="D377" s="223"/>
    </row>
    <row r="378" spans="4:4" ht="12.75">
      <c r="D378" s="223"/>
    </row>
    <row r="379" spans="4:4" ht="12.75">
      <c r="D379" s="223"/>
    </row>
    <row r="380" spans="4:4" ht="12.75">
      <c r="D380" s="223"/>
    </row>
    <row r="381" spans="4:4" ht="12.75">
      <c r="D381" s="223"/>
    </row>
    <row r="382" spans="4:4" ht="12.75">
      <c r="D382" s="223"/>
    </row>
    <row r="383" spans="4:4" ht="12.75">
      <c r="D383" s="223"/>
    </row>
    <row r="384" spans="4:4" ht="12.75">
      <c r="D384" s="223"/>
    </row>
    <row r="385" spans="4:4" ht="12.75">
      <c r="D385" s="223"/>
    </row>
    <row r="386" spans="4:4" ht="12.75">
      <c r="D386" s="223"/>
    </row>
    <row r="387" spans="4:4" ht="12.75">
      <c r="D387" s="223"/>
    </row>
    <row r="388" spans="4:4" ht="12.75">
      <c r="D388" s="223"/>
    </row>
    <row r="389" spans="4:4" ht="12.75">
      <c r="D389" s="223"/>
    </row>
    <row r="390" spans="4:4" ht="12.75">
      <c r="D390" s="223"/>
    </row>
    <row r="391" spans="4:4" ht="12.75">
      <c r="D391" s="223"/>
    </row>
    <row r="392" spans="4:4" ht="12.75">
      <c r="D392" s="223"/>
    </row>
    <row r="393" spans="4:4" ht="12.75">
      <c r="D393" s="223"/>
    </row>
    <row r="394" spans="4:4" ht="12.75">
      <c r="D394" s="223"/>
    </row>
    <row r="395" spans="4:4" ht="12.75">
      <c r="D395" s="223"/>
    </row>
    <row r="396" spans="4:4" ht="12.75">
      <c r="D396" s="223"/>
    </row>
    <row r="397" spans="4:4" ht="12.75">
      <c r="D397" s="223"/>
    </row>
    <row r="398" spans="4:4" ht="12.75">
      <c r="D398" s="223"/>
    </row>
    <row r="399" spans="4:4" ht="12.75">
      <c r="D399" s="223"/>
    </row>
    <row r="400" spans="4:4" ht="12.75">
      <c r="D400" s="223"/>
    </row>
    <row r="401" spans="4:4" ht="12.75">
      <c r="D401" s="223"/>
    </row>
    <row r="402" spans="4:4" ht="12.75">
      <c r="D402" s="223"/>
    </row>
    <row r="403" spans="4:4" ht="12.75">
      <c r="D403" s="223"/>
    </row>
    <row r="404" spans="4:4" ht="12.75">
      <c r="D404" s="223"/>
    </row>
    <row r="405" spans="4:4" ht="12.75">
      <c r="D405" s="223"/>
    </row>
    <row r="406" spans="4:4" ht="12.75">
      <c r="D406" s="223"/>
    </row>
    <row r="407" spans="4:4" ht="12.75">
      <c r="D407" s="223"/>
    </row>
    <row r="408" spans="4:4" ht="12.75">
      <c r="D408" s="223"/>
    </row>
    <row r="409" spans="4:4" ht="12.75">
      <c r="D409" s="223"/>
    </row>
    <row r="410" spans="4:4" ht="12.75">
      <c r="D410" s="223"/>
    </row>
    <row r="411" spans="4:4" ht="12.75">
      <c r="D411" s="223"/>
    </row>
    <row r="412" spans="4:4" ht="12.75">
      <c r="D412" s="223"/>
    </row>
    <row r="413" spans="4:4" ht="12.75">
      <c r="D413" s="223"/>
    </row>
    <row r="414" spans="4:4" ht="12.75">
      <c r="D414" s="223"/>
    </row>
    <row r="415" spans="4:4" ht="12.75">
      <c r="D415" s="223"/>
    </row>
    <row r="416" spans="4:4" ht="12.75">
      <c r="D416" s="223"/>
    </row>
    <row r="417" spans="4:4" ht="12.75">
      <c r="D417" s="223"/>
    </row>
    <row r="418" spans="4:4" ht="12.75">
      <c r="D418" s="223"/>
    </row>
    <row r="419" spans="4:4" ht="12.75">
      <c r="D419" s="223"/>
    </row>
    <row r="420" spans="4:4" ht="12.75">
      <c r="D420" s="223"/>
    </row>
    <row r="421" spans="4:4" ht="12.75">
      <c r="D421" s="223"/>
    </row>
    <row r="422" spans="4:4" ht="12.75">
      <c r="D422" s="223"/>
    </row>
    <row r="423" spans="4:4" ht="12.75">
      <c r="D423" s="223"/>
    </row>
    <row r="424" spans="4:4" ht="12.75">
      <c r="D424" s="223"/>
    </row>
    <row r="425" spans="4:4" ht="12.75">
      <c r="D425" s="223"/>
    </row>
    <row r="426" spans="4:4" ht="12.75">
      <c r="D426" s="223"/>
    </row>
    <row r="427" spans="4:4" ht="12.75">
      <c r="D427" s="223"/>
    </row>
    <row r="428" spans="4:4" ht="12.75">
      <c r="D428" s="223"/>
    </row>
    <row r="429" spans="4:4" ht="12.75">
      <c r="D429" s="223"/>
    </row>
    <row r="430" spans="4:4" ht="12.75">
      <c r="D430" s="223"/>
    </row>
    <row r="431" spans="4:4" ht="12.75">
      <c r="D431" s="223"/>
    </row>
    <row r="432" spans="4:4" ht="12.75">
      <c r="D432" s="223"/>
    </row>
    <row r="433" spans="4:4" ht="12.75">
      <c r="D433" s="223"/>
    </row>
    <row r="434" spans="4:4" ht="12.75">
      <c r="D434" s="223"/>
    </row>
    <row r="435" spans="4:4" ht="12.75">
      <c r="D435" s="223"/>
    </row>
    <row r="436" spans="4:4" ht="12.75">
      <c r="D436" s="223"/>
    </row>
    <row r="437" spans="4:4" ht="12.75">
      <c r="D437" s="223"/>
    </row>
    <row r="438" spans="4:4" ht="12.75">
      <c r="D438" s="223"/>
    </row>
    <row r="439" spans="4:4" ht="12.75">
      <c r="D439" s="223"/>
    </row>
    <row r="440" spans="4:4" ht="12.75">
      <c r="D440" s="223"/>
    </row>
    <row r="441" spans="4:4" ht="12.75">
      <c r="D441" s="223"/>
    </row>
    <row r="442" spans="4:4" ht="12.75">
      <c r="D442" s="223"/>
    </row>
    <row r="443" spans="4:4" ht="12.75">
      <c r="D443" s="223"/>
    </row>
    <row r="444" spans="4:4" ht="12.75">
      <c r="D444" s="223"/>
    </row>
    <row r="445" spans="4:4" ht="12.75">
      <c r="D445" s="223"/>
    </row>
    <row r="446" spans="4:4" ht="12.75">
      <c r="D446" s="223"/>
    </row>
    <row r="447" spans="4:4" ht="12.75">
      <c r="D447" s="223"/>
    </row>
    <row r="448" spans="4:4" ht="12.75">
      <c r="D448" s="223"/>
    </row>
    <row r="449" spans="4:4" ht="12.75">
      <c r="D449" s="223"/>
    </row>
    <row r="450" spans="4:4" ht="12.75">
      <c r="D450" s="223"/>
    </row>
    <row r="451" spans="4:4" ht="12.75">
      <c r="D451" s="223"/>
    </row>
    <row r="452" spans="4:4" ht="12.75">
      <c r="D452" s="223"/>
    </row>
    <row r="453" spans="4:4" ht="12.75">
      <c r="D453" s="223"/>
    </row>
    <row r="454" spans="4:4" ht="12.75">
      <c r="D454" s="223"/>
    </row>
    <row r="455" spans="4:4" ht="12.75">
      <c r="D455" s="223"/>
    </row>
    <row r="456" spans="4:4" ht="12.75">
      <c r="D456" s="223"/>
    </row>
    <row r="457" spans="4:4" ht="12.75">
      <c r="D457" s="223"/>
    </row>
    <row r="458" spans="4:4" ht="12.75">
      <c r="D458" s="223"/>
    </row>
    <row r="459" spans="4:4" ht="12.75">
      <c r="D459" s="223"/>
    </row>
    <row r="460" spans="4:4" ht="12.75">
      <c r="D460" s="223"/>
    </row>
    <row r="461" spans="4:4" ht="12.75">
      <c r="D461" s="223"/>
    </row>
    <row r="462" spans="4:4" ht="12.75">
      <c r="D462" s="223"/>
    </row>
    <row r="463" spans="4:4" ht="12.75">
      <c r="D463" s="223"/>
    </row>
    <row r="464" spans="4:4" ht="12.75">
      <c r="D464" s="223"/>
    </row>
    <row r="465" spans="4:4" ht="12.75">
      <c r="D465" s="223"/>
    </row>
    <row r="466" spans="4:4" ht="12.75">
      <c r="D466" s="223"/>
    </row>
    <row r="467" spans="4:4" ht="12.75">
      <c r="D467" s="223"/>
    </row>
    <row r="468" spans="4:4" ht="12.75">
      <c r="D468" s="223"/>
    </row>
    <row r="469" spans="4:4" ht="12.75">
      <c r="D469" s="223"/>
    </row>
    <row r="470" spans="4:4" ht="12.75">
      <c r="D470" s="223"/>
    </row>
    <row r="471" spans="4:4" ht="12.75">
      <c r="D471" s="223"/>
    </row>
    <row r="472" spans="4:4" ht="12.75">
      <c r="D472" s="223"/>
    </row>
    <row r="473" spans="4:4" ht="12.75">
      <c r="D473" s="223"/>
    </row>
    <row r="474" spans="4:4" ht="12.75">
      <c r="D474" s="223"/>
    </row>
    <row r="475" spans="4:4" ht="12.75">
      <c r="D475" s="223"/>
    </row>
    <row r="476" spans="4:4" ht="12.75">
      <c r="D476" s="223"/>
    </row>
    <row r="477" spans="4:4" ht="12.75">
      <c r="D477" s="223"/>
    </row>
    <row r="478" spans="4:4" ht="12.75">
      <c r="D478" s="223"/>
    </row>
    <row r="479" spans="4:4" ht="12.75">
      <c r="D479" s="223"/>
    </row>
    <row r="480" spans="4:4" ht="12.75">
      <c r="D480" s="223"/>
    </row>
    <row r="481" spans="4:4" ht="12.75">
      <c r="D481" s="223"/>
    </row>
    <row r="482" spans="4:4" ht="12.75">
      <c r="D482" s="223"/>
    </row>
    <row r="483" spans="4:4" ht="12.75">
      <c r="D483" s="223"/>
    </row>
    <row r="484" spans="4:4" ht="12.75">
      <c r="D484" s="223"/>
    </row>
    <row r="485" spans="4:4" ht="12.75">
      <c r="D485" s="223"/>
    </row>
    <row r="486" spans="4:4" ht="12.75">
      <c r="D486" s="223"/>
    </row>
    <row r="487" spans="4:4" ht="12.75">
      <c r="D487" s="223"/>
    </row>
    <row r="488" spans="4:4" ht="12.75">
      <c r="D488" s="223"/>
    </row>
    <row r="489" spans="4:4" ht="12.75">
      <c r="D489" s="223"/>
    </row>
    <row r="490" spans="4:4" ht="12.75">
      <c r="D490" s="223"/>
    </row>
    <row r="491" spans="4:4" ht="12.75">
      <c r="D491" s="223"/>
    </row>
    <row r="492" spans="4:4" ht="12.75">
      <c r="D492" s="223"/>
    </row>
    <row r="493" spans="4:4" ht="12.75">
      <c r="D493" s="223"/>
    </row>
    <row r="494" spans="4:4" ht="12.75">
      <c r="D494" s="223"/>
    </row>
    <row r="495" spans="4:4" ht="12.75">
      <c r="D495" s="223"/>
    </row>
    <row r="496" spans="4:4" ht="12.75">
      <c r="D496" s="223"/>
    </row>
    <row r="497" spans="4:4" ht="12.75">
      <c r="D497" s="223"/>
    </row>
    <row r="498" spans="4:4" ht="12.75">
      <c r="D498" s="223"/>
    </row>
    <row r="499" spans="4:4" ht="12.75">
      <c r="D499" s="223"/>
    </row>
    <row r="500" spans="4:4" ht="12.75">
      <c r="D500" s="223"/>
    </row>
    <row r="501" spans="4:4" ht="12.75">
      <c r="D501" s="223"/>
    </row>
    <row r="502" spans="4:4" ht="12.75">
      <c r="D502" s="223"/>
    </row>
    <row r="503" spans="4:4" ht="12.75">
      <c r="D503" s="223"/>
    </row>
    <row r="504" spans="4:4" ht="12.75">
      <c r="D504" s="223"/>
    </row>
    <row r="505" spans="4:4" ht="12.75">
      <c r="D505" s="223"/>
    </row>
    <row r="506" spans="4:4" ht="12.75">
      <c r="D506" s="223"/>
    </row>
    <row r="507" spans="4:4" ht="12.75">
      <c r="D507" s="223"/>
    </row>
    <row r="508" spans="4:4" ht="12.75">
      <c r="D508" s="223"/>
    </row>
    <row r="509" spans="4:4" ht="12.75">
      <c r="D509" s="223"/>
    </row>
    <row r="510" spans="4:4" ht="12.75">
      <c r="D510" s="223"/>
    </row>
    <row r="511" spans="4:4" ht="12.75">
      <c r="D511" s="223"/>
    </row>
    <row r="512" spans="4:4" ht="12.75">
      <c r="D512" s="223"/>
    </row>
    <row r="513" spans="4:4" ht="12.75">
      <c r="D513" s="223"/>
    </row>
    <row r="514" spans="4:4" ht="12.75">
      <c r="D514" s="223"/>
    </row>
    <row r="515" spans="4:4" ht="12.75">
      <c r="D515" s="223"/>
    </row>
    <row r="516" spans="4:4" ht="12.75">
      <c r="D516" s="223"/>
    </row>
    <row r="517" spans="4:4" ht="12.75">
      <c r="D517" s="223"/>
    </row>
    <row r="518" spans="4:4" ht="12.75">
      <c r="D518" s="223"/>
    </row>
    <row r="519" spans="4:4" ht="12.75">
      <c r="D519" s="223"/>
    </row>
    <row r="520" spans="4:4" ht="12.75">
      <c r="D520" s="223"/>
    </row>
    <row r="521" spans="4:4" ht="12.75">
      <c r="D521" s="223"/>
    </row>
    <row r="522" spans="4:4" ht="12.75">
      <c r="D522" s="223"/>
    </row>
    <row r="523" spans="4:4" ht="12.75">
      <c r="D523" s="223"/>
    </row>
    <row r="524" spans="4:4" ht="12.75">
      <c r="D524" s="223"/>
    </row>
    <row r="525" spans="4:4" ht="12.75">
      <c r="D525" s="223"/>
    </row>
    <row r="526" spans="4:4" ht="12.75">
      <c r="D526" s="223"/>
    </row>
    <row r="527" spans="4:4" ht="12.75">
      <c r="D527" s="223"/>
    </row>
    <row r="528" spans="4:4" ht="12.75">
      <c r="D528" s="223"/>
    </row>
    <row r="529" spans="4:4" ht="12.75">
      <c r="D529" s="223"/>
    </row>
    <row r="530" spans="4:4" ht="12.75">
      <c r="D530" s="223"/>
    </row>
    <row r="531" spans="4:4" ht="12.75">
      <c r="D531" s="223"/>
    </row>
    <row r="532" spans="4:4" ht="12.75">
      <c r="D532" s="223"/>
    </row>
    <row r="533" spans="4:4" ht="12.75">
      <c r="D533" s="223"/>
    </row>
    <row r="534" spans="4:4" ht="12.75">
      <c r="D534" s="223"/>
    </row>
    <row r="535" spans="4:4" ht="12.75">
      <c r="D535" s="223"/>
    </row>
    <row r="536" spans="4:4" ht="12.75">
      <c r="D536" s="223"/>
    </row>
    <row r="537" spans="4:4" ht="12.75">
      <c r="D537" s="223"/>
    </row>
    <row r="538" spans="4:4" ht="12.75">
      <c r="D538" s="223"/>
    </row>
    <row r="539" spans="4:4" ht="12.75">
      <c r="D539" s="223"/>
    </row>
    <row r="540" spans="4:4" ht="12.75">
      <c r="D540" s="223"/>
    </row>
    <row r="541" spans="4:4" ht="12.75">
      <c r="D541" s="223"/>
    </row>
    <row r="542" spans="4:4" ht="12.75">
      <c r="D542" s="223"/>
    </row>
    <row r="543" spans="4:4" ht="12.75">
      <c r="D543" s="223"/>
    </row>
    <row r="544" spans="4:4" ht="12.75">
      <c r="D544" s="223"/>
    </row>
    <row r="545" spans="4:4" ht="12.75">
      <c r="D545" s="223"/>
    </row>
    <row r="546" spans="4:4" ht="12.75">
      <c r="D546" s="223"/>
    </row>
    <row r="547" spans="4:4" ht="12.75">
      <c r="D547" s="223"/>
    </row>
    <row r="548" spans="4:4" ht="12.75">
      <c r="D548" s="223"/>
    </row>
    <row r="549" spans="4:4" ht="12.75">
      <c r="D549" s="223"/>
    </row>
    <row r="550" spans="4:4" ht="12.75">
      <c r="D550" s="223"/>
    </row>
    <row r="551" spans="4:4" ht="12.75">
      <c r="D551" s="223"/>
    </row>
    <row r="552" spans="4:4" ht="12.75">
      <c r="D552" s="223"/>
    </row>
    <row r="553" spans="4:4" ht="12.75">
      <c r="D553" s="223"/>
    </row>
    <row r="554" spans="4:4" ht="12.75">
      <c r="D554" s="223"/>
    </row>
    <row r="555" spans="4:4" ht="12.75">
      <c r="D555" s="223"/>
    </row>
    <row r="556" spans="4:4" ht="12.75">
      <c r="D556" s="223"/>
    </row>
    <row r="557" spans="4:4" ht="12.75">
      <c r="D557" s="223"/>
    </row>
    <row r="558" spans="4:4" ht="12.75">
      <c r="D558" s="223"/>
    </row>
    <row r="559" spans="4:4" ht="12.75">
      <c r="D559" s="223"/>
    </row>
    <row r="560" spans="4:4" ht="12.75">
      <c r="D560" s="223"/>
    </row>
    <row r="561" spans="4:4" ht="12.75">
      <c r="D561" s="223"/>
    </row>
    <row r="562" spans="4:4" ht="12.75">
      <c r="D562" s="223"/>
    </row>
    <row r="563" spans="4:4" ht="12.75">
      <c r="D563" s="223"/>
    </row>
    <row r="564" spans="4:4" ht="12.75">
      <c r="D564" s="223"/>
    </row>
    <row r="565" spans="4:4" ht="12.75">
      <c r="D565" s="223"/>
    </row>
    <row r="566" spans="4:4" ht="12.75">
      <c r="D566" s="223"/>
    </row>
    <row r="567" spans="4:4" ht="12.75">
      <c r="D567" s="223"/>
    </row>
    <row r="568" spans="4:4" ht="12.75">
      <c r="D568" s="223"/>
    </row>
    <row r="569" spans="4:4" ht="12.75">
      <c r="D569" s="223"/>
    </row>
    <row r="570" spans="4:4" ht="12.75">
      <c r="D570" s="223"/>
    </row>
    <row r="571" spans="4:4" ht="12.75">
      <c r="D571" s="223"/>
    </row>
    <row r="572" spans="4:4" ht="12.75">
      <c r="D572" s="223"/>
    </row>
    <row r="573" spans="4:4" ht="12.75">
      <c r="D573" s="223"/>
    </row>
    <row r="574" spans="4:4" ht="12.75">
      <c r="D574" s="223"/>
    </row>
    <row r="575" spans="4:4" ht="12.75">
      <c r="D575" s="223"/>
    </row>
    <row r="576" spans="4:4" ht="12.75">
      <c r="D576" s="223"/>
    </row>
    <row r="577" spans="4:4" ht="12.75">
      <c r="D577" s="223"/>
    </row>
    <row r="578" spans="4:4" ht="12.75">
      <c r="D578" s="223"/>
    </row>
    <row r="579" spans="4:4" ht="12.75">
      <c r="D579" s="223"/>
    </row>
    <row r="580" spans="4:4" ht="12.75">
      <c r="D580" s="223"/>
    </row>
    <row r="581" spans="4:4" ht="12.75">
      <c r="D581" s="223"/>
    </row>
    <row r="582" spans="4:4" ht="12.75">
      <c r="D582" s="223"/>
    </row>
    <row r="583" spans="4:4" ht="12.75">
      <c r="D583" s="223"/>
    </row>
    <row r="584" spans="4:4" ht="12.75">
      <c r="D584" s="223"/>
    </row>
    <row r="585" spans="4:4" ht="12.75">
      <c r="D585" s="223"/>
    </row>
    <row r="586" spans="4:4" ht="12.75">
      <c r="D586" s="223"/>
    </row>
    <row r="587" spans="4:4" ht="12.75">
      <c r="D587" s="223"/>
    </row>
    <row r="588" spans="4:4" ht="12.75">
      <c r="D588" s="223"/>
    </row>
    <row r="589" spans="4:4" ht="12.75">
      <c r="D589" s="223"/>
    </row>
    <row r="590" spans="4:4" ht="12.75">
      <c r="D590" s="223"/>
    </row>
    <row r="591" spans="4:4" ht="12.75">
      <c r="D591" s="223"/>
    </row>
    <row r="592" spans="4:4" ht="12.75">
      <c r="D592" s="223"/>
    </row>
    <row r="593" spans="4:4" ht="12.75">
      <c r="D593" s="223"/>
    </row>
    <row r="594" spans="4:4" ht="12.75">
      <c r="D594" s="223"/>
    </row>
    <row r="595" spans="4:4" ht="12.75">
      <c r="D595" s="223"/>
    </row>
    <row r="596" spans="4:4" ht="12.75">
      <c r="D596" s="223"/>
    </row>
    <row r="597" spans="4:4" ht="12.75">
      <c r="D597" s="223"/>
    </row>
    <row r="598" spans="4:4" ht="12.75">
      <c r="D598" s="223"/>
    </row>
    <row r="599" spans="4:4" ht="12.75">
      <c r="D599" s="223"/>
    </row>
    <row r="600" spans="4:4" ht="12.75">
      <c r="D600" s="223"/>
    </row>
    <row r="601" spans="4:4" ht="12.75">
      <c r="D601" s="223"/>
    </row>
    <row r="602" spans="4:4" ht="12.75">
      <c r="D602" s="223"/>
    </row>
    <row r="603" spans="4:4" ht="12.75">
      <c r="D603" s="223"/>
    </row>
    <row r="604" spans="4:4" ht="12.75">
      <c r="D604" s="223"/>
    </row>
    <row r="605" spans="4:4" ht="12.75">
      <c r="D605" s="223"/>
    </row>
    <row r="606" spans="4:4" ht="12.75">
      <c r="D606" s="223"/>
    </row>
    <row r="607" spans="4:4" ht="12.75">
      <c r="D607" s="223"/>
    </row>
    <row r="608" spans="4:4" ht="12.75">
      <c r="D608" s="223"/>
    </row>
    <row r="609" spans="4:4" ht="12.75">
      <c r="D609" s="223"/>
    </row>
    <row r="610" spans="4:4" ht="12.75">
      <c r="D610" s="223"/>
    </row>
    <row r="611" spans="4:4" ht="12.75">
      <c r="D611" s="223"/>
    </row>
    <row r="612" spans="4:4" ht="12.75">
      <c r="D612" s="223"/>
    </row>
    <row r="613" spans="4:4" ht="12.75">
      <c r="D613" s="223"/>
    </row>
    <row r="614" spans="4:4" ht="12.75">
      <c r="D614" s="223"/>
    </row>
    <row r="615" spans="4:4" ht="12.75">
      <c r="D615" s="223"/>
    </row>
    <row r="616" spans="4:4" ht="12.75">
      <c r="D616" s="223"/>
    </row>
    <row r="617" spans="4:4" ht="12.75">
      <c r="D617" s="223"/>
    </row>
    <row r="618" spans="4:4" ht="12.75">
      <c r="D618" s="223"/>
    </row>
    <row r="619" spans="4:4" ht="12.75">
      <c r="D619" s="223"/>
    </row>
    <row r="620" spans="4:4" ht="12.75">
      <c r="D620" s="223"/>
    </row>
    <row r="621" spans="4:4" ht="12.75">
      <c r="D621" s="223"/>
    </row>
    <row r="622" spans="4:4" ht="12.75">
      <c r="D622" s="223"/>
    </row>
    <row r="623" spans="4:4" ht="12.75">
      <c r="D623" s="223"/>
    </row>
    <row r="624" spans="4:4" ht="12.75">
      <c r="D624" s="223"/>
    </row>
    <row r="625" spans="4:4" ht="12.75">
      <c r="D625" s="223"/>
    </row>
    <row r="626" spans="4:4" ht="12.75">
      <c r="D626" s="223"/>
    </row>
    <row r="627" spans="4:4" ht="12.75">
      <c r="D627" s="223"/>
    </row>
    <row r="628" spans="4:4" ht="12.75">
      <c r="D628" s="223"/>
    </row>
    <row r="629" spans="4:4" ht="12.75">
      <c r="D629" s="223"/>
    </row>
    <row r="630" spans="4:4" ht="12.75">
      <c r="D630" s="223"/>
    </row>
    <row r="631" spans="4:4" ht="12.75">
      <c r="D631" s="223"/>
    </row>
    <row r="632" spans="4:4" ht="12.75">
      <c r="D632" s="223"/>
    </row>
    <row r="633" spans="4:4" ht="12.75">
      <c r="D633" s="223"/>
    </row>
    <row r="634" spans="4:4" ht="12.75">
      <c r="D634" s="223"/>
    </row>
    <row r="635" spans="4:4" ht="12.75">
      <c r="D635" s="223"/>
    </row>
    <row r="636" spans="4:4" ht="12.75">
      <c r="D636" s="223"/>
    </row>
    <row r="637" spans="4:4" ht="12.75">
      <c r="D637" s="223"/>
    </row>
    <row r="638" spans="4:4" ht="12.75">
      <c r="D638" s="223"/>
    </row>
    <row r="639" spans="4:4" ht="12.75">
      <c r="D639" s="223"/>
    </row>
    <row r="640" spans="4:4" ht="12.75">
      <c r="D640" s="223"/>
    </row>
    <row r="641" spans="4:4" ht="12.75">
      <c r="D641" s="223"/>
    </row>
    <row r="642" spans="4:4" ht="12.75">
      <c r="D642" s="223"/>
    </row>
    <row r="643" spans="4:4" ht="12.75">
      <c r="D643" s="223"/>
    </row>
    <row r="644" spans="4:4" ht="12.75">
      <c r="D644" s="223"/>
    </row>
    <row r="645" spans="4:4" ht="12.75">
      <c r="D645" s="223"/>
    </row>
    <row r="646" spans="4:4" ht="12.75">
      <c r="D646" s="223"/>
    </row>
    <row r="647" spans="4:4" ht="12.75">
      <c r="D647" s="223"/>
    </row>
    <row r="648" spans="4:4" ht="12.75">
      <c r="D648" s="223"/>
    </row>
    <row r="649" spans="4:4" ht="12.75">
      <c r="D649" s="223"/>
    </row>
    <row r="650" spans="4:4" ht="12.75">
      <c r="D650" s="223"/>
    </row>
    <row r="651" spans="4:4" ht="12.75">
      <c r="D651" s="223"/>
    </row>
    <row r="652" spans="4:4" ht="12.75">
      <c r="D652" s="223"/>
    </row>
    <row r="653" spans="4:4" ht="12.75">
      <c r="D653" s="223"/>
    </row>
    <row r="654" spans="4:4" ht="12.75">
      <c r="D654" s="223"/>
    </row>
    <row r="655" spans="4:4" ht="12.75">
      <c r="D655" s="223"/>
    </row>
    <row r="656" spans="4:4" ht="12.75">
      <c r="D656" s="223"/>
    </row>
    <row r="657" spans="4:4" ht="12.75">
      <c r="D657" s="223"/>
    </row>
    <row r="658" spans="4:4" ht="12.75">
      <c r="D658" s="223"/>
    </row>
    <row r="659" spans="4:4" ht="12.75">
      <c r="D659" s="223"/>
    </row>
    <row r="660" spans="4:4" ht="12.75">
      <c r="D660" s="223"/>
    </row>
    <row r="661" spans="4:4" ht="12.75">
      <c r="D661" s="223"/>
    </row>
    <row r="662" spans="4:4" ht="12.75">
      <c r="D662" s="223"/>
    </row>
    <row r="663" spans="4:4" ht="12.75">
      <c r="D663" s="223"/>
    </row>
    <row r="664" spans="4:4" ht="12.75">
      <c r="D664" s="223"/>
    </row>
    <row r="665" spans="4:4" ht="12.75">
      <c r="D665" s="223"/>
    </row>
    <row r="666" spans="4:4" ht="12.75">
      <c r="D666" s="223"/>
    </row>
    <row r="667" spans="4:4" ht="12.75">
      <c r="D667" s="223"/>
    </row>
    <row r="668" spans="4:4" ht="12.75">
      <c r="D668" s="223"/>
    </row>
    <row r="669" spans="4:4" ht="12.75">
      <c r="D669" s="223"/>
    </row>
    <row r="670" spans="4:4" ht="12.75">
      <c r="D670" s="223"/>
    </row>
    <row r="671" spans="4:4" ht="12.75">
      <c r="D671" s="223"/>
    </row>
    <row r="672" spans="4:4" ht="12.75">
      <c r="D672" s="223"/>
    </row>
    <row r="673" spans="4:4" ht="12.75">
      <c r="D673" s="223"/>
    </row>
    <row r="674" spans="4:4" ht="12.75">
      <c r="D674" s="223"/>
    </row>
    <row r="675" spans="4:4" ht="12.75">
      <c r="D675" s="223"/>
    </row>
    <row r="676" spans="4:4" ht="12.75">
      <c r="D676" s="223"/>
    </row>
    <row r="677" spans="4:4" ht="12.75">
      <c r="D677" s="223"/>
    </row>
    <row r="678" spans="4:4" ht="12.75">
      <c r="D678" s="223"/>
    </row>
    <row r="679" spans="4:4" ht="12.75">
      <c r="D679" s="223"/>
    </row>
    <row r="680" spans="4:4" ht="12.75">
      <c r="D680" s="223"/>
    </row>
    <row r="681" spans="4:4" ht="12.75">
      <c r="D681" s="223"/>
    </row>
    <row r="682" spans="4:4" ht="12.75">
      <c r="D682" s="223"/>
    </row>
    <row r="683" spans="4:4" ht="12.75">
      <c r="D683" s="223"/>
    </row>
    <row r="684" spans="4:4" ht="12.75">
      <c r="D684" s="223"/>
    </row>
    <row r="685" spans="4:4" ht="12.75">
      <c r="D685" s="223"/>
    </row>
    <row r="686" spans="4:4" ht="12.75">
      <c r="D686" s="223"/>
    </row>
    <row r="687" spans="4:4" ht="12.75">
      <c r="D687" s="223"/>
    </row>
    <row r="688" spans="4:4" ht="12.75">
      <c r="D688" s="223"/>
    </row>
    <row r="689" spans="4:4" ht="12.75">
      <c r="D689" s="223"/>
    </row>
    <row r="690" spans="4:4" ht="12.75">
      <c r="D690" s="223"/>
    </row>
    <row r="691" spans="4:4" ht="12.75">
      <c r="D691" s="223"/>
    </row>
    <row r="692" spans="4:4" ht="12.75">
      <c r="D692" s="223"/>
    </row>
    <row r="693" spans="4:4" ht="12.75">
      <c r="D693" s="223"/>
    </row>
    <row r="694" spans="4:4" ht="12.75">
      <c r="D694" s="223"/>
    </row>
    <row r="695" spans="4:4" ht="12.75">
      <c r="D695" s="223"/>
    </row>
    <row r="696" spans="4:4" ht="12.75">
      <c r="D696" s="223"/>
    </row>
    <row r="697" spans="4:4" ht="12.75">
      <c r="D697" s="223"/>
    </row>
    <row r="698" spans="4:4" ht="12.75">
      <c r="D698" s="223"/>
    </row>
    <row r="699" spans="4:4" ht="12.75">
      <c r="D699" s="223"/>
    </row>
    <row r="700" spans="4:4" ht="12.75">
      <c r="D700" s="223"/>
    </row>
    <row r="701" spans="4:4" ht="12.75">
      <c r="D701" s="223"/>
    </row>
    <row r="702" spans="4:4" ht="12.75">
      <c r="D702" s="223"/>
    </row>
    <row r="703" spans="4:4" ht="12.75">
      <c r="D703" s="223"/>
    </row>
    <row r="704" spans="4:4" ht="12.75">
      <c r="D704" s="223"/>
    </row>
    <row r="705" spans="4:4" ht="12.75">
      <c r="D705" s="223"/>
    </row>
    <row r="706" spans="4:4" ht="12.75">
      <c r="D706" s="223"/>
    </row>
    <row r="707" spans="4:4" ht="12.75">
      <c r="D707" s="223"/>
    </row>
    <row r="708" spans="4:4" ht="12.75">
      <c r="D708" s="223"/>
    </row>
    <row r="709" spans="4:4" ht="12.75">
      <c r="D709" s="223"/>
    </row>
    <row r="710" spans="4:4" ht="12.75">
      <c r="D710" s="223"/>
    </row>
    <row r="711" spans="4:4" ht="12.75">
      <c r="D711" s="223"/>
    </row>
    <row r="712" spans="4:4" ht="12.75">
      <c r="D712" s="223"/>
    </row>
    <row r="713" spans="4:4" ht="12.75">
      <c r="D713" s="223"/>
    </row>
    <row r="714" spans="4:4" ht="12.75">
      <c r="D714" s="223"/>
    </row>
    <row r="715" spans="4:4" ht="12.75">
      <c r="D715" s="223"/>
    </row>
    <row r="716" spans="4:4" ht="12.75">
      <c r="D716" s="223"/>
    </row>
    <row r="717" spans="4:4" ht="12.75">
      <c r="D717" s="223"/>
    </row>
    <row r="718" spans="4:4" ht="12.75">
      <c r="D718" s="223"/>
    </row>
    <row r="719" spans="4:4" ht="12.75">
      <c r="D719" s="223"/>
    </row>
    <row r="720" spans="4:4" ht="12.75">
      <c r="D720" s="223"/>
    </row>
    <row r="721" spans="4:4" ht="12.75">
      <c r="D721" s="223"/>
    </row>
    <row r="722" spans="4:4" ht="12.75">
      <c r="D722" s="223"/>
    </row>
    <row r="723" spans="4:4" ht="12.75">
      <c r="D723" s="223"/>
    </row>
    <row r="724" spans="4:4" ht="12.75">
      <c r="D724" s="223"/>
    </row>
    <row r="725" spans="4:4" ht="12.75">
      <c r="D725" s="223"/>
    </row>
    <row r="726" spans="4:4" ht="12.75">
      <c r="D726" s="223"/>
    </row>
    <row r="727" spans="4:4" ht="12.75">
      <c r="D727" s="223"/>
    </row>
    <row r="728" spans="4:4" ht="12.75">
      <c r="D728" s="223"/>
    </row>
    <row r="729" spans="4:4" ht="12.75">
      <c r="D729" s="223"/>
    </row>
    <row r="730" spans="4:4" ht="12.75">
      <c r="D730" s="223"/>
    </row>
    <row r="731" spans="4:4" ht="12.75">
      <c r="D731" s="223"/>
    </row>
    <row r="732" spans="4:4" ht="12.75">
      <c r="D732" s="223"/>
    </row>
    <row r="733" spans="4:4" ht="12.75">
      <c r="D733" s="223"/>
    </row>
    <row r="734" spans="4:4" ht="12.75">
      <c r="D734" s="223"/>
    </row>
    <row r="735" spans="4:4" ht="12.75">
      <c r="D735" s="223"/>
    </row>
    <row r="736" spans="4:4" ht="12.75">
      <c r="D736" s="223"/>
    </row>
    <row r="737" spans="4:4" ht="12.75">
      <c r="D737" s="223"/>
    </row>
    <row r="738" spans="4:4" ht="12.75">
      <c r="D738" s="223"/>
    </row>
    <row r="739" spans="4:4" ht="12.75">
      <c r="D739" s="223"/>
    </row>
    <row r="740" spans="4:4" ht="12.75">
      <c r="D740" s="223"/>
    </row>
    <row r="741" spans="4:4" ht="12.75">
      <c r="D741" s="223"/>
    </row>
    <row r="742" spans="4:4" ht="12.75">
      <c r="D742" s="223"/>
    </row>
    <row r="743" spans="4:4" ht="12.75">
      <c r="D743" s="223"/>
    </row>
    <row r="744" spans="4:4" ht="12.75">
      <c r="D744" s="223"/>
    </row>
    <row r="745" spans="4:4" ht="12.75">
      <c r="D745" s="223"/>
    </row>
    <row r="746" spans="4:4" ht="12.75">
      <c r="D746" s="223"/>
    </row>
    <row r="747" spans="4:4" ht="12.75">
      <c r="D747" s="223"/>
    </row>
    <row r="748" spans="4:4" ht="12.75">
      <c r="D748" s="223"/>
    </row>
    <row r="749" spans="4:4" ht="12.75">
      <c r="D749" s="223"/>
    </row>
    <row r="750" spans="4:4" ht="12.75">
      <c r="D750" s="223"/>
    </row>
    <row r="751" spans="4:4" ht="12.75">
      <c r="D751" s="223"/>
    </row>
    <row r="752" spans="4:4" ht="12.75">
      <c r="D752" s="223"/>
    </row>
    <row r="753" spans="4:4" ht="12.75">
      <c r="D753" s="223"/>
    </row>
    <row r="754" spans="4:4" ht="12.75">
      <c r="D754" s="223"/>
    </row>
    <row r="755" spans="4:4" ht="12.75">
      <c r="D755" s="223"/>
    </row>
    <row r="756" spans="4:4" ht="12.75">
      <c r="D756" s="223"/>
    </row>
    <row r="757" spans="4:4" ht="12.75">
      <c r="D757" s="223"/>
    </row>
    <row r="758" spans="4:4" ht="12.75">
      <c r="D758" s="223"/>
    </row>
    <row r="759" spans="4:4" ht="12.75">
      <c r="D759" s="223"/>
    </row>
    <row r="760" spans="4:4" ht="12.75">
      <c r="D760" s="223"/>
    </row>
    <row r="761" spans="4:4" ht="12.75">
      <c r="D761" s="223"/>
    </row>
    <row r="762" spans="4:4" ht="12.75">
      <c r="D762" s="223"/>
    </row>
    <row r="763" spans="4:4" ht="12.75">
      <c r="D763" s="223"/>
    </row>
    <row r="764" spans="4:4" ht="12.75">
      <c r="D764" s="223"/>
    </row>
    <row r="765" spans="4:4" ht="12.75">
      <c r="D765" s="223"/>
    </row>
    <row r="766" spans="4:4" ht="12.75">
      <c r="D766" s="223"/>
    </row>
    <row r="767" spans="4:4" ht="12.75">
      <c r="D767" s="223"/>
    </row>
    <row r="768" spans="4:4" ht="12.75">
      <c r="D768" s="223"/>
    </row>
    <row r="769" spans="4:4" ht="12.75">
      <c r="D769" s="223"/>
    </row>
    <row r="770" spans="4:4" ht="12.75">
      <c r="D770" s="223"/>
    </row>
    <row r="771" spans="4:4" ht="12.75">
      <c r="D771" s="223"/>
    </row>
    <row r="772" spans="4:4" ht="12.75">
      <c r="D772" s="223"/>
    </row>
    <row r="773" spans="4:4" ht="12.75">
      <c r="D773" s="223"/>
    </row>
    <row r="774" spans="4:4" ht="12.75">
      <c r="D774" s="223"/>
    </row>
    <row r="775" spans="4:4" ht="12.75">
      <c r="D775" s="223"/>
    </row>
    <row r="776" spans="4:4" ht="12.75">
      <c r="D776" s="223"/>
    </row>
    <row r="777" spans="4:4" ht="12.75">
      <c r="D777" s="223"/>
    </row>
    <row r="778" spans="4:4" ht="12.75">
      <c r="D778" s="223"/>
    </row>
    <row r="779" spans="4:4" ht="12.75">
      <c r="D779" s="223"/>
    </row>
    <row r="780" spans="4:4" ht="12.75">
      <c r="D780" s="223"/>
    </row>
    <row r="781" spans="4:4" ht="12.75">
      <c r="D781" s="223"/>
    </row>
    <row r="782" spans="4:4" ht="12.75">
      <c r="D782" s="223"/>
    </row>
    <row r="783" spans="4:4" ht="12.75">
      <c r="D783" s="223"/>
    </row>
    <row r="784" spans="4:4" ht="12.75">
      <c r="D784" s="223"/>
    </row>
    <row r="785" spans="4:4" ht="12.75">
      <c r="D785" s="223"/>
    </row>
    <row r="786" spans="4:4" ht="12.75">
      <c r="D786" s="223"/>
    </row>
    <row r="787" spans="4:4" ht="12.75">
      <c r="D787" s="223"/>
    </row>
    <row r="788" spans="4:4" ht="12.75">
      <c r="D788" s="223"/>
    </row>
    <row r="789" spans="4:4" ht="12.75">
      <c r="D789" s="223"/>
    </row>
    <row r="790" spans="4:4" ht="12.75">
      <c r="D790" s="223"/>
    </row>
    <row r="791" spans="4:4" ht="12.75">
      <c r="D791" s="223"/>
    </row>
    <row r="792" spans="4:4" ht="12.75">
      <c r="D792" s="223"/>
    </row>
    <row r="793" spans="4:4" ht="12.75">
      <c r="D793" s="223"/>
    </row>
    <row r="794" spans="4:4" ht="12.75">
      <c r="D794" s="223"/>
    </row>
    <row r="795" spans="4:4" ht="12.75">
      <c r="D795" s="223"/>
    </row>
    <row r="796" spans="4:4" ht="12.75">
      <c r="D796" s="223"/>
    </row>
    <row r="797" spans="4:4" ht="12.75">
      <c r="D797" s="223"/>
    </row>
    <row r="798" spans="4:4" ht="12.75">
      <c r="D798" s="223"/>
    </row>
    <row r="799" spans="4:4" ht="12.75">
      <c r="D799" s="223"/>
    </row>
    <row r="800" spans="4:4" ht="12.75">
      <c r="D800" s="223"/>
    </row>
    <row r="801" spans="4:4" ht="12.75">
      <c r="D801" s="223"/>
    </row>
    <row r="802" spans="4:4" ht="12.75">
      <c r="D802" s="223"/>
    </row>
    <row r="803" spans="4:4" ht="12.75">
      <c r="D803" s="223"/>
    </row>
    <row r="804" spans="4:4" ht="12.75">
      <c r="D804" s="223"/>
    </row>
    <row r="805" spans="4:4" ht="12.75">
      <c r="D805" s="223"/>
    </row>
    <row r="806" spans="4:4" ht="12.75">
      <c r="D806" s="223"/>
    </row>
    <row r="807" spans="4:4" ht="12.75">
      <c r="D807" s="223"/>
    </row>
    <row r="808" spans="4:4" ht="12.75">
      <c r="D808" s="223"/>
    </row>
    <row r="809" spans="4:4" ht="12.75">
      <c r="D809" s="223"/>
    </row>
    <row r="810" spans="4:4" ht="12.75">
      <c r="D810" s="223"/>
    </row>
    <row r="811" spans="4:4" ht="12.75">
      <c r="D811" s="223"/>
    </row>
    <row r="812" spans="4:4" ht="12.75">
      <c r="D812" s="223"/>
    </row>
    <row r="813" spans="4:4" ht="12.75">
      <c r="D813" s="223"/>
    </row>
    <row r="814" spans="4:4" ht="12.75">
      <c r="D814" s="223"/>
    </row>
    <row r="815" spans="4:4" ht="12.75">
      <c r="D815" s="223"/>
    </row>
    <row r="816" spans="4:4" ht="12.75">
      <c r="D816" s="223"/>
    </row>
    <row r="817" spans="4:4" ht="12.75">
      <c r="D817" s="223"/>
    </row>
    <row r="818" spans="4:4" ht="12.75">
      <c r="D818" s="223"/>
    </row>
    <row r="819" spans="4:4" ht="12.75">
      <c r="D819" s="223"/>
    </row>
    <row r="820" spans="4:4" ht="12.75">
      <c r="D820" s="223"/>
    </row>
    <row r="821" spans="4:4" ht="12.75">
      <c r="D821" s="223"/>
    </row>
    <row r="822" spans="4:4" ht="12.75">
      <c r="D822" s="223"/>
    </row>
    <row r="823" spans="4:4" ht="12.75">
      <c r="D823" s="223"/>
    </row>
    <row r="824" spans="4:4" ht="12.75">
      <c r="D824" s="223"/>
    </row>
    <row r="825" spans="4:4" ht="12.75">
      <c r="D825" s="223"/>
    </row>
    <row r="826" spans="4:4" ht="12.75">
      <c r="D826" s="223"/>
    </row>
    <row r="827" spans="4:4" ht="12.75">
      <c r="D827" s="223"/>
    </row>
    <row r="828" spans="4:4" ht="12.75">
      <c r="D828" s="223"/>
    </row>
    <row r="829" spans="4:4" ht="12.75">
      <c r="D829" s="223"/>
    </row>
    <row r="830" spans="4:4" ht="12.75">
      <c r="D830" s="223"/>
    </row>
    <row r="831" spans="4:4" ht="12.75">
      <c r="D831" s="223"/>
    </row>
    <row r="832" spans="4:4" ht="12.75">
      <c r="D832" s="223"/>
    </row>
    <row r="833" spans="4:4" ht="12.75">
      <c r="D833" s="223"/>
    </row>
    <row r="834" spans="4:4" ht="12.75">
      <c r="D834" s="223"/>
    </row>
    <row r="835" spans="4:4" ht="12.75">
      <c r="D835" s="223"/>
    </row>
    <row r="836" spans="4:4" ht="12.75">
      <c r="D836" s="223"/>
    </row>
    <row r="837" spans="4:4" ht="12.75">
      <c r="D837" s="223"/>
    </row>
    <row r="838" spans="4:4" ht="12.75">
      <c r="D838" s="223"/>
    </row>
    <row r="839" spans="4:4" ht="12.75">
      <c r="D839" s="223"/>
    </row>
    <row r="840" spans="4:4" ht="12.75">
      <c r="D840" s="223"/>
    </row>
    <row r="841" spans="4:4" ht="12.75">
      <c r="D841" s="223"/>
    </row>
    <row r="842" spans="4:4" ht="12.75">
      <c r="D842" s="223"/>
    </row>
    <row r="843" spans="4:4" ht="12.75">
      <c r="D843" s="223"/>
    </row>
    <row r="844" spans="4:4" ht="12.75">
      <c r="D844" s="223"/>
    </row>
    <row r="845" spans="4:4" ht="12.75">
      <c r="D845" s="223"/>
    </row>
    <row r="846" spans="4:4" ht="12.75">
      <c r="D846" s="223"/>
    </row>
    <row r="847" spans="4:4" ht="12.75">
      <c r="D847" s="223"/>
    </row>
    <row r="848" spans="4:4" ht="12.75">
      <c r="D848" s="223"/>
    </row>
    <row r="849" spans="4:4" ht="12.75">
      <c r="D849" s="223"/>
    </row>
    <row r="850" spans="4:4" ht="12.75">
      <c r="D850" s="223"/>
    </row>
    <row r="851" spans="4:4" ht="12.75">
      <c r="D851" s="223"/>
    </row>
    <row r="852" spans="4:4" ht="12.75">
      <c r="D852" s="223"/>
    </row>
    <row r="853" spans="4:4" ht="12.75">
      <c r="D853" s="223"/>
    </row>
    <row r="854" spans="4:4" ht="12.75">
      <c r="D854" s="223"/>
    </row>
    <row r="855" spans="4:4" ht="12.75">
      <c r="D855" s="223"/>
    </row>
    <row r="856" spans="4:4" ht="12.75">
      <c r="D856" s="223"/>
    </row>
    <row r="857" spans="4:4" ht="12.75">
      <c r="D857" s="223"/>
    </row>
    <row r="858" spans="4:4" ht="12.75">
      <c r="D858" s="223"/>
    </row>
    <row r="859" spans="4:4" ht="12.75">
      <c r="D859" s="223"/>
    </row>
    <row r="860" spans="4:4" ht="12.75">
      <c r="D860" s="223"/>
    </row>
    <row r="861" spans="4:4" ht="12.75">
      <c r="D861" s="223"/>
    </row>
    <row r="862" spans="4:4" ht="12.75">
      <c r="D862" s="223"/>
    </row>
    <row r="863" spans="4:4" ht="12.75">
      <c r="D863" s="223"/>
    </row>
    <row r="864" spans="4:4" ht="12.75">
      <c r="D864" s="223"/>
    </row>
    <row r="865" spans="4:4" ht="12.75">
      <c r="D865" s="223"/>
    </row>
    <row r="866" spans="4:4" ht="12.75">
      <c r="D866" s="223"/>
    </row>
    <row r="867" spans="4:4" ht="12.75">
      <c r="D867" s="223"/>
    </row>
    <row r="868" spans="4:4" ht="12.75">
      <c r="D868" s="223"/>
    </row>
    <row r="869" spans="4:4" ht="12.75">
      <c r="D869" s="223"/>
    </row>
    <row r="870" spans="4:4" ht="12.75">
      <c r="D870" s="223"/>
    </row>
    <row r="871" spans="4:4" ht="12.75">
      <c r="D871" s="223"/>
    </row>
    <row r="872" spans="4:4" ht="12.75">
      <c r="D872" s="223"/>
    </row>
    <row r="873" spans="4:4" ht="12.75">
      <c r="D873" s="223"/>
    </row>
    <row r="874" spans="4:4" ht="12.75">
      <c r="D874" s="223"/>
    </row>
    <row r="875" spans="4:4" ht="12.75">
      <c r="D875" s="223"/>
    </row>
    <row r="876" spans="4:4" ht="12.75">
      <c r="D876" s="223"/>
    </row>
    <row r="877" spans="4:4" ht="12.75">
      <c r="D877" s="223"/>
    </row>
    <row r="878" spans="4:4" ht="12.75">
      <c r="D878" s="223"/>
    </row>
    <row r="879" spans="4:4" ht="12.75">
      <c r="D879" s="223"/>
    </row>
    <row r="880" spans="4:4" ht="12.75">
      <c r="D880" s="223"/>
    </row>
    <row r="881" spans="4:4" ht="12.75">
      <c r="D881" s="223"/>
    </row>
    <row r="882" spans="4:4" ht="12.75">
      <c r="D882" s="223"/>
    </row>
    <row r="883" spans="4:4" ht="12.75">
      <c r="D883" s="223"/>
    </row>
    <row r="884" spans="4:4" ht="12.75">
      <c r="D884" s="223"/>
    </row>
    <row r="885" spans="4:4" ht="12.75">
      <c r="D885" s="223"/>
    </row>
    <row r="886" spans="4:4" ht="12.75">
      <c r="D886" s="223"/>
    </row>
    <row r="887" spans="4:4" ht="12.75">
      <c r="D887" s="223"/>
    </row>
    <row r="888" spans="4:4" ht="12.75">
      <c r="D888" s="223"/>
    </row>
    <row r="889" spans="4:4" ht="12.75">
      <c r="D889" s="223"/>
    </row>
    <row r="890" spans="4:4" ht="12.75">
      <c r="D890" s="223"/>
    </row>
    <row r="891" spans="4:4" ht="12.75">
      <c r="D891" s="223"/>
    </row>
    <row r="892" spans="4:4" ht="12.75">
      <c r="D892" s="223"/>
    </row>
    <row r="893" spans="4:4" ht="12.75">
      <c r="D893" s="223"/>
    </row>
    <row r="894" spans="4:4" ht="12.75">
      <c r="D894" s="223"/>
    </row>
    <row r="895" spans="4:4" ht="12.75">
      <c r="D895" s="223"/>
    </row>
    <row r="896" spans="4:4" ht="12.75">
      <c r="D896" s="223"/>
    </row>
    <row r="897" spans="4:4" ht="12.75">
      <c r="D897" s="223"/>
    </row>
    <row r="898" spans="4:4" ht="12.75">
      <c r="D898" s="223"/>
    </row>
    <row r="899" spans="4:4" ht="12.75">
      <c r="D899" s="223"/>
    </row>
    <row r="900" spans="4:4" ht="12.75">
      <c r="D900" s="223"/>
    </row>
    <row r="901" spans="4:4" ht="12.75">
      <c r="D901" s="223"/>
    </row>
    <row r="902" spans="4:4" ht="12.75">
      <c r="D902" s="223"/>
    </row>
    <row r="903" spans="4:4" ht="12.75">
      <c r="D903" s="223"/>
    </row>
    <row r="904" spans="4:4" ht="12.75">
      <c r="D904" s="223"/>
    </row>
    <row r="905" spans="4:4" ht="12.75">
      <c r="D905" s="223"/>
    </row>
    <row r="906" spans="4:4" ht="12.75">
      <c r="D906" s="223"/>
    </row>
    <row r="907" spans="4:4" ht="12.75">
      <c r="D907" s="223"/>
    </row>
    <row r="908" spans="4:4" ht="12.75">
      <c r="D908" s="223"/>
    </row>
    <row r="909" spans="4:4" ht="12.75">
      <c r="D909" s="223"/>
    </row>
    <row r="910" spans="4:4" ht="12.75">
      <c r="D910" s="223"/>
    </row>
    <row r="911" spans="4:4" ht="12.75">
      <c r="D911" s="223"/>
    </row>
    <row r="912" spans="4:4" ht="12.75">
      <c r="D912" s="223"/>
    </row>
    <row r="913" spans="4:4" ht="12.75">
      <c r="D913" s="223"/>
    </row>
    <row r="914" spans="4:4" ht="12.75">
      <c r="D914" s="223"/>
    </row>
    <row r="915" spans="4:4" ht="12.75">
      <c r="D915" s="223"/>
    </row>
    <row r="916" spans="4:4" ht="12.75">
      <c r="D916" s="223"/>
    </row>
    <row r="917" spans="4:4" ht="12.75">
      <c r="D917" s="223"/>
    </row>
    <row r="918" spans="4:4" ht="12.75">
      <c r="D918" s="223"/>
    </row>
    <row r="919" spans="4:4" ht="12.75">
      <c r="D919" s="223"/>
    </row>
    <row r="920" spans="4:4" ht="12.75">
      <c r="D920" s="223"/>
    </row>
    <row r="921" spans="4:4" ht="12.75">
      <c r="D921" s="223"/>
    </row>
    <row r="922" spans="4:4" ht="12.75">
      <c r="D922" s="223"/>
    </row>
    <row r="923" spans="4:4" ht="12.75">
      <c r="D923" s="223"/>
    </row>
    <row r="924" spans="4:4" ht="12.75">
      <c r="D924" s="223"/>
    </row>
    <row r="925" spans="4:4" ht="12.75">
      <c r="D925" s="223"/>
    </row>
    <row r="926" spans="4:4" ht="12.75">
      <c r="D926" s="223"/>
    </row>
    <row r="927" spans="4:4" ht="12.75">
      <c r="D927" s="223"/>
    </row>
    <row r="928" spans="4:4" ht="12.75">
      <c r="D928" s="223"/>
    </row>
    <row r="929" spans="4:4" ht="12.75">
      <c r="D929" s="223"/>
    </row>
    <row r="930" spans="4:4" ht="12.75">
      <c r="D930" s="223"/>
    </row>
    <row r="931" spans="4:4" ht="12.75">
      <c r="D931" s="223"/>
    </row>
    <row r="932" spans="4:4" ht="12.75">
      <c r="D932" s="223"/>
    </row>
    <row r="933" spans="4:4" ht="12.75">
      <c r="D933" s="223"/>
    </row>
    <row r="934" spans="4:4" ht="12.75">
      <c r="D934" s="223"/>
    </row>
    <row r="935" spans="4:4" ht="12.75">
      <c r="D935" s="223"/>
    </row>
    <row r="936" spans="4:4" ht="12.75">
      <c r="D936" s="223"/>
    </row>
    <row r="937" spans="4:4" ht="12.75">
      <c r="D937" s="223"/>
    </row>
    <row r="938" spans="4:4" ht="12.75">
      <c r="D938" s="223"/>
    </row>
    <row r="939" spans="4:4" ht="12.75">
      <c r="D939" s="223"/>
    </row>
    <row r="940" spans="4:4" ht="12.75">
      <c r="D940" s="223"/>
    </row>
    <row r="941" spans="4:4" ht="12.75">
      <c r="D941" s="223"/>
    </row>
    <row r="942" spans="4:4" ht="12.75">
      <c r="D942" s="223"/>
    </row>
    <row r="943" spans="4:4" ht="12.75">
      <c r="D943" s="223"/>
    </row>
    <row r="944" spans="4:4" ht="12.75">
      <c r="D944" s="223"/>
    </row>
    <row r="945" spans="4:4" ht="12.75">
      <c r="D945" s="223"/>
    </row>
    <row r="946" spans="4:4" ht="12.75">
      <c r="D946" s="223"/>
    </row>
    <row r="947" spans="4:4" ht="12.75">
      <c r="D947" s="223"/>
    </row>
    <row r="948" spans="4:4" ht="12.75">
      <c r="D948" s="223"/>
    </row>
    <row r="949" spans="4:4" ht="12.75">
      <c r="D949" s="223"/>
    </row>
    <row r="950" spans="4:4" ht="12.75">
      <c r="D950" s="223"/>
    </row>
    <row r="951" spans="4:4" ht="12.75">
      <c r="D951" s="223"/>
    </row>
    <row r="952" spans="4:4" ht="12.75">
      <c r="D952" s="223"/>
    </row>
    <row r="953" spans="4:4" ht="12.75">
      <c r="D953" s="223"/>
    </row>
    <row r="954" spans="4:4" ht="12.75">
      <c r="D954" s="223"/>
    </row>
    <row r="955" spans="4:4" ht="12.75">
      <c r="D955" s="223"/>
    </row>
    <row r="956" spans="4:4" ht="12.75">
      <c r="D956" s="223"/>
    </row>
    <row r="957" spans="4:4" ht="12.75">
      <c r="D957" s="223"/>
    </row>
    <row r="958" spans="4:4" ht="12.75">
      <c r="D958" s="223"/>
    </row>
    <row r="959" spans="4:4" ht="12.75">
      <c r="D959" s="223"/>
    </row>
    <row r="960" spans="4:4" ht="12.75">
      <c r="D960" s="223"/>
    </row>
    <row r="961" spans="4:4" ht="12.75">
      <c r="D961" s="223"/>
    </row>
    <row r="962" spans="4:4" ht="12.75">
      <c r="D962" s="223"/>
    </row>
    <row r="963" spans="4:4" ht="12.75">
      <c r="D963" s="223"/>
    </row>
    <row r="964" spans="4:4" ht="12.75">
      <c r="D964" s="223"/>
    </row>
    <row r="965" spans="4:4" ht="12.75">
      <c r="D965" s="223"/>
    </row>
    <row r="966" spans="4:4" ht="12.75">
      <c r="D966" s="223"/>
    </row>
    <row r="967" spans="4:4" ht="12.75">
      <c r="D967" s="223"/>
    </row>
    <row r="968" spans="4:4" ht="12.75">
      <c r="D968" s="223"/>
    </row>
    <row r="969" spans="4:4" ht="12.75">
      <c r="D969" s="223"/>
    </row>
    <row r="970" spans="4:4" ht="12.75">
      <c r="D970" s="223"/>
    </row>
    <row r="971" spans="4:4" ht="12.75">
      <c r="D971" s="223"/>
    </row>
    <row r="972" spans="4:4" ht="12.75">
      <c r="D972" s="223"/>
    </row>
    <row r="973" spans="4:4" ht="12.75">
      <c r="D973" s="223"/>
    </row>
    <row r="974" spans="4:4" ht="12.75">
      <c r="D974" s="223"/>
    </row>
    <row r="975" spans="4:4" ht="12.75">
      <c r="D975" s="223"/>
    </row>
    <row r="976" spans="4:4" ht="12.75">
      <c r="D976" s="223"/>
    </row>
    <row r="977" spans="4:4" ht="12.75">
      <c r="D977" s="223"/>
    </row>
    <row r="978" spans="4:4" ht="12.75">
      <c r="D978" s="223"/>
    </row>
    <row r="979" spans="4:4" ht="12.75">
      <c r="D979" s="223"/>
    </row>
    <row r="980" spans="4:4" ht="12.75">
      <c r="D980" s="223"/>
    </row>
    <row r="981" spans="4:4" ht="12.75">
      <c r="D981" s="223"/>
    </row>
    <row r="982" spans="4:4" ht="12.75">
      <c r="D982" s="223"/>
    </row>
    <row r="983" spans="4:4" ht="12.75">
      <c r="D983" s="223"/>
    </row>
    <row r="984" spans="4:4" ht="12.75">
      <c r="D984" s="223"/>
    </row>
    <row r="985" spans="4:4" ht="12.75">
      <c r="D985" s="223"/>
    </row>
    <row r="986" spans="4:4" ht="12.75">
      <c r="D986" s="223"/>
    </row>
    <row r="987" spans="4:4" ht="12.75">
      <c r="D987" s="223"/>
    </row>
    <row r="988" spans="4:4" ht="12.75">
      <c r="D988" s="223"/>
    </row>
    <row r="989" spans="4:4" ht="12.75">
      <c r="D989" s="223"/>
    </row>
    <row r="990" spans="4:4" ht="12.75">
      <c r="D990" s="223"/>
    </row>
    <row r="991" spans="4:4" ht="12.75">
      <c r="D991" s="223"/>
    </row>
    <row r="992" spans="4:4" ht="12.75">
      <c r="D992" s="223"/>
    </row>
    <row r="993" spans="4:4" ht="12.75">
      <c r="D993" s="223"/>
    </row>
    <row r="994" spans="4:4" ht="12.75">
      <c r="D994" s="223"/>
    </row>
    <row r="995" spans="4:4" ht="12.75">
      <c r="D995" s="223"/>
    </row>
    <row r="996" spans="4:4" ht="12.75">
      <c r="D996" s="223"/>
    </row>
    <row r="997" spans="4:4" ht="12.75">
      <c r="D997" s="223"/>
    </row>
    <row r="998" spans="4:4" ht="12.75">
      <c r="D998" s="223"/>
    </row>
    <row r="999" spans="4:4" ht="12.75">
      <c r="D999" s="223"/>
    </row>
    <row r="1000" spans="4:4" ht="12.75">
      <c r="D1000" s="223"/>
    </row>
    <row r="1001" spans="4:4" ht="12.75">
      <c r="D1001" s="223"/>
    </row>
    <row r="1002" spans="4:4" ht="12.75">
      <c r="D1002" s="223"/>
    </row>
    <row r="1003" spans="4:4" ht="12.75">
      <c r="D1003" s="223"/>
    </row>
    <row r="1004" spans="4:4" ht="12.75">
      <c r="D1004" s="223"/>
    </row>
    <row r="1005" spans="4:4" ht="12.75">
      <c r="D1005" s="223"/>
    </row>
    <row r="1006" spans="4:4" ht="12.75">
      <c r="D1006" s="22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AA1008"/>
  <sheetViews>
    <sheetView zoomScale="40" zoomScaleNormal="40" workbookViewId="0"/>
  </sheetViews>
  <sheetFormatPr defaultColWidth="12.5703125" defaultRowHeight="15.75" customHeight="1"/>
  <cols>
    <col min="1" max="1" width="18.42578125" customWidth="1"/>
    <col min="2" max="2" width="75.5703125" customWidth="1"/>
    <col min="3" max="3" width="4.42578125" customWidth="1"/>
    <col min="4" max="4" width="18.42578125" customWidth="1"/>
    <col min="5" max="5" width="58.42578125" customWidth="1"/>
    <col min="6" max="6" width="4.42578125" customWidth="1"/>
    <col min="7" max="7" width="18.42578125" customWidth="1"/>
    <col min="8" max="8" width="61.85546875" customWidth="1"/>
    <col min="9" max="9" width="3.42578125" customWidth="1"/>
    <col min="10" max="10" width="64" customWidth="1"/>
  </cols>
  <sheetData>
    <row r="1" spans="1:27" ht="27">
      <c r="A1" s="1"/>
      <c r="B1" s="1"/>
      <c r="C1" s="2"/>
      <c r="D1" s="1"/>
      <c r="E1" s="1"/>
      <c r="F1" s="2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7">
      <c r="A2" s="4" t="s">
        <v>0</v>
      </c>
      <c r="B2" s="5" t="s">
        <v>1</v>
      </c>
      <c r="C2" s="2"/>
      <c r="D2" s="6" t="s">
        <v>2</v>
      </c>
      <c r="E2" s="5" t="s">
        <v>1</v>
      </c>
      <c r="F2" s="2"/>
      <c r="G2" s="6" t="s">
        <v>3</v>
      </c>
      <c r="H2" s="5" t="s">
        <v>1</v>
      </c>
      <c r="I2" s="7"/>
      <c r="J2" s="8" t="s">
        <v>4</v>
      </c>
    </row>
    <row r="3" spans="1:27" ht="24">
      <c r="A3" s="9" t="s">
        <v>5</v>
      </c>
      <c r="B3" s="10" t="s">
        <v>6</v>
      </c>
      <c r="C3" s="2"/>
      <c r="D3" s="11" t="s">
        <v>5</v>
      </c>
      <c r="E3" s="10" t="s">
        <v>6</v>
      </c>
      <c r="F3" s="2"/>
      <c r="G3" s="11" t="s">
        <v>5</v>
      </c>
      <c r="H3" s="9" t="s">
        <v>6</v>
      </c>
      <c r="I3" s="12"/>
    </row>
    <row r="4" spans="1:27" ht="27">
      <c r="A4" s="189" t="s">
        <v>7</v>
      </c>
      <c r="B4" s="190"/>
      <c r="C4" s="2"/>
      <c r="D4" s="191" t="s">
        <v>7</v>
      </c>
      <c r="E4" s="190"/>
      <c r="F4" s="2"/>
      <c r="G4" s="191" t="s">
        <v>7</v>
      </c>
      <c r="H4" s="192"/>
      <c r="I4" s="13"/>
    </row>
    <row r="5" spans="1:27" ht="16.5">
      <c r="A5" s="14" t="s">
        <v>8</v>
      </c>
      <c r="B5" s="15" t="s">
        <v>9</v>
      </c>
      <c r="C5" s="2"/>
      <c r="D5" s="16" t="s">
        <v>10</v>
      </c>
      <c r="E5" s="15" t="s">
        <v>11</v>
      </c>
      <c r="F5" s="2"/>
      <c r="G5" s="17" t="s">
        <v>12</v>
      </c>
      <c r="H5" s="18" t="s">
        <v>13</v>
      </c>
      <c r="I5" s="19"/>
    </row>
    <row r="6" spans="1:27" ht="16.5">
      <c r="A6" s="14" t="s">
        <v>14</v>
      </c>
      <c r="B6" s="20" t="s">
        <v>15</v>
      </c>
      <c r="C6" s="2"/>
      <c r="D6" s="21" t="s">
        <v>16</v>
      </c>
      <c r="E6" s="20" t="s">
        <v>17</v>
      </c>
      <c r="F6" s="2"/>
      <c r="G6" s="17" t="s">
        <v>18</v>
      </c>
      <c r="H6" s="22" t="s">
        <v>19</v>
      </c>
      <c r="I6" s="19"/>
    </row>
    <row r="7" spans="1:27" ht="16.5">
      <c r="A7" s="14" t="s">
        <v>20</v>
      </c>
      <c r="B7" s="20" t="s">
        <v>21</v>
      </c>
      <c r="C7" s="2"/>
      <c r="D7" s="21" t="s">
        <v>22</v>
      </c>
      <c r="E7" s="20" t="s">
        <v>23</v>
      </c>
      <c r="F7" s="2"/>
      <c r="G7" s="17" t="s">
        <v>24</v>
      </c>
      <c r="H7" s="22" t="s">
        <v>25</v>
      </c>
      <c r="I7" s="19"/>
    </row>
    <row r="8" spans="1:27" ht="16.5">
      <c r="A8" s="14" t="s">
        <v>26</v>
      </c>
      <c r="B8" s="23" t="s">
        <v>27</v>
      </c>
      <c r="C8" s="2"/>
      <c r="D8" s="21" t="s">
        <v>28</v>
      </c>
      <c r="E8" s="20" t="s">
        <v>29</v>
      </c>
      <c r="F8" s="2"/>
      <c r="G8" s="17" t="s">
        <v>30</v>
      </c>
      <c r="H8" s="22" t="s">
        <v>31</v>
      </c>
      <c r="I8" s="19"/>
    </row>
    <row r="9" spans="1:27" ht="18.75" customHeight="1">
      <c r="A9" s="24" t="s">
        <v>32</v>
      </c>
      <c r="B9" s="23" t="s">
        <v>33</v>
      </c>
      <c r="C9" s="2"/>
      <c r="D9" s="17" t="s">
        <v>34</v>
      </c>
      <c r="E9" s="20" t="s">
        <v>35</v>
      </c>
      <c r="F9" s="2"/>
      <c r="G9" s="17" t="s">
        <v>36</v>
      </c>
      <c r="H9" s="22" t="s">
        <v>37</v>
      </c>
      <c r="I9" s="19"/>
    </row>
    <row r="10" spans="1:27" ht="16.5">
      <c r="A10" s="25" t="s">
        <v>38</v>
      </c>
      <c r="B10" s="26" t="s">
        <v>39</v>
      </c>
      <c r="C10" s="2"/>
      <c r="D10" s="17" t="s">
        <v>40</v>
      </c>
      <c r="E10" s="20" t="s">
        <v>41</v>
      </c>
      <c r="F10" s="2"/>
      <c r="G10" s="17" t="s">
        <v>42</v>
      </c>
      <c r="H10" s="22" t="s">
        <v>43</v>
      </c>
      <c r="I10" s="19"/>
    </row>
    <row r="11" spans="1:27" ht="16.5">
      <c r="A11" s="25" t="s">
        <v>44</v>
      </c>
      <c r="B11" s="26" t="s">
        <v>45</v>
      </c>
      <c r="C11" s="2"/>
      <c r="D11" s="17" t="s">
        <v>46</v>
      </c>
      <c r="E11" s="20" t="s">
        <v>47</v>
      </c>
      <c r="F11" s="2"/>
      <c r="G11" s="17" t="s">
        <v>48</v>
      </c>
      <c r="H11" s="22" t="s">
        <v>49</v>
      </c>
      <c r="I11" s="19"/>
    </row>
    <row r="12" spans="1:27" ht="16.5">
      <c r="A12" s="25" t="s">
        <v>50</v>
      </c>
      <c r="B12" s="26" t="s">
        <v>51</v>
      </c>
      <c r="C12" s="2"/>
      <c r="D12" s="17" t="s">
        <v>52</v>
      </c>
      <c r="E12" s="20" t="s">
        <v>53</v>
      </c>
      <c r="F12" s="2"/>
      <c r="G12" s="17" t="s">
        <v>54</v>
      </c>
      <c r="H12" s="22" t="s">
        <v>53</v>
      </c>
      <c r="I12" s="19"/>
    </row>
    <row r="13" spans="1:27" ht="16.5">
      <c r="A13" s="27"/>
      <c r="C13" s="2"/>
      <c r="D13" s="17" t="s">
        <v>55</v>
      </c>
      <c r="E13" s="26" t="s">
        <v>56</v>
      </c>
      <c r="F13" s="2"/>
      <c r="G13" s="17" t="s">
        <v>57</v>
      </c>
      <c r="H13" s="26" t="s">
        <v>58</v>
      </c>
      <c r="I13" s="19"/>
    </row>
    <row r="14" spans="1:27" ht="16.5">
      <c r="A14" s="27"/>
      <c r="C14" s="2"/>
      <c r="F14" s="2"/>
      <c r="I14" s="19"/>
    </row>
    <row r="15" spans="1:27" ht="16.5">
      <c r="A15" s="27"/>
      <c r="C15" s="2"/>
      <c r="F15" s="2"/>
      <c r="I15" s="19"/>
    </row>
    <row r="16" spans="1:27" ht="16.5">
      <c r="A16" s="27" t="s">
        <v>59</v>
      </c>
      <c r="B16" s="26" t="s">
        <v>60</v>
      </c>
      <c r="C16" s="2"/>
      <c r="F16" s="2"/>
      <c r="I16" s="19"/>
    </row>
    <row r="17" spans="1:9" ht="16.5">
      <c r="A17" s="27" t="s">
        <v>59</v>
      </c>
      <c r="B17" s="26" t="s">
        <v>61</v>
      </c>
      <c r="C17" s="2"/>
      <c r="F17" s="2"/>
      <c r="I17" s="19"/>
    </row>
    <row r="18" spans="1:9" ht="16.5">
      <c r="A18" s="27" t="s">
        <v>59</v>
      </c>
      <c r="B18" s="26" t="s">
        <v>62</v>
      </c>
      <c r="C18" s="2"/>
      <c r="F18" s="2"/>
      <c r="I18" s="19"/>
    </row>
    <row r="19" spans="1:9" ht="16.5">
      <c r="A19" s="27" t="s">
        <v>59</v>
      </c>
      <c r="B19" s="26" t="s">
        <v>63</v>
      </c>
      <c r="C19" s="2"/>
      <c r="F19" s="2"/>
      <c r="I19" s="19"/>
    </row>
    <row r="20" spans="1:9" ht="16.5">
      <c r="A20" s="27" t="s">
        <v>59</v>
      </c>
      <c r="B20" s="26" t="s">
        <v>64</v>
      </c>
      <c r="C20" s="2"/>
      <c r="F20" s="2"/>
      <c r="I20" s="19"/>
    </row>
    <row r="21" spans="1:9" ht="16.5">
      <c r="A21" s="27" t="s">
        <v>59</v>
      </c>
      <c r="B21" s="26" t="s">
        <v>65</v>
      </c>
      <c r="C21" s="2"/>
      <c r="F21" s="2"/>
      <c r="I21" s="19"/>
    </row>
    <row r="22" spans="1:9" ht="16.5">
      <c r="A22" s="27" t="s">
        <v>59</v>
      </c>
      <c r="B22" s="26" t="s">
        <v>66</v>
      </c>
      <c r="C22" s="2"/>
      <c r="F22" s="2"/>
      <c r="I22" s="19"/>
    </row>
    <row r="23" spans="1:9" ht="16.5">
      <c r="A23" s="27" t="s">
        <v>59</v>
      </c>
      <c r="B23" s="26" t="s">
        <v>67</v>
      </c>
      <c r="C23" s="2"/>
      <c r="D23" s="28"/>
      <c r="F23" s="2"/>
      <c r="I23" s="19"/>
    </row>
    <row r="24" spans="1:9" ht="16.5">
      <c r="A24" s="27" t="s">
        <v>59</v>
      </c>
      <c r="B24" s="26" t="s">
        <v>68</v>
      </c>
      <c r="C24" s="2"/>
      <c r="F24" s="2"/>
      <c r="I24" s="19"/>
    </row>
    <row r="25" spans="1:9" ht="16.5">
      <c r="A25" s="27" t="s">
        <v>59</v>
      </c>
      <c r="B25" s="26" t="s">
        <v>69</v>
      </c>
      <c r="C25" s="2"/>
      <c r="F25" s="2"/>
      <c r="I25" s="19"/>
    </row>
    <row r="26" spans="1:9" ht="16.5">
      <c r="A26" s="27" t="s">
        <v>59</v>
      </c>
      <c r="B26" s="26" t="s">
        <v>70</v>
      </c>
      <c r="C26" s="2"/>
      <c r="F26" s="2"/>
      <c r="I26" s="19"/>
    </row>
    <row r="27" spans="1:9" ht="16.5">
      <c r="A27" s="27" t="s">
        <v>59</v>
      </c>
      <c r="B27" s="26" t="s">
        <v>71</v>
      </c>
      <c r="C27" s="2"/>
      <c r="F27" s="2"/>
      <c r="I27" s="19"/>
    </row>
    <row r="28" spans="1:9" ht="16.5">
      <c r="A28" s="27" t="s">
        <v>59</v>
      </c>
      <c r="B28" s="26" t="s">
        <v>72</v>
      </c>
      <c r="C28" s="2"/>
      <c r="F28" s="2"/>
      <c r="I28" s="19"/>
    </row>
    <row r="29" spans="1:9" ht="16.5">
      <c r="A29" s="27" t="s">
        <v>59</v>
      </c>
      <c r="B29" s="26" t="s">
        <v>73</v>
      </c>
      <c r="C29" s="2"/>
      <c r="F29" s="2"/>
      <c r="I29" s="19"/>
    </row>
    <row r="30" spans="1:9" ht="16.5">
      <c r="A30" s="27" t="s">
        <v>59</v>
      </c>
      <c r="B30" s="26" t="s">
        <v>74</v>
      </c>
      <c r="C30" s="2"/>
      <c r="F30" s="2"/>
      <c r="I30" s="19"/>
    </row>
    <row r="31" spans="1:9" ht="16.5">
      <c r="A31" s="27" t="s">
        <v>59</v>
      </c>
      <c r="B31" s="26" t="s">
        <v>75</v>
      </c>
      <c r="C31" s="2"/>
      <c r="F31" s="2"/>
      <c r="I31" s="19"/>
    </row>
    <row r="32" spans="1:9" ht="16.5">
      <c r="A32" s="27" t="s">
        <v>59</v>
      </c>
      <c r="B32" s="26" t="s">
        <v>76</v>
      </c>
      <c r="C32" s="2"/>
      <c r="F32" s="2"/>
      <c r="I32" s="19"/>
    </row>
    <row r="33" spans="1:9" ht="16.5">
      <c r="A33" s="27" t="s">
        <v>59</v>
      </c>
      <c r="B33" s="26" t="s">
        <v>77</v>
      </c>
      <c r="C33" s="2"/>
      <c r="F33" s="2"/>
      <c r="I33" s="19"/>
    </row>
    <row r="34" spans="1:9" ht="16.5">
      <c r="A34" s="27" t="s">
        <v>59</v>
      </c>
      <c r="B34" s="26" t="s">
        <v>78</v>
      </c>
      <c r="C34" s="2"/>
      <c r="F34" s="2"/>
      <c r="I34" s="19"/>
    </row>
    <row r="35" spans="1:9" ht="16.5">
      <c r="A35" s="27" t="s">
        <v>59</v>
      </c>
      <c r="B35" s="26" t="s">
        <v>79</v>
      </c>
      <c r="C35" s="2"/>
      <c r="F35" s="2"/>
      <c r="I35" s="19"/>
    </row>
    <row r="36" spans="1:9" ht="16.5">
      <c r="A36" s="27" t="s">
        <v>59</v>
      </c>
      <c r="B36" s="26" t="s">
        <v>80</v>
      </c>
      <c r="C36" s="2"/>
      <c r="F36" s="2"/>
      <c r="I36" s="19"/>
    </row>
    <row r="37" spans="1:9" ht="16.5">
      <c r="A37" s="27" t="s">
        <v>59</v>
      </c>
      <c r="B37" s="26" t="s">
        <v>81</v>
      </c>
      <c r="C37" s="2"/>
      <c r="F37" s="2"/>
      <c r="I37" s="19"/>
    </row>
    <row r="38" spans="1:9" ht="16.5">
      <c r="A38" s="27" t="s">
        <v>59</v>
      </c>
      <c r="B38" s="26" t="s">
        <v>82</v>
      </c>
      <c r="C38" s="2"/>
      <c r="F38" s="2"/>
      <c r="I38" s="19"/>
    </row>
    <row r="39" spans="1:9" ht="16.5">
      <c r="A39" s="27" t="s">
        <v>59</v>
      </c>
      <c r="B39" s="26" t="s">
        <v>83</v>
      </c>
      <c r="C39" s="2"/>
      <c r="F39" s="2"/>
      <c r="I39" s="19"/>
    </row>
    <row r="40" spans="1:9" ht="16.5">
      <c r="A40" s="27" t="s">
        <v>59</v>
      </c>
      <c r="B40" s="26" t="s">
        <v>84</v>
      </c>
      <c r="C40" s="2"/>
      <c r="F40" s="2"/>
      <c r="I40" s="19"/>
    </row>
    <row r="41" spans="1:9" ht="16.5">
      <c r="A41" s="27" t="s">
        <v>59</v>
      </c>
      <c r="B41" s="26" t="s">
        <v>85</v>
      </c>
      <c r="C41" s="2"/>
      <c r="F41" s="2"/>
      <c r="I41" s="19"/>
    </row>
    <row r="42" spans="1:9" ht="16.5">
      <c r="A42" s="27" t="s">
        <v>59</v>
      </c>
      <c r="B42" s="26" t="s">
        <v>86</v>
      </c>
      <c r="C42" s="2"/>
      <c r="F42" s="2"/>
      <c r="I42" s="19"/>
    </row>
    <row r="43" spans="1:9" ht="16.5">
      <c r="A43" s="27" t="s">
        <v>59</v>
      </c>
      <c r="B43" s="26" t="s">
        <v>87</v>
      </c>
      <c r="C43" s="2"/>
      <c r="F43" s="2"/>
      <c r="I43" s="19"/>
    </row>
    <row r="44" spans="1:9" ht="16.5">
      <c r="A44" s="27" t="s">
        <v>59</v>
      </c>
      <c r="B44" s="26" t="s">
        <v>88</v>
      </c>
      <c r="C44" s="2"/>
      <c r="F44" s="2"/>
      <c r="I44" s="19"/>
    </row>
    <row r="45" spans="1:9" ht="16.5">
      <c r="A45" s="27" t="s">
        <v>59</v>
      </c>
      <c r="B45" s="26" t="s">
        <v>89</v>
      </c>
      <c r="C45" s="2"/>
      <c r="F45" s="2"/>
      <c r="I45" s="19"/>
    </row>
    <row r="46" spans="1:9" ht="16.5">
      <c r="A46" s="27" t="s">
        <v>59</v>
      </c>
      <c r="B46" s="26" t="s">
        <v>90</v>
      </c>
      <c r="C46" s="2"/>
      <c r="F46" s="2"/>
      <c r="I46" s="19"/>
    </row>
    <row r="47" spans="1:9" ht="16.5">
      <c r="A47" s="27" t="s">
        <v>59</v>
      </c>
      <c r="B47" s="26" t="s">
        <v>91</v>
      </c>
      <c r="C47" s="2"/>
      <c r="F47" s="2"/>
      <c r="I47" s="19"/>
    </row>
    <row r="48" spans="1:9" ht="16.5">
      <c r="A48" s="27" t="s">
        <v>59</v>
      </c>
      <c r="B48" s="26" t="s">
        <v>92</v>
      </c>
      <c r="C48" s="2"/>
      <c r="F48" s="2"/>
      <c r="I48" s="19"/>
    </row>
    <row r="49" spans="1:9" ht="16.5">
      <c r="A49" s="27" t="s">
        <v>59</v>
      </c>
      <c r="B49" s="26" t="s">
        <v>93</v>
      </c>
      <c r="C49" s="2"/>
      <c r="F49" s="2"/>
      <c r="I49" s="19"/>
    </row>
    <row r="50" spans="1:9" ht="16.5">
      <c r="A50" s="27" t="s">
        <v>59</v>
      </c>
      <c r="B50" s="26" t="s">
        <v>94</v>
      </c>
      <c r="C50" s="2"/>
      <c r="F50" s="2"/>
      <c r="I50" s="19"/>
    </row>
    <row r="51" spans="1:9" ht="16.5">
      <c r="A51" s="27" t="s">
        <v>59</v>
      </c>
      <c r="B51" s="26" t="s">
        <v>95</v>
      </c>
      <c r="C51" s="2"/>
      <c r="F51" s="2"/>
      <c r="I51" s="19"/>
    </row>
    <row r="52" spans="1:9" ht="16.5">
      <c r="A52" s="27" t="s">
        <v>59</v>
      </c>
      <c r="B52" s="26" t="s">
        <v>96</v>
      </c>
      <c r="C52" s="2"/>
      <c r="F52" s="2"/>
      <c r="I52" s="19"/>
    </row>
    <row r="53" spans="1:9" ht="16.5">
      <c r="A53" s="27" t="s">
        <v>59</v>
      </c>
      <c r="B53" s="26" t="s">
        <v>97</v>
      </c>
      <c r="C53" s="2"/>
      <c r="F53" s="2"/>
      <c r="I53" s="19"/>
    </row>
    <row r="54" spans="1:9" ht="16.5">
      <c r="A54" s="27" t="s">
        <v>59</v>
      </c>
      <c r="B54" s="26" t="s">
        <v>98</v>
      </c>
      <c r="C54" s="2"/>
      <c r="F54" s="2"/>
      <c r="I54" s="19"/>
    </row>
    <row r="55" spans="1:9" ht="16.5">
      <c r="A55" s="27" t="s">
        <v>59</v>
      </c>
      <c r="B55" s="26" t="s">
        <v>99</v>
      </c>
      <c r="C55" s="2"/>
      <c r="F55" s="2"/>
      <c r="I55" s="19"/>
    </row>
    <row r="56" spans="1:9" ht="16.5">
      <c r="C56" s="2"/>
      <c r="F56" s="2"/>
      <c r="I56" s="19"/>
    </row>
    <row r="57" spans="1:9" ht="16.5">
      <c r="C57" s="2"/>
      <c r="F57" s="2"/>
      <c r="I57" s="19"/>
    </row>
    <row r="58" spans="1:9" ht="16.5">
      <c r="C58" s="2"/>
      <c r="F58" s="2"/>
      <c r="I58" s="19"/>
    </row>
    <row r="59" spans="1:9" ht="16.5">
      <c r="C59" s="2"/>
      <c r="F59" s="2"/>
      <c r="I59" s="19"/>
    </row>
    <row r="60" spans="1:9" ht="16.5">
      <c r="C60" s="2"/>
      <c r="F60" s="2"/>
      <c r="I60" s="19"/>
    </row>
    <row r="61" spans="1:9" ht="16.5">
      <c r="C61" s="2"/>
      <c r="F61" s="2"/>
      <c r="I61" s="19"/>
    </row>
    <row r="62" spans="1:9" ht="16.5">
      <c r="C62" s="2"/>
      <c r="F62" s="2"/>
      <c r="I62" s="19"/>
    </row>
    <row r="63" spans="1:9" ht="16.5">
      <c r="C63" s="2"/>
      <c r="F63" s="2"/>
      <c r="I63" s="19"/>
    </row>
    <row r="64" spans="1:9" ht="16.5">
      <c r="C64" s="2"/>
      <c r="F64" s="2"/>
      <c r="I64" s="19"/>
    </row>
    <row r="65" spans="3:9" ht="16.5">
      <c r="C65" s="2"/>
      <c r="F65" s="2"/>
      <c r="I65" s="19"/>
    </row>
    <row r="66" spans="3:9" ht="16.5">
      <c r="C66" s="2"/>
      <c r="F66" s="2"/>
      <c r="I66" s="19"/>
    </row>
    <row r="67" spans="3:9" ht="16.5">
      <c r="C67" s="2"/>
      <c r="F67" s="2"/>
      <c r="I67" s="19"/>
    </row>
    <row r="68" spans="3:9" ht="16.5">
      <c r="C68" s="2"/>
      <c r="F68" s="2"/>
      <c r="I68" s="19"/>
    </row>
    <row r="69" spans="3:9" ht="16.5">
      <c r="C69" s="2"/>
      <c r="F69" s="2"/>
      <c r="I69" s="19"/>
    </row>
    <row r="70" spans="3:9" ht="16.5">
      <c r="C70" s="2"/>
      <c r="F70" s="2"/>
      <c r="I70" s="19"/>
    </row>
    <row r="71" spans="3:9" ht="16.5">
      <c r="C71" s="2"/>
      <c r="F71" s="2"/>
      <c r="I71" s="19"/>
    </row>
    <row r="72" spans="3:9" ht="16.5">
      <c r="C72" s="2"/>
      <c r="F72" s="2"/>
      <c r="I72" s="19"/>
    </row>
    <row r="73" spans="3:9" ht="16.5">
      <c r="C73" s="2"/>
      <c r="F73" s="2"/>
      <c r="I73" s="19"/>
    </row>
    <row r="74" spans="3:9" ht="16.5">
      <c r="C74" s="2"/>
      <c r="F74" s="2"/>
      <c r="I74" s="19"/>
    </row>
    <row r="75" spans="3:9" ht="16.5">
      <c r="C75" s="2"/>
      <c r="F75" s="2"/>
      <c r="I75" s="19"/>
    </row>
    <row r="76" spans="3:9" ht="16.5">
      <c r="C76" s="2"/>
      <c r="F76" s="2"/>
      <c r="I76" s="19"/>
    </row>
    <row r="77" spans="3:9" ht="16.5">
      <c r="C77" s="2"/>
      <c r="F77" s="2"/>
      <c r="I77" s="19"/>
    </row>
    <row r="78" spans="3:9" ht="16.5">
      <c r="C78" s="2"/>
      <c r="F78" s="2"/>
      <c r="I78" s="19"/>
    </row>
    <row r="79" spans="3:9" ht="16.5">
      <c r="C79" s="2"/>
      <c r="F79" s="2"/>
      <c r="I79" s="19"/>
    </row>
    <row r="80" spans="3:9" ht="16.5">
      <c r="C80" s="2"/>
      <c r="F80" s="2"/>
      <c r="I80" s="19"/>
    </row>
    <row r="81" spans="3:9" ht="16.5">
      <c r="C81" s="2"/>
      <c r="F81" s="2"/>
      <c r="I81" s="19"/>
    </row>
    <row r="82" spans="3:9" ht="16.5">
      <c r="C82" s="2"/>
      <c r="F82" s="2"/>
      <c r="I82" s="19"/>
    </row>
    <row r="83" spans="3:9" ht="16.5">
      <c r="C83" s="2"/>
      <c r="F83" s="2"/>
      <c r="I83" s="19"/>
    </row>
    <row r="84" spans="3:9" ht="16.5">
      <c r="C84" s="2"/>
      <c r="F84" s="2"/>
      <c r="I84" s="19"/>
    </row>
    <row r="85" spans="3:9" ht="16.5">
      <c r="C85" s="2"/>
      <c r="F85" s="2"/>
      <c r="I85" s="19"/>
    </row>
    <row r="86" spans="3:9" ht="16.5">
      <c r="C86" s="2"/>
      <c r="F86" s="2"/>
      <c r="I86" s="19"/>
    </row>
    <row r="87" spans="3:9" ht="16.5">
      <c r="C87" s="2"/>
      <c r="F87" s="2"/>
      <c r="I87" s="19"/>
    </row>
    <row r="88" spans="3:9" ht="16.5">
      <c r="C88" s="2"/>
      <c r="F88" s="2"/>
      <c r="I88" s="19"/>
    </row>
    <row r="89" spans="3:9" ht="16.5">
      <c r="C89" s="2"/>
      <c r="F89" s="2"/>
      <c r="I89" s="19"/>
    </row>
    <row r="90" spans="3:9" ht="16.5">
      <c r="C90" s="2"/>
      <c r="F90" s="2"/>
      <c r="I90" s="19"/>
    </row>
    <row r="91" spans="3:9" ht="16.5">
      <c r="C91" s="2"/>
      <c r="F91" s="2"/>
      <c r="I91" s="19"/>
    </row>
    <row r="92" spans="3:9" ht="16.5">
      <c r="C92" s="2"/>
      <c r="F92" s="2"/>
      <c r="I92" s="19"/>
    </row>
    <row r="93" spans="3:9" ht="16.5">
      <c r="C93" s="2"/>
      <c r="F93" s="2"/>
      <c r="I93" s="19"/>
    </row>
    <row r="94" spans="3:9" ht="16.5">
      <c r="C94" s="2"/>
      <c r="F94" s="2"/>
      <c r="I94" s="19"/>
    </row>
    <row r="95" spans="3:9" ht="16.5">
      <c r="C95" s="2"/>
      <c r="F95" s="2"/>
      <c r="I95" s="19"/>
    </row>
    <row r="96" spans="3:9" ht="16.5">
      <c r="C96" s="2"/>
      <c r="F96" s="2"/>
      <c r="I96" s="19"/>
    </row>
    <row r="97" spans="3:9" ht="16.5">
      <c r="C97" s="2"/>
      <c r="F97" s="2"/>
      <c r="I97" s="19"/>
    </row>
    <row r="98" spans="3:9" ht="16.5">
      <c r="C98" s="2"/>
      <c r="F98" s="2"/>
      <c r="I98" s="19"/>
    </row>
    <row r="99" spans="3:9" ht="16.5">
      <c r="C99" s="2"/>
      <c r="F99" s="2"/>
      <c r="I99" s="19"/>
    </row>
    <row r="100" spans="3:9" ht="16.5">
      <c r="C100" s="2"/>
      <c r="F100" s="2"/>
      <c r="I100" s="19"/>
    </row>
    <row r="101" spans="3:9" ht="16.5">
      <c r="C101" s="2"/>
      <c r="F101" s="2"/>
      <c r="I101" s="19"/>
    </row>
    <row r="102" spans="3:9" ht="16.5">
      <c r="C102" s="2"/>
      <c r="F102" s="2"/>
      <c r="I102" s="19"/>
    </row>
    <row r="103" spans="3:9" ht="16.5">
      <c r="C103" s="2"/>
      <c r="F103" s="2"/>
      <c r="I103" s="19"/>
    </row>
    <row r="104" spans="3:9" ht="16.5">
      <c r="C104" s="2"/>
      <c r="F104" s="2"/>
      <c r="I104" s="19"/>
    </row>
    <row r="105" spans="3:9" ht="16.5">
      <c r="C105" s="2"/>
      <c r="F105" s="2"/>
      <c r="I105" s="19"/>
    </row>
    <row r="106" spans="3:9" ht="16.5">
      <c r="C106" s="2"/>
      <c r="F106" s="2"/>
      <c r="I106" s="19"/>
    </row>
    <row r="107" spans="3:9" ht="16.5">
      <c r="C107" s="2"/>
      <c r="F107" s="2"/>
      <c r="I107" s="19"/>
    </row>
    <row r="108" spans="3:9" ht="16.5">
      <c r="C108" s="2"/>
      <c r="F108" s="2"/>
      <c r="I108" s="19"/>
    </row>
    <row r="109" spans="3:9" ht="16.5">
      <c r="C109" s="2"/>
      <c r="F109" s="2"/>
      <c r="I109" s="19"/>
    </row>
    <row r="110" spans="3:9" ht="16.5">
      <c r="C110" s="2"/>
      <c r="F110" s="2"/>
      <c r="I110" s="19"/>
    </row>
    <row r="111" spans="3:9" ht="16.5">
      <c r="C111" s="2"/>
      <c r="F111" s="2"/>
      <c r="I111" s="19"/>
    </row>
    <row r="112" spans="3:9" ht="16.5">
      <c r="C112" s="2"/>
      <c r="F112" s="2"/>
      <c r="I112" s="19"/>
    </row>
    <row r="113" spans="3:9" ht="16.5">
      <c r="C113" s="2"/>
      <c r="F113" s="2"/>
      <c r="I113" s="19"/>
    </row>
    <row r="114" spans="3:9" ht="16.5">
      <c r="C114" s="2"/>
      <c r="F114" s="2"/>
      <c r="I114" s="19"/>
    </row>
    <row r="115" spans="3:9" ht="16.5">
      <c r="C115" s="2"/>
      <c r="F115" s="2"/>
      <c r="I115" s="19"/>
    </row>
    <row r="116" spans="3:9" ht="16.5">
      <c r="C116" s="2"/>
      <c r="F116" s="2"/>
      <c r="I116" s="19"/>
    </row>
    <row r="117" spans="3:9" ht="16.5">
      <c r="C117" s="2"/>
      <c r="F117" s="2"/>
      <c r="I117" s="19"/>
    </row>
    <row r="118" spans="3:9" ht="16.5">
      <c r="C118" s="2"/>
      <c r="F118" s="2"/>
      <c r="I118" s="19"/>
    </row>
    <row r="119" spans="3:9" ht="16.5">
      <c r="C119" s="2"/>
      <c r="F119" s="2"/>
      <c r="I119" s="19"/>
    </row>
    <row r="120" spans="3:9" ht="16.5">
      <c r="C120" s="2"/>
      <c r="F120" s="2"/>
      <c r="I120" s="19"/>
    </row>
    <row r="121" spans="3:9" ht="16.5">
      <c r="C121" s="2"/>
      <c r="F121" s="2"/>
      <c r="I121" s="19"/>
    </row>
    <row r="122" spans="3:9" ht="16.5">
      <c r="C122" s="2"/>
      <c r="F122" s="2"/>
      <c r="I122" s="19"/>
    </row>
    <row r="123" spans="3:9" ht="16.5">
      <c r="C123" s="2"/>
      <c r="F123" s="2"/>
      <c r="I123" s="19"/>
    </row>
    <row r="124" spans="3:9" ht="16.5">
      <c r="C124" s="2"/>
      <c r="F124" s="2"/>
      <c r="I124" s="19"/>
    </row>
    <row r="125" spans="3:9" ht="16.5">
      <c r="C125" s="2"/>
      <c r="F125" s="2"/>
      <c r="I125" s="19"/>
    </row>
    <row r="126" spans="3:9" ht="16.5">
      <c r="C126" s="2"/>
      <c r="F126" s="2"/>
      <c r="I126" s="19"/>
    </row>
    <row r="127" spans="3:9" ht="16.5">
      <c r="C127" s="2"/>
      <c r="F127" s="2"/>
      <c r="I127" s="19"/>
    </row>
    <row r="128" spans="3:9" ht="16.5">
      <c r="C128" s="2"/>
      <c r="F128" s="2"/>
      <c r="I128" s="19"/>
    </row>
    <row r="129" spans="3:9" ht="16.5">
      <c r="C129" s="2"/>
      <c r="F129" s="2"/>
      <c r="I129" s="19"/>
    </row>
    <row r="130" spans="3:9" ht="16.5">
      <c r="C130" s="2"/>
      <c r="F130" s="2"/>
      <c r="I130" s="19"/>
    </row>
    <row r="131" spans="3:9" ht="16.5">
      <c r="C131" s="2"/>
      <c r="F131" s="2"/>
      <c r="I131" s="19"/>
    </row>
    <row r="132" spans="3:9" ht="16.5">
      <c r="C132" s="2"/>
      <c r="F132" s="2"/>
      <c r="I132" s="19"/>
    </row>
    <row r="133" spans="3:9" ht="16.5">
      <c r="C133" s="2"/>
      <c r="F133" s="2"/>
      <c r="I133" s="19"/>
    </row>
    <row r="134" spans="3:9" ht="16.5">
      <c r="C134" s="2"/>
      <c r="F134" s="2"/>
      <c r="I134" s="19"/>
    </row>
    <row r="135" spans="3:9" ht="16.5">
      <c r="C135" s="2"/>
      <c r="F135" s="2"/>
      <c r="I135" s="19"/>
    </row>
    <row r="136" spans="3:9" ht="16.5">
      <c r="C136" s="2"/>
      <c r="F136" s="2"/>
      <c r="I136" s="19"/>
    </row>
    <row r="137" spans="3:9" ht="16.5">
      <c r="C137" s="2"/>
      <c r="F137" s="2"/>
      <c r="I137" s="19"/>
    </row>
    <row r="138" spans="3:9" ht="16.5">
      <c r="C138" s="2"/>
      <c r="F138" s="2"/>
      <c r="I138" s="19"/>
    </row>
    <row r="139" spans="3:9" ht="16.5">
      <c r="C139" s="2"/>
      <c r="F139" s="2"/>
      <c r="I139" s="19"/>
    </row>
    <row r="140" spans="3:9" ht="16.5">
      <c r="C140" s="2"/>
      <c r="F140" s="2"/>
      <c r="I140" s="19"/>
    </row>
    <row r="141" spans="3:9" ht="16.5">
      <c r="C141" s="2"/>
      <c r="F141" s="2"/>
      <c r="I141" s="19"/>
    </row>
    <row r="142" spans="3:9" ht="16.5">
      <c r="C142" s="2"/>
      <c r="F142" s="2"/>
      <c r="I142" s="19"/>
    </row>
    <row r="143" spans="3:9" ht="16.5">
      <c r="C143" s="2"/>
      <c r="F143" s="2"/>
      <c r="I143" s="19"/>
    </row>
    <row r="144" spans="3:9" ht="16.5">
      <c r="C144" s="2"/>
      <c r="F144" s="2"/>
      <c r="I144" s="19"/>
    </row>
    <row r="145" spans="3:9" ht="16.5">
      <c r="C145" s="2"/>
      <c r="F145" s="2"/>
      <c r="I145" s="19"/>
    </row>
    <row r="146" spans="3:9" ht="16.5">
      <c r="C146" s="2"/>
      <c r="F146" s="2"/>
      <c r="I146" s="19"/>
    </row>
    <row r="147" spans="3:9" ht="16.5">
      <c r="C147" s="2"/>
      <c r="F147" s="2"/>
      <c r="I147" s="19"/>
    </row>
    <row r="148" spans="3:9" ht="16.5">
      <c r="C148" s="2"/>
      <c r="F148" s="2"/>
      <c r="I148" s="19"/>
    </row>
    <row r="149" spans="3:9" ht="16.5">
      <c r="C149" s="2"/>
      <c r="F149" s="2"/>
      <c r="I149" s="19"/>
    </row>
    <row r="150" spans="3:9" ht="16.5">
      <c r="C150" s="2"/>
      <c r="F150" s="2"/>
      <c r="I150" s="19"/>
    </row>
    <row r="151" spans="3:9" ht="16.5">
      <c r="C151" s="2"/>
      <c r="F151" s="2"/>
      <c r="I151" s="19"/>
    </row>
    <row r="152" spans="3:9" ht="16.5">
      <c r="C152" s="2"/>
      <c r="F152" s="2"/>
      <c r="I152" s="19"/>
    </row>
    <row r="153" spans="3:9" ht="16.5">
      <c r="C153" s="2"/>
      <c r="F153" s="2"/>
      <c r="I153" s="19"/>
    </row>
    <row r="154" spans="3:9" ht="16.5">
      <c r="C154" s="2"/>
      <c r="F154" s="2"/>
      <c r="I154" s="19"/>
    </row>
    <row r="155" spans="3:9" ht="16.5">
      <c r="C155" s="2"/>
      <c r="F155" s="2"/>
      <c r="I155" s="19"/>
    </row>
    <row r="156" spans="3:9" ht="16.5">
      <c r="C156" s="2"/>
      <c r="F156" s="2"/>
      <c r="I156" s="19"/>
    </row>
    <row r="157" spans="3:9" ht="16.5">
      <c r="C157" s="2"/>
      <c r="F157" s="2"/>
      <c r="I157" s="19"/>
    </row>
    <row r="158" spans="3:9" ht="16.5">
      <c r="C158" s="2"/>
      <c r="F158" s="2"/>
      <c r="I158" s="19"/>
    </row>
    <row r="159" spans="3:9" ht="16.5">
      <c r="C159" s="2"/>
      <c r="F159" s="2"/>
      <c r="I159" s="19"/>
    </row>
    <row r="160" spans="3:9" ht="16.5">
      <c r="C160" s="2"/>
      <c r="F160" s="2"/>
      <c r="I160" s="19"/>
    </row>
    <row r="161" spans="3:9" ht="16.5">
      <c r="C161" s="2"/>
      <c r="F161" s="2"/>
      <c r="I161" s="19"/>
    </row>
    <row r="162" spans="3:9" ht="16.5">
      <c r="C162" s="2"/>
      <c r="F162" s="2"/>
      <c r="I162" s="19"/>
    </row>
    <row r="163" spans="3:9" ht="16.5">
      <c r="C163" s="2"/>
      <c r="F163" s="2"/>
      <c r="I163" s="19"/>
    </row>
    <row r="164" spans="3:9" ht="16.5">
      <c r="C164" s="2"/>
      <c r="F164" s="2"/>
      <c r="I164" s="19"/>
    </row>
    <row r="165" spans="3:9" ht="16.5">
      <c r="C165" s="2"/>
      <c r="F165" s="2"/>
      <c r="I165" s="19"/>
    </row>
    <row r="166" spans="3:9" ht="16.5">
      <c r="C166" s="2"/>
      <c r="F166" s="2"/>
      <c r="I166" s="19"/>
    </row>
    <row r="167" spans="3:9" ht="16.5">
      <c r="C167" s="2"/>
      <c r="F167" s="2"/>
      <c r="I167" s="19"/>
    </row>
    <row r="168" spans="3:9" ht="16.5">
      <c r="C168" s="2"/>
      <c r="F168" s="2"/>
      <c r="I168" s="19"/>
    </row>
    <row r="169" spans="3:9" ht="16.5">
      <c r="C169" s="2"/>
      <c r="F169" s="2"/>
      <c r="I169" s="19"/>
    </row>
    <row r="170" spans="3:9" ht="16.5">
      <c r="C170" s="2"/>
      <c r="F170" s="2"/>
      <c r="I170" s="19"/>
    </row>
    <row r="171" spans="3:9" ht="16.5">
      <c r="C171" s="2"/>
      <c r="F171" s="2"/>
      <c r="I171" s="19"/>
    </row>
    <row r="172" spans="3:9" ht="16.5">
      <c r="C172" s="2"/>
      <c r="F172" s="2"/>
      <c r="I172" s="19"/>
    </row>
    <row r="173" spans="3:9" ht="16.5">
      <c r="C173" s="2"/>
      <c r="F173" s="2"/>
      <c r="I173" s="19"/>
    </row>
    <row r="174" spans="3:9" ht="16.5">
      <c r="C174" s="2"/>
      <c r="F174" s="2"/>
      <c r="I174" s="19"/>
    </row>
    <row r="175" spans="3:9" ht="16.5">
      <c r="C175" s="2"/>
      <c r="F175" s="2"/>
      <c r="I175" s="19"/>
    </row>
    <row r="176" spans="3:9" ht="16.5">
      <c r="C176" s="2"/>
      <c r="F176" s="2"/>
      <c r="I176" s="19"/>
    </row>
    <row r="177" spans="3:9" ht="16.5">
      <c r="C177" s="2"/>
      <c r="F177" s="2"/>
      <c r="I177" s="19"/>
    </row>
    <row r="178" spans="3:9" ht="16.5">
      <c r="C178" s="2"/>
      <c r="F178" s="2"/>
      <c r="I178" s="19"/>
    </row>
    <row r="179" spans="3:9" ht="16.5">
      <c r="C179" s="2"/>
      <c r="F179" s="2"/>
      <c r="I179" s="19"/>
    </row>
    <row r="180" spans="3:9" ht="16.5">
      <c r="C180" s="2"/>
      <c r="F180" s="2"/>
      <c r="I180" s="19"/>
    </row>
    <row r="181" spans="3:9" ht="16.5">
      <c r="C181" s="2"/>
      <c r="F181" s="2"/>
      <c r="I181" s="19"/>
    </row>
    <row r="182" spans="3:9" ht="16.5">
      <c r="C182" s="2"/>
      <c r="F182" s="2"/>
      <c r="I182" s="19"/>
    </row>
    <row r="183" spans="3:9" ht="16.5">
      <c r="C183" s="2"/>
      <c r="F183" s="2"/>
      <c r="I183" s="19"/>
    </row>
    <row r="184" spans="3:9" ht="16.5">
      <c r="C184" s="2"/>
      <c r="F184" s="2"/>
      <c r="I184" s="19"/>
    </row>
    <row r="185" spans="3:9" ht="16.5">
      <c r="C185" s="2"/>
      <c r="F185" s="2"/>
      <c r="I185" s="19"/>
    </row>
    <row r="186" spans="3:9" ht="16.5">
      <c r="C186" s="2"/>
      <c r="F186" s="2"/>
      <c r="I186" s="19"/>
    </row>
    <row r="187" spans="3:9" ht="16.5">
      <c r="C187" s="2"/>
      <c r="F187" s="2"/>
      <c r="I187" s="19"/>
    </row>
    <row r="188" spans="3:9" ht="16.5">
      <c r="C188" s="2"/>
      <c r="F188" s="2"/>
      <c r="I188" s="19"/>
    </row>
    <row r="189" spans="3:9" ht="16.5">
      <c r="C189" s="2"/>
      <c r="F189" s="2"/>
      <c r="I189" s="19"/>
    </row>
    <row r="190" spans="3:9" ht="16.5">
      <c r="C190" s="2"/>
      <c r="F190" s="2"/>
      <c r="I190" s="19"/>
    </row>
    <row r="191" spans="3:9" ht="16.5">
      <c r="C191" s="2"/>
      <c r="F191" s="2"/>
      <c r="I191" s="19"/>
    </row>
    <row r="192" spans="3:9" ht="16.5">
      <c r="C192" s="2"/>
      <c r="F192" s="2"/>
      <c r="I192" s="19"/>
    </row>
    <row r="193" spans="3:9" ht="16.5">
      <c r="C193" s="2"/>
      <c r="F193" s="2"/>
      <c r="I193" s="19"/>
    </row>
    <row r="194" spans="3:9" ht="16.5">
      <c r="C194" s="2"/>
      <c r="F194" s="2"/>
      <c r="I194" s="19"/>
    </row>
    <row r="195" spans="3:9" ht="16.5">
      <c r="C195" s="2"/>
      <c r="F195" s="2"/>
      <c r="I195" s="19"/>
    </row>
    <row r="196" spans="3:9" ht="16.5">
      <c r="C196" s="2"/>
      <c r="F196" s="2"/>
      <c r="I196" s="19"/>
    </row>
    <row r="197" spans="3:9" ht="16.5">
      <c r="C197" s="2"/>
      <c r="F197" s="2"/>
      <c r="I197" s="19"/>
    </row>
    <row r="198" spans="3:9" ht="16.5">
      <c r="C198" s="2"/>
      <c r="F198" s="2"/>
      <c r="I198" s="19"/>
    </row>
    <row r="199" spans="3:9" ht="16.5">
      <c r="C199" s="2"/>
      <c r="F199" s="2"/>
      <c r="I199" s="19"/>
    </row>
    <row r="200" spans="3:9" ht="16.5">
      <c r="C200" s="2"/>
      <c r="F200" s="2"/>
      <c r="I200" s="19"/>
    </row>
    <row r="201" spans="3:9" ht="16.5">
      <c r="C201" s="2"/>
      <c r="F201" s="2"/>
      <c r="I201" s="19"/>
    </row>
    <row r="202" spans="3:9" ht="16.5">
      <c r="C202" s="2"/>
      <c r="F202" s="2"/>
      <c r="I202" s="19"/>
    </row>
    <row r="203" spans="3:9" ht="16.5">
      <c r="C203" s="2"/>
      <c r="F203" s="2"/>
      <c r="I203" s="19"/>
    </row>
    <row r="204" spans="3:9" ht="16.5">
      <c r="C204" s="2"/>
      <c r="F204" s="2"/>
      <c r="I204" s="19"/>
    </row>
    <row r="205" spans="3:9" ht="16.5">
      <c r="C205" s="2"/>
      <c r="F205" s="2"/>
      <c r="I205" s="19"/>
    </row>
    <row r="206" spans="3:9" ht="16.5">
      <c r="C206" s="2"/>
      <c r="F206" s="2"/>
      <c r="I206" s="19"/>
    </row>
    <row r="207" spans="3:9" ht="16.5">
      <c r="C207" s="2"/>
      <c r="F207" s="2"/>
      <c r="I207" s="19"/>
    </row>
    <row r="208" spans="3:9" ht="16.5">
      <c r="C208" s="2"/>
      <c r="F208" s="2"/>
      <c r="I208" s="19"/>
    </row>
    <row r="209" spans="3:9" ht="16.5">
      <c r="C209" s="2"/>
      <c r="F209" s="2"/>
      <c r="I209" s="19"/>
    </row>
    <row r="210" spans="3:9" ht="16.5">
      <c r="C210" s="2"/>
      <c r="F210" s="2"/>
      <c r="I210" s="19"/>
    </row>
    <row r="211" spans="3:9" ht="16.5">
      <c r="C211" s="2"/>
      <c r="F211" s="2"/>
      <c r="I211" s="19"/>
    </row>
    <row r="212" spans="3:9" ht="16.5">
      <c r="C212" s="2"/>
      <c r="F212" s="2"/>
      <c r="I212" s="19"/>
    </row>
    <row r="213" spans="3:9" ht="16.5">
      <c r="C213" s="2"/>
      <c r="F213" s="2"/>
      <c r="I213" s="19"/>
    </row>
    <row r="214" spans="3:9" ht="16.5">
      <c r="C214" s="2"/>
      <c r="F214" s="2"/>
      <c r="I214" s="19"/>
    </row>
    <row r="215" spans="3:9" ht="16.5">
      <c r="C215" s="2"/>
      <c r="F215" s="2"/>
      <c r="I215" s="19"/>
    </row>
    <row r="216" spans="3:9" ht="16.5">
      <c r="C216" s="2"/>
      <c r="F216" s="2"/>
      <c r="I216" s="19"/>
    </row>
    <row r="217" spans="3:9" ht="16.5">
      <c r="C217" s="2"/>
      <c r="F217" s="2"/>
      <c r="I217" s="19"/>
    </row>
    <row r="218" spans="3:9" ht="16.5">
      <c r="C218" s="2"/>
      <c r="F218" s="2"/>
      <c r="I218" s="19"/>
    </row>
    <row r="219" spans="3:9" ht="16.5">
      <c r="C219" s="2"/>
      <c r="F219" s="2"/>
      <c r="I219" s="19"/>
    </row>
    <row r="220" spans="3:9" ht="16.5">
      <c r="C220" s="2"/>
      <c r="F220" s="2"/>
      <c r="I220" s="19"/>
    </row>
    <row r="221" spans="3:9" ht="16.5">
      <c r="C221" s="2"/>
      <c r="F221" s="2"/>
      <c r="I221" s="19"/>
    </row>
    <row r="222" spans="3:9" ht="16.5">
      <c r="C222" s="2"/>
      <c r="F222" s="2"/>
      <c r="I222" s="19"/>
    </row>
    <row r="223" spans="3:9" ht="16.5">
      <c r="C223" s="2"/>
      <c r="F223" s="2"/>
      <c r="I223" s="19"/>
    </row>
    <row r="224" spans="3:9" ht="16.5">
      <c r="C224" s="2"/>
      <c r="F224" s="2"/>
      <c r="I224" s="19"/>
    </row>
    <row r="225" spans="3:9" ht="16.5">
      <c r="C225" s="2"/>
      <c r="F225" s="2"/>
      <c r="I225" s="19"/>
    </row>
    <row r="226" spans="3:9" ht="16.5">
      <c r="C226" s="2"/>
      <c r="F226" s="2"/>
      <c r="I226" s="19"/>
    </row>
    <row r="227" spans="3:9" ht="16.5">
      <c r="C227" s="2"/>
      <c r="F227" s="2"/>
      <c r="I227" s="19"/>
    </row>
    <row r="228" spans="3:9" ht="16.5">
      <c r="C228" s="2"/>
      <c r="F228" s="2"/>
      <c r="I228" s="19"/>
    </row>
    <row r="229" spans="3:9" ht="16.5">
      <c r="C229" s="2"/>
      <c r="F229" s="2"/>
      <c r="I229" s="19"/>
    </row>
    <row r="230" spans="3:9" ht="16.5">
      <c r="C230" s="2"/>
      <c r="F230" s="2"/>
      <c r="I230" s="19"/>
    </row>
    <row r="231" spans="3:9" ht="16.5">
      <c r="C231" s="2"/>
      <c r="F231" s="2"/>
      <c r="I231" s="19"/>
    </row>
    <row r="232" spans="3:9" ht="16.5">
      <c r="C232" s="2"/>
      <c r="F232" s="2"/>
      <c r="I232" s="19"/>
    </row>
    <row r="233" spans="3:9" ht="16.5">
      <c r="C233" s="2"/>
      <c r="F233" s="2"/>
      <c r="I233" s="19"/>
    </row>
    <row r="234" spans="3:9" ht="16.5">
      <c r="C234" s="2"/>
      <c r="F234" s="2"/>
      <c r="I234" s="19"/>
    </row>
    <row r="235" spans="3:9" ht="16.5">
      <c r="C235" s="2"/>
      <c r="F235" s="2"/>
      <c r="I235" s="19"/>
    </row>
    <row r="236" spans="3:9" ht="16.5">
      <c r="C236" s="2"/>
      <c r="F236" s="2"/>
      <c r="I236" s="19"/>
    </row>
    <row r="237" spans="3:9" ht="16.5">
      <c r="C237" s="2"/>
      <c r="F237" s="2"/>
      <c r="I237" s="19"/>
    </row>
    <row r="238" spans="3:9" ht="16.5">
      <c r="C238" s="2"/>
      <c r="F238" s="2"/>
      <c r="I238" s="19"/>
    </row>
    <row r="239" spans="3:9" ht="16.5">
      <c r="C239" s="2"/>
      <c r="F239" s="2"/>
      <c r="I239" s="19"/>
    </row>
    <row r="240" spans="3:9" ht="16.5">
      <c r="C240" s="2"/>
      <c r="F240" s="2"/>
      <c r="I240" s="19"/>
    </row>
    <row r="241" spans="3:9" ht="16.5">
      <c r="C241" s="2"/>
      <c r="F241" s="2"/>
      <c r="I241" s="19"/>
    </row>
    <row r="242" spans="3:9" ht="16.5">
      <c r="C242" s="2"/>
      <c r="F242" s="2"/>
      <c r="I242" s="19"/>
    </row>
    <row r="243" spans="3:9" ht="16.5">
      <c r="C243" s="2"/>
      <c r="F243" s="2"/>
      <c r="I243" s="19"/>
    </row>
    <row r="244" spans="3:9" ht="16.5">
      <c r="C244" s="2"/>
      <c r="F244" s="2"/>
      <c r="I244" s="19"/>
    </row>
    <row r="245" spans="3:9" ht="16.5">
      <c r="C245" s="2"/>
      <c r="F245" s="2"/>
      <c r="I245" s="19"/>
    </row>
    <row r="246" spans="3:9" ht="16.5">
      <c r="C246" s="2"/>
      <c r="F246" s="2"/>
      <c r="I246" s="19"/>
    </row>
    <row r="247" spans="3:9" ht="16.5">
      <c r="C247" s="2"/>
      <c r="F247" s="2"/>
      <c r="I247" s="19"/>
    </row>
    <row r="248" spans="3:9" ht="16.5">
      <c r="C248" s="2"/>
      <c r="F248" s="2"/>
      <c r="I248" s="19"/>
    </row>
    <row r="249" spans="3:9" ht="16.5">
      <c r="C249" s="2"/>
      <c r="F249" s="2"/>
      <c r="I249" s="19"/>
    </row>
    <row r="250" spans="3:9" ht="16.5">
      <c r="C250" s="2"/>
      <c r="F250" s="2"/>
      <c r="I250" s="19"/>
    </row>
    <row r="251" spans="3:9" ht="16.5">
      <c r="C251" s="2"/>
      <c r="F251" s="2"/>
      <c r="I251" s="19"/>
    </row>
    <row r="252" spans="3:9" ht="16.5">
      <c r="C252" s="2"/>
      <c r="F252" s="2"/>
      <c r="I252" s="19"/>
    </row>
    <row r="253" spans="3:9" ht="16.5">
      <c r="C253" s="2"/>
      <c r="F253" s="2"/>
      <c r="I253" s="19"/>
    </row>
    <row r="254" spans="3:9" ht="16.5">
      <c r="C254" s="2"/>
      <c r="F254" s="2"/>
      <c r="I254" s="19"/>
    </row>
    <row r="255" spans="3:9" ht="16.5">
      <c r="C255" s="2"/>
      <c r="F255" s="2"/>
      <c r="I255" s="19"/>
    </row>
    <row r="256" spans="3:9" ht="16.5">
      <c r="C256" s="2"/>
      <c r="F256" s="2"/>
      <c r="I256" s="19"/>
    </row>
    <row r="257" spans="3:9" ht="16.5">
      <c r="C257" s="2"/>
      <c r="F257" s="2"/>
      <c r="I257" s="19"/>
    </row>
    <row r="258" spans="3:9" ht="16.5">
      <c r="C258" s="2"/>
      <c r="F258" s="2"/>
      <c r="I258" s="19"/>
    </row>
    <row r="259" spans="3:9" ht="16.5">
      <c r="C259" s="2"/>
      <c r="F259" s="2"/>
      <c r="I259" s="19"/>
    </row>
    <row r="260" spans="3:9" ht="16.5">
      <c r="C260" s="2"/>
      <c r="F260" s="2"/>
      <c r="I260" s="19"/>
    </row>
    <row r="261" spans="3:9" ht="16.5">
      <c r="C261" s="2"/>
      <c r="F261" s="2"/>
      <c r="I261" s="19"/>
    </row>
    <row r="262" spans="3:9" ht="16.5">
      <c r="C262" s="2"/>
      <c r="F262" s="2"/>
      <c r="I262" s="19"/>
    </row>
    <row r="263" spans="3:9" ht="16.5">
      <c r="C263" s="2"/>
      <c r="F263" s="2"/>
      <c r="I263" s="19"/>
    </row>
    <row r="264" spans="3:9" ht="16.5">
      <c r="C264" s="2"/>
      <c r="F264" s="2"/>
      <c r="I264" s="19"/>
    </row>
    <row r="265" spans="3:9" ht="16.5">
      <c r="C265" s="2"/>
      <c r="F265" s="2"/>
      <c r="I265" s="19"/>
    </row>
    <row r="266" spans="3:9" ht="16.5">
      <c r="C266" s="2"/>
      <c r="F266" s="2"/>
      <c r="I266" s="19"/>
    </row>
    <row r="267" spans="3:9" ht="16.5">
      <c r="C267" s="2"/>
      <c r="F267" s="2"/>
      <c r="I267" s="19"/>
    </row>
    <row r="268" spans="3:9" ht="16.5">
      <c r="C268" s="2"/>
      <c r="F268" s="2"/>
      <c r="I268" s="19"/>
    </row>
    <row r="269" spans="3:9" ht="16.5">
      <c r="C269" s="2"/>
      <c r="F269" s="2"/>
      <c r="I269" s="19"/>
    </row>
    <row r="270" spans="3:9" ht="16.5">
      <c r="C270" s="2"/>
      <c r="F270" s="2"/>
      <c r="I270" s="19"/>
    </row>
    <row r="271" spans="3:9" ht="16.5">
      <c r="C271" s="2"/>
      <c r="F271" s="2"/>
      <c r="I271" s="19"/>
    </row>
    <row r="272" spans="3:9" ht="16.5">
      <c r="C272" s="2"/>
      <c r="F272" s="2"/>
      <c r="I272" s="19"/>
    </row>
    <row r="273" spans="3:9" ht="16.5">
      <c r="C273" s="2"/>
      <c r="F273" s="2"/>
      <c r="I273" s="19"/>
    </row>
    <row r="274" spans="3:9" ht="16.5">
      <c r="C274" s="2"/>
      <c r="F274" s="2"/>
      <c r="I274" s="19"/>
    </row>
    <row r="275" spans="3:9" ht="16.5">
      <c r="C275" s="2"/>
      <c r="F275" s="2"/>
      <c r="I275" s="19"/>
    </row>
    <row r="276" spans="3:9" ht="16.5">
      <c r="C276" s="2"/>
      <c r="F276" s="2"/>
      <c r="I276" s="19"/>
    </row>
    <row r="277" spans="3:9" ht="16.5">
      <c r="C277" s="2"/>
      <c r="F277" s="2"/>
      <c r="I277" s="19"/>
    </row>
    <row r="278" spans="3:9" ht="16.5">
      <c r="C278" s="2"/>
      <c r="F278" s="2"/>
      <c r="I278" s="19"/>
    </row>
    <row r="279" spans="3:9" ht="16.5">
      <c r="C279" s="2"/>
      <c r="F279" s="2"/>
      <c r="I279" s="19"/>
    </row>
    <row r="280" spans="3:9" ht="16.5">
      <c r="C280" s="2"/>
      <c r="F280" s="2"/>
      <c r="I280" s="19"/>
    </row>
    <row r="281" spans="3:9" ht="16.5">
      <c r="C281" s="2"/>
      <c r="F281" s="2"/>
      <c r="I281" s="19"/>
    </row>
    <row r="282" spans="3:9" ht="16.5">
      <c r="C282" s="2"/>
      <c r="F282" s="2"/>
      <c r="I282" s="19"/>
    </row>
    <row r="283" spans="3:9" ht="16.5">
      <c r="C283" s="2"/>
      <c r="F283" s="2"/>
      <c r="I283" s="19"/>
    </row>
    <row r="284" spans="3:9" ht="16.5">
      <c r="C284" s="2"/>
      <c r="F284" s="2"/>
      <c r="I284" s="19"/>
    </row>
    <row r="285" spans="3:9" ht="16.5">
      <c r="C285" s="2"/>
      <c r="F285" s="2"/>
      <c r="I285" s="19"/>
    </row>
    <row r="286" spans="3:9" ht="16.5">
      <c r="C286" s="2"/>
      <c r="F286" s="2"/>
      <c r="I286" s="19"/>
    </row>
    <row r="287" spans="3:9" ht="16.5">
      <c r="C287" s="2"/>
      <c r="F287" s="2"/>
      <c r="I287" s="19"/>
    </row>
    <row r="288" spans="3:9" ht="16.5">
      <c r="C288" s="2"/>
      <c r="F288" s="2"/>
      <c r="I288" s="19"/>
    </row>
    <row r="289" spans="3:9" ht="16.5">
      <c r="C289" s="2"/>
      <c r="F289" s="2"/>
      <c r="I289" s="19"/>
    </row>
    <row r="290" spans="3:9" ht="16.5">
      <c r="C290" s="2"/>
      <c r="F290" s="2"/>
      <c r="I290" s="19"/>
    </row>
    <row r="291" spans="3:9" ht="16.5">
      <c r="C291" s="2"/>
      <c r="F291" s="2"/>
      <c r="I291" s="19"/>
    </row>
    <row r="292" spans="3:9" ht="16.5">
      <c r="C292" s="2"/>
      <c r="F292" s="2"/>
      <c r="I292" s="19"/>
    </row>
    <row r="293" spans="3:9" ht="16.5">
      <c r="C293" s="2"/>
      <c r="F293" s="2"/>
      <c r="I293" s="19"/>
    </row>
    <row r="294" spans="3:9" ht="16.5">
      <c r="C294" s="2"/>
      <c r="F294" s="2"/>
      <c r="I294" s="19"/>
    </row>
    <row r="295" spans="3:9" ht="16.5">
      <c r="C295" s="2"/>
      <c r="F295" s="2"/>
      <c r="I295" s="19"/>
    </row>
    <row r="296" spans="3:9" ht="16.5">
      <c r="C296" s="2"/>
      <c r="F296" s="2"/>
      <c r="I296" s="19"/>
    </row>
    <row r="297" spans="3:9" ht="16.5">
      <c r="C297" s="2"/>
      <c r="F297" s="2"/>
      <c r="I297" s="19"/>
    </row>
    <row r="298" spans="3:9" ht="16.5">
      <c r="C298" s="2"/>
      <c r="F298" s="2"/>
      <c r="I298" s="19"/>
    </row>
    <row r="299" spans="3:9" ht="16.5">
      <c r="C299" s="2"/>
      <c r="F299" s="2"/>
      <c r="I299" s="19"/>
    </row>
    <row r="300" spans="3:9" ht="16.5">
      <c r="C300" s="2"/>
      <c r="F300" s="2"/>
      <c r="I300" s="19"/>
    </row>
    <row r="301" spans="3:9" ht="16.5">
      <c r="C301" s="2"/>
      <c r="F301" s="2"/>
      <c r="I301" s="19"/>
    </row>
    <row r="302" spans="3:9" ht="16.5">
      <c r="C302" s="2"/>
      <c r="F302" s="2"/>
      <c r="I302" s="19"/>
    </row>
    <row r="303" spans="3:9" ht="16.5">
      <c r="C303" s="2"/>
      <c r="F303" s="2"/>
      <c r="I303" s="19"/>
    </row>
    <row r="304" spans="3:9" ht="16.5">
      <c r="C304" s="2"/>
      <c r="F304" s="2"/>
      <c r="I304" s="19"/>
    </row>
    <row r="305" spans="3:9" ht="16.5">
      <c r="C305" s="2"/>
      <c r="F305" s="2"/>
      <c r="I305" s="19"/>
    </row>
    <row r="306" spans="3:9" ht="16.5">
      <c r="C306" s="2"/>
      <c r="F306" s="2"/>
      <c r="I306" s="19"/>
    </row>
    <row r="307" spans="3:9" ht="16.5">
      <c r="C307" s="2"/>
      <c r="F307" s="2"/>
      <c r="I307" s="19"/>
    </row>
    <row r="308" spans="3:9" ht="16.5">
      <c r="C308" s="2"/>
      <c r="F308" s="2"/>
      <c r="I308" s="19"/>
    </row>
    <row r="309" spans="3:9" ht="16.5">
      <c r="C309" s="2"/>
      <c r="F309" s="2"/>
      <c r="I309" s="19"/>
    </row>
    <row r="310" spans="3:9" ht="16.5">
      <c r="C310" s="2"/>
      <c r="F310" s="2"/>
      <c r="I310" s="19"/>
    </row>
    <row r="311" spans="3:9" ht="16.5">
      <c r="C311" s="2"/>
      <c r="F311" s="2"/>
      <c r="I311" s="19"/>
    </row>
    <row r="312" spans="3:9" ht="16.5">
      <c r="C312" s="2"/>
      <c r="F312" s="2"/>
      <c r="I312" s="19"/>
    </row>
    <row r="313" spans="3:9" ht="16.5">
      <c r="C313" s="2"/>
      <c r="F313" s="2"/>
      <c r="I313" s="19"/>
    </row>
    <row r="314" spans="3:9" ht="16.5">
      <c r="C314" s="2"/>
      <c r="F314" s="2"/>
      <c r="I314" s="19"/>
    </row>
    <row r="315" spans="3:9" ht="16.5">
      <c r="C315" s="2"/>
      <c r="F315" s="2"/>
      <c r="I315" s="19"/>
    </row>
    <row r="316" spans="3:9" ht="16.5">
      <c r="C316" s="2"/>
      <c r="F316" s="2"/>
      <c r="I316" s="19"/>
    </row>
    <row r="317" spans="3:9" ht="16.5">
      <c r="C317" s="2"/>
      <c r="F317" s="2"/>
      <c r="I317" s="19"/>
    </row>
    <row r="318" spans="3:9" ht="16.5">
      <c r="C318" s="2"/>
      <c r="F318" s="2"/>
      <c r="I318" s="19"/>
    </row>
    <row r="319" spans="3:9" ht="16.5">
      <c r="C319" s="2"/>
      <c r="F319" s="2"/>
      <c r="I319" s="19"/>
    </row>
    <row r="320" spans="3:9" ht="16.5">
      <c r="C320" s="2"/>
      <c r="F320" s="2"/>
      <c r="I320" s="19"/>
    </row>
    <row r="321" spans="3:9" ht="16.5">
      <c r="C321" s="2"/>
      <c r="F321" s="2"/>
      <c r="I321" s="19"/>
    </row>
    <row r="322" spans="3:9" ht="16.5">
      <c r="C322" s="2"/>
      <c r="F322" s="2"/>
      <c r="I322" s="19"/>
    </row>
    <row r="323" spans="3:9" ht="16.5">
      <c r="C323" s="2"/>
      <c r="F323" s="2"/>
      <c r="I323" s="19"/>
    </row>
    <row r="324" spans="3:9" ht="16.5">
      <c r="C324" s="2"/>
      <c r="F324" s="2"/>
      <c r="I324" s="19"/>
    </row>
    <row r="325" spans="3:9" ht="16.5">
      <c r="C325" s="2"/>
      <c r="F325" s="2"/>
      <c r="I325" s="19"/>
    </row>
    <row r="326" spans="3:9" ht="16.5">
      <c r="C326" s="2"/>
      <c r="F326" s="2"/>
      <c r="I326" s="19"/>
    </row>
    <row r="327" spans="3:9" ht="16.5">
      <c r="C327" s="2"/>
      <c r="F327" s="2"/>
      <c r="I327" s="19"/>
    </row>
    <row r="328" spans="3:9" ht="16.5">
      <c r="C328" s="2"/>
      <c r="F328" s="2"/>
      <c r="I328" s="19"/>
    </row>
    <row r="329" spans="3:9" ht="16.5">
      <c r="C329" s="2"/>
      <c r="F329" s="2"/>
      <c r="I329" s="19"/>
    </row>
    <row r="330" spans="3:9" ht="16.5">
      <c r="C330" s="2"/>
      <c r="F330" s="2"/>
      <c r="I330" s="19"/>
    </row>
    <row r="331" spans="3:9" ht="16.5">
      <c r="C331" s="2"/>
      <c r="F331" s="2"/>
      <c r="I331" s="19"/>
    </row>
    <row r="332" spans="3:9" ht="16.5">
      <c r="C332" s="2"/>
      <c r="F332" s="2"/>
      <c r="I332" s="19"/>
    </row>
    <row r="333" spans="3:9" ht="16.5">
      <c r="C333" s="2"/>
      <c r="F333" s="2"/>
      <c r="I333" s="19"/>
    </row>
    <row r="334" spans="3:9" ht="16.5">
      <c r="C334" s="2"/>
      <c r="F334" s="2"/>
      <c r="I334" s="19"/>
    </row>
    <row r="335" spans="3:9" ht="16.5">
      <c r="C335" s="2"/>
      <c r="F335" s="2"/>
      <c r="I335" s="19"/>
    </row>
    <row r="336" spans="3:9" ht="16.5">
      <c r="C336" s="2"/>
      <c r="F336" s="2"/>
      <c r="I336" s="19"/>
    </row>
    <row r="337" spans="3:9" ht="16.5">
      <c r="C337" s="2"/>
      <c r="F337" s="2"/>
      <c r="I337" s="19"/>
    </row>
    <row r="338" spans="3:9" ht="16.5">
      <c r="C338" s="2"/>
      <c r="F338" s="2"/>
      <c r="I338" s="19"/>
    </row>
    <row r="339" spans="3:9" ht="16.5">
      <c r="C339" s="2"/>
      <c r="F339" s="2"/>
      <c r="I339" s="19"/>
    </row>
    <row r="340" spans="3:9" ht="16.5">
      <c r="C340" s="2"/>
      <c r="F340" s="2"/>
      <c r="I340" s="19"/>
    </row>
    <row r="341" spans="3:9" ht="16.5">
      <c r="C341" s="2"/>
      <c r="F341" s="2"/>
      <c r="I341" s="19"/>
    </row>
    <row r="342" spans="3:9" ht="16.5">
      <c r="C342" s="2"/>
      <c r="F342" s="2"/>
      <c r="I342" s="19"/>
    </row>
    <row r="343" spans="3:9" ht="16.5">
      <c r="C343" s="2"/>
      <c r="F343" s="2"/>
      <c r="I343" s="19"/>
    </row>
    <row r="344" spans="3:9" ht="16.5">
      <c r="C344" s="2"/>
      <c r="F344" s="2"/>
      <c r="I344" s="19"/>
    </row>
    <row r="345" spans="3:9" ht="16.5">
      <c r="C345" s="2"/>
      <c r="F345" s="2"/>
      <c r="I345" s="19"/>
    </row>
    <row r="346" spans="3:9" ht="16.5">
      <c r="C346" s="2"/>
      <c r="F346" s="2"/>
      <c r="I346" s="19"/>
    </row>
    <row r="347" spans="3:9" ht="16.5">
      <c r="C347" s="2"/>
      <c r="F347" s="2"/>
      <c r="I347" s="19"/>
    </row>
    <row r="348" spans="3:9" ht="16.5">
      <c r="C348" s="2"/>
      <c r="F348" s="2"/>
      <c r="I348" s="19"/>
    </row>
    <row r="349" spans="3:9" ht="16.5">
      <c r="C349" s="2"/>
      <c r="F349" s="2"/>
      <c r="I349" s="19"/>
    </row>
    <row r="350" spans="3:9" ht="16.5">
      <c r="C350" s="2"/>
      <c r="F350" s="2"/>
      <c r="I350" s="19"/>
    </row>
    <row r="351" spans="3:9" ht="16.5">
      <c r="C351" s="2"/>
      <c r="F351" s="2"/>
      <c r="I351" s="19"/>
    </row>
    <row r="352" spans="3:9" ht="16.5">
      <c r="C352" s="2"/>
      <c r="F352" s="2"/>
      <c r="I352" s="19"/>
    </row>
    <row r="353" spans="3:9" ht="16.5">
      <c r="C353" s="2"/>
      <c r="F353" s="2"/>
      <c r="I353" s="19"/>
    </row>
    <row r="354" spans="3:9" ht="16.5">
      <c r="C354" s="2"/>
      <c r="F354" s="2"/>
      <c r="I354" s="19"/>
    </row>
    <row r="355" spans="3:9" ht="16.5">
      <c r="C355" s="2"/>
      <c r="F355" s="2"/>
      <c r="I355" s="19"/>
    </row>
    <row r="356" spans="3:9" ht="16.5">
      <c r="C356" s="2"/>
      <c r="F356" s="2"/>
      <c r="I356" s="19"/>
    </row>
    <row r="357" spans="3:9" ht="16.5">
      <c r="C357" s="2"/>
      <c r="F357" s="2"/>
      <c r="I357" s="19"/>
    </row>
    <row r="358" spans="3:9" ht="16.5">
      <c r="C358" s="2"/>
      <c r="F358" s="2"/>
      <c r="I358" s="19"/>
    </row>
    <row r="359" spans="3:9" ht="16.5">
      <c r="C359" s="2"/>
      <c r="F359" s="2"/>
      <c r="I359" s="19"/>
    </row>
    <row r="360" spans="3:9" ht="16.5">
      <c r="C360" s="2"/>
      <c r="F360" s="2"/>
      <c r="I360" s="19"/>
    </row>
    <row r="361" spans="3:9" ht="16.5">
      <c r="C361" s="2"/>
      <c r="F361" s="2"/>
      <c r="I361" s="19"/>
    </row>
    <row r="362" spans="3:9" ht="16.5">
      <c r="C362" s="2"/>
      <c r="F362" s="2"/>
      <c r="I362" s="19"/>
    </row>
    <row r="363" spans="3:9" ht="16.5">
      <c r="C363" s="2"/>
      <c r="F363" s="2"/>
      <c r="I363" s="19"/>
    </row>
    <row r="364" spans="3:9" ht="16.5">
      <c r="C364" s="2"/>
      <c r="F364" s="2"/>
      <c r="I364" s="19"/>
    </row>
    <row r="365" spans="3:9" ht="16.5">
      <c r="C365" s="2"/>
      <c r="F365" s="2"/>
      <c r="I365" s="19"/>
    </row>
    <row r="366" spans="3:9" ht="16.5">
      <c r="C366" s="2"/>
      <c r="F366" s="2"/>
      <c r="I366" s="19"/>
    </row>
    <row r="367" spans="3:9" ht="16.5">
      <c r="C367" s="2"/>
      <c r="F367" s="2"/>
      <c r="I367" s="19"/>
    </row>
    <row r="368" spans="3:9" ht="16.5">
      <c r="C368" s="2"/>
      <c r="F368" s="2"/>
      <c r="I368" s="19"/>
    </row>
    <row r="369" spans="3:9" ht="16.5">
      <c r="C369" s="2"/>
      <c r="F369" s="2"/>
      <c r="I369" s="19"/>
    </row>
    <row r="370" spans="3:9" ht="16.5">
      <c r="C370" s="2"/>
      <c r="F370" s="2"/>
      <c r="I370" s="19"/>
    </row>
    <row r="371" spans="3:9" ht="16.5">
      <c r="C371" s="2"/>
      <c r="F371" s="2"/>
      <c r="I371" s="19"/>
    </row>
    <row r="372" spans="3:9" ht="16.5">
      <c r="C372" s="2"/>
      <c r="F372" s="2"/>
      <c r="I372" s="19"/>
    </row>
    <row r="373" spans="3:9" ht="16.5">
      <c r="C373" s="2"/>
      <c r="F373" s="2"/>
      <c r="I373" s="19"/>
    </row>
    <row r="374" spans="3:9" ht="16.5">
      <c r="C374" s="2"/>
      <c r="F374" s="2"/>
      <c r="I374" s="19"/>
    </row>
    <row r="375" spans="3:9" ht="16.5">
      <c r="C375" s="2"/>
      <c r="F375" s="2"/>
      <c r="I375" s="19"/>
    </row>
    <row r="376" spans="3:9" ht="16.5">
      <c r="C376" s="2"/>
      <c r="F376" s="2"/>
      <c r="I376" s="19"/>
    </row>
    <row r="377" spans="3:9" ht="16.5">
      <c r="C377" s="2"/>
      <c r="F377" s="2"/>
      <c r="I377" s="19"/>
    </row>
    <row r="378" spans="3:9" ht="16.5">
      <c r="C378" s="2"/>
      <c r="F378" s="2"/>
      <c r="I378" s="19"/>
    </row>
    <row r="379" spans="3:9" ht="16.5">
      <c r="C379" s="2"/>
      <c r="F379" s="2"/>
      <c r="I379" s="19"/>
    </row>
    <row r="380" spans="3:9" ht="16.5">
      <c r="C380" s="2"/>
      <c r="F380" s="2"/>
      <c r="I380" s="19"/>
    </row>
    <row r="381" spans="3:9" ht="16.5">
      <c r="C381" s="2"/>
      <c r="F381" s="2"/>
      <c r="I381" s="19"/>
    </row>
    <row r="382" spans="3:9" ht="16.5">
      <c r="C382" s="2"/>
      <c r="F382" s="2"/>
      <c r="I382" s="19"/>
    </row>
    <row r="383" spans="3:9" ht="16.5">
      <c r="C383" s="2"/>
      <c r="F383" s="2"/>
      <c r="I383" s="19"/>
    </row>
    <row r="384" spans="3:9" ht="16.5">
      <c r="C384" s="2"/>
      <c r="F384" s="2"/>
      <c r="I384" s="19"/>
    </row>
    <row r="385" spans="3:9" ht="16.5">
      <c r="C385" s="2"/>
      <c r="F385" s="2"/>
      <c r="I385" s="19"/>
    </row>
    <row r="386" spans="3:9" ht="16.5">
      <c r="C386" s="2"/>
      <c r="F386" s="2"/>
      <c r="I386" s="19"/>
    </row>
    <row r="387" spans="3:9" ht="16.5">
      <c r="C387" s="2"/>
      <c r="F387" s="2"/>
      <c r="I387" s="19"/>
    </row>
    <row r="388" spans="3:9" ht="16.5">
      <c r="C388" s="2"/>
      <c r="F388" s="2"/>
      <c r="I388" s="19"/>
    </row>
    <row r="389" spans="3:9" ht="16.5">
      <c r="C389" s="2"/>
      <c r="F389" s="2"/>
      <c r="I389" s="19"/>
    </row>
    <row r="390" spans="3:9" ht="16.5">
      <c r="C390" s="2"/>
      <c r="F390" s="2"/>
      <c r="I390" s="19"/>
    </row>
    <row r="391" spans="3:9" ht="16.5">
      <c r="C391" s="2"/>
      <c r="F391" s="2"/>
      <c r="I391" s="19"/>
    </row>
    <row r="392" spans="3:9" ht="16.5">
      <c r="C392" s="2"/>
      <c r="F392" s="2"/>
      <c r="I392" s="19"/>
    </row>
    <row r="393" spans="3:9" ht="16.5">
      <c r="C393" s="2"/>
      <c r="F393" s="2"/>
      <c r="I393" s="19"/>
    </row>
    <row r="394" spans="3:9" ht="16.5">
      <c r="C394" s="2"/>
      <c r="F394" s="2"/>
      <c r="I394" s="19"/>
    </row>
    <row r="395" spans="3:9" ht="16.5">
      <c r="C395" s="2"/>
      <c r="F395" s="2"/>
      <c r="I395" s="19"/>
    </row>
    <row r="396" spans="3:9" ht="16.5">
      <c r="C396" s="2"/>
      <c r="F396" s="2"/>
      <c r="I396" s="19"/>
    </row>
    <row r="397" spans="3:9" ht="16.5">
      <c r="C397" s="2"/>
      <c r="F397" s="2"/>
      <c r="I397" s="19"/>
    </row>
    <row r="398" spans="3:9" ht="16.5">
      <c r="C398" s="2"/>
      <c r="F398" s="2"/>
      <c r="I398" s="19"/>
    </row>
    <row r="399" spans="3:9" ht="16.5">
      <c r="C399" s="2"/>
      <c r="F399" s="2"/>
      <c r="I399" s="19"/>
    </row>
    <row r="400" spans="3:9" ht="16.5">
      <c r="C400" s="2"/>
      <c r="F400" s="2"/>
      <c r="I400" s="19"/>
    </row>
    <row r="401" spans="3:9" ht="16.5">
      <c r="C401" s="2"/>
      <c r="F401" s="2"/>
      <c r="I401" s="19"/>
    </row>
    <row r="402" spans="3:9" ht="16.5">
      <c r="C402" s="2"/>
      <c r="F402" s="2"/>
      <c r="I402" s="19"/>
    </row>
    <row r="403" spans="3:9" ht="16.5">
      <c r="C403" s="2"/>
      <c r="F403" s="2"/>
      <c r="I403" s="19"/>
    </row>
    <row r="404" spans="3:9" ht="16.5">
      <c r="C404" s="2"/>
      <c r="F404" s="2"/>
      <c r="I404" s="19"/>
    </row>
    <row r="405" spans="3:9" ht="16.5">
      <c r="C405" s="2"/>
      <c r="F405" s="2"/>
      <c r="I405" s="19"/>
    </row>
    <row r="406" spans="3:9" ht="16.5">
      <c r="C406" s="2"/>
      <c r="F406" s="2"/>
      <c r="I406" s="19"/>
    </row>
    <row r="407" spans="3:9" ht="16.5">
      <c r="C407" s="2"/>
      <c r="F407" s="2"/>
      <c r="I407" s="19"/>
    </row>
    <row r="408" spans="3:9" ht="16.5">
      <c r="C408" s="2"/>
      <c r="F408" s="2"/>
      <c r="I408" s="19"/>
    </row>
    <row r="409" spans="3:9" ht="16.5">
      <c r="C409" s="2"/>
      <c r="F409" s="2"/>
      <c r="I409" s="19"/>
    </row>
    <row r="410" spans="3:9" ht="16.5">
      <c r="C410" s="2"/>
      <c r="F410" s="2"/>
      <c r="I410" s="19"/>
    </row>
    <row r="411" spans="3:9" ht="16.5">
      <c r="C411" s="2"/>
      <c r="F411" s="2"/>
      <c r="I411" s="19"/>
    </row>
    <row r="412" spans="3:9" ht="16.5">
      <c r="C412" s="2"/>
      <c r="F412" s="2"/>
      <c r="I412" s="19"/>
    </row>
    <row r="413" spans="3:9" ht="16.5">
      <c r="C413" s="2"/>
      <c r="F413" s="2"/>
      <c r="I413" s="19"/>
    </row>
    <row r="414" spans="3:9" ht="16.5">
      <c r="C414" s="2"/>
      <c r="F414" s="2"/>
      <c r="I414" s="19"/>
    </row>
    <row r="415" spans="3:9" ht="16.5">
      <c r="C415" s="2"/>
      <c r="F415" s="2"/>
      <c r="I415" s="19"/>
    </row>
    <row r="416" spans="3:9" ht="16.5">
      <c r="C416" s="2"/>
      <c r="F416" s="2"/>
      <c r="I416" s="19"/>
    </row>
    <row r="417" spans="3:9" ht="16.5">
      <c r="C417" s="2"/>
      <c r="F417" s="2"/>
      <c r="I417" s="19"/>
    </row>
    <row r="418" spans="3:9" ht="16.5">
      <c r="C418" s="2"/>
      <c r="F418" s="2"/>
      <c r="I418" s="19"/>
    </row>
    <row r="419" spans="3:9" ht="16.5">
      <c r="C419" s="2"/>
      <c r="F419" s="2"/>
      <c r="I419" s="19"/>
    </row>
    <row r="420" spans="3:9" ht="16.5">
      <c r="C420" s="2"/>
      <c r="F420" s="2"/>
      <c r="I420" s="19"/>
    </row>
    <row r="421" spans="3:9" ht="16.5">
      <c r="C421" s="2"/>
      <c r="F421" s="2"/>
      <c r="I421" s="19"/>
    </row>
    <row r="422" spans="3:9" ht="16.5">
      <c r="C422" s="2"/>
      <c r="F422" s="2"/>
      <c r="I422" s="19"/>
    </row>
    <row r="423" spans="3:9" ht="16.5">
      <c r="C423" s="2"/>
      <c r="F423" s="2"/>
      <c r="I423" s="19"/>
    </row>
    <row r="424" spans="3:9" ht="16.5">
      <c r="C424" s="2"/>
      <c r="F424" s="2"/>
      <c r="I424" s="19"/>
    </row>
    <row r="425" spans="3:9" ht="16.5">
      <c r="C425" s="2"/>
      <c r="F425" s="2"/>
      <c r="I425" s="19"/>
    </row>
    <row r="426" spans="3:9" ht="16.5">
      <c r="C426" s="2"/>
      <c r="F426" s="2"/>
      <c r="I426" s="19"/>
    </row>
    <row r="427" spans="3:9" ht="16.5">
      <c r="C427" s="2"/>
      <c r="F427" s="2"/>
      <c r="I427" s="19"/>
    </row>
    <row r="428" spans="3:9" ht="16.5">
      <c r="C428" s="2"/>
      <c r="F428" s="2"/>
      <c r="I428" s="19"/>
    </row>
    <row r="429" spans="3:9" ht="16.5">
      <c r="C429" s="2"/>
      <c r="F429" s="2"/>
      <c r="I429" s="19"/>
    </row>
    <row r="430" spans="3:9" ht="16.5">
      <c r="C430" s="2"/>
      <c r="F430" s="2"/>
      <c r="I430" s="19"/>
    </row>
    <row r="431" spans="3:9" ht="16.5">
      <c r="C431" s="2"/>
      <c r="F431" s="2"/>
      <c r="I431" s="19"/>
    </row>
    <row r="432" spans="3:9" ht="16.5">
      <c r="C432" s="2"/>
      <c r="F432" s="2"/>
      <c r="I432" s="19"/>
    </row>
    <row r="433" spans="3:9" ht="16.5">
      <c r="C433" s="2"/>
      <c r="F433" s="2"/>
      <c r="I433" s="19"/>
    </row>
    <row r="434" spans="3:9" ht="16.5">
      <c r="C434" s="2"/>
      <c r="F434" s="2"/>
      <c r="I434" s="19"/>
    </row>
    <row r="435" spans="3:9" ht="16.5">
      <c r="C435" s="2"/>
      <c r="F435" s="2"/>
      <c r="I435" s="19"/>
    </row>
    <row r="436" spans="3:9" ht="16.5">
      <c r="C436" s="2"/>
      <c r="F436" s="2"/>
      <c r="I436" s="19"/>
    </row>
    <row r="437" spans="3:9" ht="16.5">
      <c r="C437" s="2"/>
      <c r="F437" s="2"/>
      <c r="I437" s="19"/>
    </row>
    <row r="438" spans="3:9" ht="16.5">
      <c r="C438" s="2"/>
      <c r="F438" s="2"/>
      <c r="I438" s="19"/>
    </row>
    <row r="439" spans="3:9" ht="16.5">
      <c r="C439" s="2"/>
      <c r="F439" s="2"/>
      <c r="I439" s="19"/>
    </row>
    <row r="440" spans="3:9" ht="16.5">
      <c r="C440" s="2"/>
      <c r="F440" s="2"/>
      <c r="I440" s="19"/>
    </row>
    <row r="441" spans="3:9" ht="16.5">
      <c r="C441" s="2"/>
      <c r="F441" s="2"/>
      <c r="I441" s="19"/>
    </row>
    <row r="442" spans="3:9" ht="16.5">
      <c r="C442" s="2"/>
      <c r="F442" s="2"/>
      <c r="I442" s="19"/>
    </row>
    <row r="443" spans="3:9" ht="16.5">
      <c r="C443" s="2"/>
      <c r="F443" s="2"/>
      <c r="I443" s="19"/>
    </row>
    <row r="444" spans="3:9" ht="16.5">
      <c r="C444" s="2"/>
      <c r="F444" s="2"/>
      <c r="I444" s="19"/>
    </row>
    <row r="445" spans="3:9" ht="16.5">
      <c r="C445" s="2"/>
      <c r="F445" s="2"/>
      <c r="I445" s="19"/>
    </row>
    <row r="446" spans="3:9" ht="16.5">
      <c r="C446" s="2"/>
      <c r="F446" s="2"/>
      <c r="I446" s="19"/>
    </row>
    <row r="447" spans="3:9" ht="16.5">
      <c r="C447" s="2"/>
      <c r="F447" s="2"/>
      <c r="I447" s="19"/>
    </row>
    <row r="448" spans="3:9" ht="16.5">
      <c r="C448" s="2"/>
      <c r="F448" s="2"/>
      <c r="I448" s="19"/>
    </row>
    <row r="449" spans="3:9" ht="16.5">
      <c r="C449" s="2"/>
      <c r="F449" s="2"/>
      <c r="I449" s="19"/>
    </row>
    <row r="450" spans="3:9" ht="16.5">
      <c r="C450" s="2"/>
      <c r="F450" s="2"/>
      <c r="I450" s="19"/>
    </row>
    <row r="451" spans="3:9" ht="16.5">
      <c r="C451" s="2"/>
      <c r="F451" s="2"/>
      <c r="I451" s="19"/>
    </row>
    <row r="452" spans="3:9" ht="16.5">
      <c r="C452" s="2"/>
      <c r="F452" s="2"/>
      <c r="I452" s="19"/>
    </row>
    <row r="453" spans="3:9" ht="16.5">
      <c r="C453" s="2"/>
      <c r="F453" s="2"/>
      <c r="I453" s="19"/>
    </row>
    <row r="454" spans="3:9" ht="16.5">
      <c r="C454" s="2"/>
      <c r="F454" s="2"/>
      <c r="I454" s="19"/>
    </row>
    <row r="455" spans="3:9" ht="16.5">
      <c r="C455" s="2"/>
      <c r="F455" s="2"/>
      <c r="I455" s="19"/>
    </row>
    <row r="456" spans="3:9" ht="16.5">
      <c r="C456" s="2"/>
      <c r="F456" s="2"/>
      <c r="I456" s="19"/>
    </row>
    <row r="457" spans="3:9" ht="16.5">
      <c r="C457" s="2"/>
      <c r="F457" s="2"/>
      <c r="I457" s="19"/>
    </row>
    <row r="458" spans="3:9" ht="16.5">
      <c r="C458" s="2"/>
      <c r="F458" s="2"/>
      <c r="I458" s="19"/>
    </row>
    <row r="459" spans="3:9" ht="16.5">
      <c r="C459" s="2"/>
      <c r="F459" s="2"/>
      <c r="I459" s="19"/>
    </row>
    <row r="460" spans="3:9" ht="16.5">
      <c r="C460" s="2"/>
      <c r="F460" s="2"/>
      <c r="I460" s="19"/>
    </row>
    <row r="461" spans="3:9" ht="16.5">
      <c r="C461" s="2"/>
      <c r="F461" s="2"/>
      <c r="I461" s="19"/>
    </row>
    <row r="462" spans="3:9" ht="16.5">
      <c r="C462" s="2"/>
      <c r="F462" s="2"/>
      <c r="I462" s="19"/>
    </row>
    <row r="463" spans="3:9" ht="16.5">
      <c r="C463" s="2"/>
      <c r="F463" s="2"/>
      <c r="I463" s="19"/>
    </row>
    <row r="464" spans="3:9" ht="16.5">
      <c r="C464" s="2"/>
      <c r="F464" s="2"/>
      <c r="I464" s="19"/>
    </row>
    <row r="465" spans="3:9" ht="16.5">
      <c r="C465" s="2"/>
      <c r="F465" s="2"/>
      <c r="I465" s="19"/>
    </row>
    <row r="466" spans="3:9" ht="16.5">
      <c r="C466" s="2"/>
      <c r="F466" s="2"/>
      <c r="I466" s="19"/>
    </row>
    <row r="467" spans="3:9" ht="16.5">
      <c r="C467" s="2"/>
      <c r="F467" s="2"/>
      <c r="I467" s="19"/>
    </row>
    <row r="468" spans="3:9" ht="16.5">
      <c r="C468" s="2"/>
      <c r="F468" s="2"/>
      <c r="I468" s="19"/>
    </row>
    <row r="469" spans="3:9" ht="16.5">
      <c r="C469" s="2"/>
      <c r="F469" s="2"/>
      <c r="I469" s="19"/>
    </row>
    <row r="470" spans="3:9" ht="16.5">
      <c r="C470" s="2"/>
      <c r="F470" s="2"/>
      <c r="I470" s="19"/>
    </row>
    <row r="471" spans="3:9" ht="16.5">
      <c r="C471" s="2"/>
      <c r="F471" s="2"/>
      <c r="I471" s="19"/>
    </row>
    <row r="472" spans="3:9" ht="16.5">
      <c r="C472" s="2"/>
      <c r="F472" s="2"/>
      <c r="I472" s="19"/>
    </row>
    <row r="473" spans="3:9" ht="16.5">
      <c r="C473" s="2"/>
      <c r="F473" s="2"/>
      <c r="I473" s="19"/>
    </row>
    <row r="474" spans="3:9" ht="16.5">
      <c r="C474" s="2"/>
      <c r="F474" s="2"/>
      <c r="I474" s="19"/>
    </row>
    <row r="475" spans="3:9" ht="16.5">
      <c r="C475" s="2"/>
      <c r="F475" s="2"/>
      <c r="I475" s="19"/>
    </row>
    <row r="476" spans="3:9" ht="16.5">
      <c r="C476" s="2"/>
      <c r="F476" s="2"/>
      <c r="I476" s="19"/>
    </row>
    <row r="477" spans="3:9" ht="16.5">
      <c r="C477" s="2"/>
      <c r="F477" s="2"/>
      <c r="I477" s="19"/>
    </row>
    <row r="478" spans="3:9" ht="16.5">
      <c r="C478" s="2"/>
      <c r="F478" s="2"/>
      <c r="I478" s="19"/>
    </row>
    <row r="479" spans="3:9" ht="16.5">
      <c r="C479" s="2"/>
      <c r="F479" s="2"/>
      <c r="I479" s="19"/>
    </row>
    <row r="480" spans="3:9" ht="16.5">
      <c r="C480" s="2"/>
      <c r="F480" s="2"/>
      <c r="I480" s="19"/>
    </row>
    <row r="481" spans="3:9" ht="16.5">
      <c r="C481" s="2"/>
      <c r="F481" s="2"/>
      <c r="I481" s="19"/>
    </row>
    <row r="482" spans="3:9" ht="16.5">
      <c r="C482" s="2"/>
      <c r="F482" s="2"/>
      <c r="I482" s="19"/>
    </row>
    <row r="483" spans="3:9" ht="16.5">
      <c r="C483" s="2"/>
      <c r="F483" s="2"/>
      <c r="I483" s="19"/>
    </row>
    <row r="484" spans="3:9" ht="16.5">
      <c r="C484" s="2"/>
      <c r="F484" s="2"/>
      <c r="I484" s="19"/>
    </row>
    <row r="485" spans="3:9" ht="16.5">
      <c r="C485" s="2"/>
      <c r="F485" s="2"/>
      <c r="I485" s="19"/>
    </row>
    <row r="486" spans="3:9" ht="16.5">
      <c r="C486" s="2"/>
      <c r="F486" s="2"/>
      <c r="I486" s="19"/>
    </row>
    <row r="487" spans="3:9" ht="16.5">
      <c r="C487" s="2"/>
      <c r="F487" s="2"/>
      <c r="I487" s="19"/>
    </row>
    <row r="488" spans="3:9" ht="16.5">
      <c r="C488" s="2"/>
      <c r="F488" s="2"/>
      <c r="I488" s="19"/>
    </row>
    <row r="489" spans="3:9" ht="16.5">
      <c r="C489" s="2"/>
      <c r="F489" s="2"/>
      <c r="I489" s="19"/>
    </row>
    <row r="490" spans="3:9" ht="16.5">
      <c r="C490" s="2"/>
      <c r="F490" s="2"/>
      <c r="I490" s="19"/>
    </row>
    <row r="491" spans="3:9" ht="16.5">
      <c r="C491" s="2"/>
      <c r="F491" s="2"/>
      <c r="I491" s="19"/>
    </row>
    <row r="492" spans="3:9" ht="16.5">
      <c r="C492" s="2"/>
      <c r="F492" s="2"/>
      <c r="I492" s="19"/>
    </row>
    <row r="493" spans="3:9" ht="16.5">
      <c r="C493" s="2"/>
      <c r="F493" s="2"/>
      <c r="I493" s="19"/>
    </row>
    <row r="494" spans="3:9" ht="16.5">
      <c r="C494" s="2"/>
      <c r="F494" s="2"/>
      <c r="I494" s="19"/>
    </row>
    <row r="495" spans="3:9" ht="16.5">
      <c r="C495" s="2"/>
      <c r="F495" s="2"/>
      <c r="I495" s="19"/>
    </row>
    <row r="496" spans="3:9" ht="16.5">
      <c r="C496" s="2"/>
      <c r="F496" s="2"/>
      <c r="I496" s="19"/>
    </row>
    <row r="497" spans="3:9" ht="16.5">
      <c r="C497" s="2"/>
      <c r="F497" s="2"/>
      <c r="I497" s="19"/>
    </row>
    <row r="498" spans="3:9" ht="16.5">
      <c r="C498" s="2"/>
      <c r="F498" s="2"/>
      <c r="I498" s="19"/>
    </row>
    <row r="499" spans="3:9" ht="16.5">
      <c r="C499" s="2"/>
      <c r="F499" s="2"/>
      <c r="I499" s="19"/>
    </row>
    <row r="500" spans="3:9" ht="16.5">
      <c r="C500" s="2"/>
      <c r="F500" s="2"/>
      <c r="I500" s="19"/>
    </row>
    <row r="501" spans="3:9" ht="16.5">
      <c r="C501" s="2"/>
      <c r="F501" s="2"/>
      <c r="I501" s="19"/>
    </row>
    <row r="502" spans="3:9" ht="16.5">
      <c r="C502" s="2"/>
      <c r="F502" s="2"/>
      <c r="I502" s="19"/>
    </row>
    <row r="503" spans="3:9" ht="16.5">
      <c r="C503" s="2"/>
      <c r="F503" s="2"/>
      <c r="I503" s="19"/>
    </row>
    <row r="504" spans="3:9" ht="16.5">
      <c r="C504" s="2"/>
      <c r="F504" s="2"/>
      <c r="I504" s="19"/>
    </row>
    <row r="505" spans="3:9" ht="16.5">
      <c r="C505" s="2"/>
      <c r="F505" s="2"/>
      <c r="I505" s="19"/>
    </row>
    <row r="506" spans="3:9" ht="16.5">
      <c r="C506" s="2"/>
      <c r="F506" s="2"/>
      <c r="I506" s="19"/>
    </row>
    <row r="507" spans="3:9" ht="16.5">
      <c r="C507" s="2"/>
      <c r="F507" s="2"/>
      <c r="I507" s="19"/>
    </row>
    <row r="508" spans="3:9" ht="16.5">
      <c r="C508" s="2"/>
      <c r="F508" s="2"/>
      <c r="I508" s="19"/>
    </row>
    <row r="509" spans="3:9" ht="16.5">
      <c r="C509" s="2"/>
      <c r="F509" s="2"/>
      <c r="I509" s="19"/>
    </row>
    <row r="510" spans="3:9" ht="16.5">
      <c r="C510" s="2"/>
      <c r="F510" s="2"/>
      <c r="I510" s="19"/>
    </row>
    <row r="511" spans="3:9" ht="16.5">
      <c r="C511" s="2"/>
      <c r="F511" s="2"/>
      <c r="I511" s="19"/>
    </row>
    <row r="512" spans="3:9" ht="16.5">
      <c r="C512" s="2"/>
      <c r="F512" s="2"/>
      <c r="I512" s="19"/>
    </row>
    <row r="513" spans="3:9" ht="16.5">
      <c r="C513" s="2"/>
      <c r="F513" s="2"/>
      <c r="I513" s="19"/>
    </row>
    <row r="514" spans="3:9" ht="16.5">
      <c r="C514" s="2"/>
      <c r="F514" s="2"/>
      <c r="I514" s="19"/>
    </row>
    <row r="515" spans="3:9" ht="16.5">
      <c r="C515" s="2"/>
      <c r="F515" s="2"/>
      <c r="I515" s="19"/>
    </row>
    <row r="516" spans="3:9" ht="16.5">
      <c r="C516" s="2"/>
      <c r="F516" s="2"/>
      <c r="I516" s="19"/>
    </row>
    <row r="517" spans="3:9" ht="16.5">
      <c r="C517" s="2"/>
      <c r="F517" s="2"/>
      <c r="I517" s="19"/>
    </row>
    <row r="518" spans="3:9" ht="16.5">
      <c r="C518" s="2"/>
      <c r="F518" s="2"/>
      <c r="I518" s="19"/>
    </row>
    <row r="519" spans="3:9" ht="16.5">
      <c r="C519" s="2"/>
      <c r="F519" s="2"/>
      <c r="I519" s="19"/>
    </row>
    <row r="520" spans="3:9" ht="16.5">
      <c r="C520" s="2"/>
      <c r="F520" s="2"/>
      <c r="I520" s="19"/>
    </row>
    <row r="521" spans="3:9" ht="16.5">
      <c r="C521" s="2"/>
      <c r="F521" s="2"/>
      <c r="I521" s="19"/>
    </row>
    <row r="522" spans="3:9" ht="16.5">
      <c r="C522" s="2"/>
      <c r="F522" s="2"/>
      <c r="I522" s="19"/>
    </row>
    <row r="523" spans="3:9" ht="16.5">
      <c r="C523" s="2"/>
      <c r="F523" s="2"/>
      <c r="I523" s="19"/>
    </row>
    <row r="524" spans="3:9" ht="16.5">
      <c r="C524" s="2"/>
      <c r="F524" s="2"/>
      <c r="I524" s="19"/>
    </row>
    <row r="525" spans="3:9" ht="16.5">
      <c r="C525" s="2"/>
      <c r="F525" s="2"/>
      <c r="I525" s="19"/>
    </row>
    <row r="526" spans="3:9" ht="16.5">
      <c r="C526" s="2"/>
      <c r="F526" s="2"/>
      <c r="I526" s="19"/>
    </row>
    <row r="527" spans="3:9" ht="16.5">
      <c r="C527" s="2"/>
      <c r="F527" s="2"/>
      <c r="I527" s="19"/>
    </row>
    <row r="528" spans="3:9" ht="16.5">
      <c r="C528" s="2"/>
      <c r="F528" s="2"/>
      <c r="I528" s="19"/>
    </row>
    <row r="529" spans="3:9" ht="16.5">
      <c r="C529" s="2"/>
      <c r="F529" s="2"/>
      <c r="I529" s="19"/>
    </row>
    <row r="530" spans="3:9" ht="16.5">
      <c r="C530" s="2"/>
      <c r="F530" s="2"/>
      <c r="I530" s="19"/>
    </row>
    <row r="531" spans="3:9" ht="16.5">
      <c r="C531" s="2"/>
      <c r="F531" s="2"/>
      <c r="I531" s="19"/>
    </row>
    <row r="532" spans="3:9" ht="16.5">
      <c r="C532" s="2"/>
      <c r="F532" s="2"/>
      <c r="I532" s="19"/>
    </row>
    <row r="533" spans="3:9" ht="16.5">
      <c r="C533" s="2"/>
      <c r="F533" s="2"/>
      <c r="I533" s="19"/>
    </row>
    <row r="534" spans="3:9" ht="16.5">
      <c r="C534" s="2"/>
      <c r="F534" s="2"/>
      <c r="I534" s="19"/>
    </row>
    <row r="535" spans="3:9" ht="16.5">
      <c r="C535" s="2"/>
      <c r="F535" s="2"/>
      <c r="I535" s="19"/>
    </row>
    <row r="536" spans="3:9" ht="16.5">
      <c r="C536" s="2"/>
      <c r="F536" s="2"/>
      <c r="I536" s="19"/>
    </row>
    <row r="537" spans="3:9" ht="16.5">
      <c r="C537" s="2"/>
      <c r="F537" s="2"/>
      <c r="I537" s="19"/>
    </row>
    <row r="538" spans="3:9" ht="16.5">
      <c r="C538" s="2"/>
      <c r="F538" s="2"/>
      <c r="I538" s="19"/>
    </row>
    <row r="539" spans="3:9" ht="16.5">
      <c r="C539" s="2"/>
      <c r="F539" s="2"/>
      <c r="I539" s="19"/>
    </row>
    <row r="540" spans="3:9" ht="16.5">
      <c r="C540" s="2"/>
      <c r="F540" s="2"/>
      <c r="I540" s="19"/>
    </row>
    <row r="541" spans="3:9" ht="16.5">
      <c r="C541" s="2"/>
      <c r="F541" s="2"/>
      <c r="I541" s="19"/>
    </row>
    <row r="542" spans="3:9" ht="16.5">
      <c r="C542" s="2"/>
      <c r="F542" s="2"/>
      <c r="I542" s="19"/>
    </row>
    <row r="543" spans="3:9" ht="16.5">
      <c r="C543" s="2"/>
      <c r="F543" s="2"/>
      <c r="I543" s="19"/>
    </row>
    <row r="544" spans="3:9" ht="16.5">
      <c r="C544" s="2"/>
      <c r="F544" s="2"/>
      <c r="I544" s="19"/>
    </row>
    <row r="545" spans="3:9" ht="16.5">
      <c r="C545" s="2"/>
      <c r="F545" s="2"/>
      <c r="I545" s="19"/>
    </row>
    <row r="546" spans="3:9" ht="16.5">
      <c r="C546" s="2"/>
      <c r="F546" s="2"/>
      <c r="I546" s="19"/>
    </row>
    <row r="547" spans="3:9" ht="16.5">
      <c r="C547" s="2"/>
      <c r="F547" s="2"/>
      <c r="I547" s="19"/>
    </row>
    <row r="548" spans="3:9" ht="16.5">
      <c r="C548" s="2"/>
      <c r="F548" s="2"/>
      <c r="I548" s="19"/>
    </row>
    <row r="549" spans="3:9" ht="16.5">
      <c r="C549" s="2"/>
      <c r="F549" s="2"/>
      <c r="I549" s="19"/>
    </row>
    <row r="550" spans="3:9" ht="16.5">
      <c r="C550" s="2"/>
      <c r="F550" s="2"/>
      <c r="I550" s="19"/>
    </row>
    <row r="551" spans="3:9" ht="16.5">
      <c r="C551" s="2"/>
      <c r="F551" s="2"/>
      <c r="I551" s="19"/>
    </row>
    <row r="552" spans="3:9" ht="16.5">
      <c r="C552" s="2"/>
      <c r="F552" s="2"/>
      <c r="I552" s="19"/>
    </row>
    <row r="553" spans="3:9" ht="16.5">
      <c r="C553" s="2"/>
      <c r="F553" s="2"/>
      <c r="I553" s="19"/>
    </row>
    <row r="554" spans="3:9" ht="16.5">
      <c r="C554" s="2"/>
      <c r="F554" s="2"/>
      <c r="I554" s="19"/>
    </row>
    <row r="555" spans="3:9" ht="16.5">
      <c r="C555" s="2"/>
      <c r="F555" s="2"/>
      <c r="I555" s="19"/>
    </row>
    <row r="556" spans="3:9" ht="16.5">
      <c r="C556" s="2"/>
      <c r="F556" s="2"/>
      <c r="I556" s="19"/>
    </row>
    <row r="557" spans="3:9" ht="16.5">
      <c r="C557" s="2"/>
      <c r="F557" s="2"/>
      <c r="I557" s="19"/>
    </row>
    <row r="558" spans="3:9" ht="16.5">
      <c r="C558" s="2"/>
      <c r="F558" s="2"/>
      <c r="I558" s="19"/>
    </row>
    <row r="559" spans="3:9" ht="16.5">
      <c r="C559" s="2"/>
      <c r="F559" s="2"/>
      <c r="I559" s="19"/>
    </row>
    <row r="560" spans="3:9" ht="16.5">
      <c r="C560" s="2"/>
      <c r="F560" s="2"/>
      <c r="I560" s="19"/>
    </row>
    <row r="561" spans="3:9" ht="16.5">
      <c r="C561" s="2"/>
      <c r="F561" s="2"/>
      <c r="I561" s="19"/>
    </row>
    <row r="562" spans="3:9" ht="16.5">
      <c r="C562" s="2"/>
      <c r="F562" s="2"/>
      <c r="I562" s="19"/>
    </row>
    <row r="563" spans="3:9" ht="16.5">
      <c r="C563" s="2"/>
      <c r="F563" s="2"/>
      <c r="I563" s="19"/>
    </row>
    <row r="564" spans="3:9" ht="16.5">
      <c r="C564" s="2"/>
      <c r="F564" s="2"/>
      <c r="I564" s="19"/>
    </row>
    <row r="565" spans="3:9" ht="16.5">
      <c r="C565" s="2"/>
      <c r="F565" s="2"/>
      <c r="I565" s="19"/>
    </row>
    <row r="566" spans="3:9" ht="16.5">
      <c r="C566" s="2"/>
      <c r="F566" s="2"/>
      <c r="I566" s="19"/>
    </row>
    <row r="567" spans="3:9" ht="16.5">
      <c r="C567" s="2"/>
      <c r="F567" s="2"/>
      <c r="I567" s="19"/>
    </row>
    <row r="568" spans="3:9" ht="16.5">
      <c r="C568" s="2"/>
      <c r="F568" s="2"/>
      <c r="I568" s="19"/>
    </row>
    <row r="569" spans="3:9" ht="16.5">
      <c r="C569" s="2"/>
      <c r="F569" s="2"/>
      <c r="I569" s="19"/>
    </row>
    <row r="570" spans="3:9" ht="16.5">
      <c r="C570" s="2"/>
      <c r="F570" s="2"/>
      <c r="I570" s="19"/>
    </row>
    <row r="571" spans="3:9" ht="16.5">
      <c r="C571" s="2"/>
      <c r="F571" s="2"/>
      <c r="I571" s="19"/>
    </row>
    <row r="572" spans="3:9" ht="16.5">
      <c r="C572" s="2"/>
      <c r="F572" s="2"/>
      <c r="I572" s="19"/>
    </row>
    <row r="573" spans="3:9" ht="16.5">
      <c r="C573" s="2"/>
      <c r="F573" s="2"/>
      <c r="I573" s="19"/>
    </row>
    <row r="574" spans="3:9" ht="16.5">
      <c r="C574" s="2"/>
      <c r="F574" s="2"/>
      <c r="I574" s="19"/>
    </row>
    <row r="575" spans="3:9" ht="16.5">
      <c r="C575" s="2"/>
      <c r="F575" s="2"/>
      <c r="I575" s="19"/>
    </row>
    <row r="576" spans="3:9" ht="16.5">
      <c r="C576" s="2"/>
      <c r="F576" s="2"/>
      <c r="I576" s="19"/>
    </row>
    <row r="577" spans="3:9" ht="16.5">
      <c r="C577" s="2"/>
      <c r="F577" s="2"/>
      <c r="I577" s="19"/>
    </row>
    <row r="578" spans="3:9" ht="16.5">
      <c r="C578" s="2"/>
      <c r="F578" s="2"/>
      <c r="I578" s="19"/>
    </row>
    <row r="579" spans="3:9" ht="16.5">
      <c r="C579" s="2"/>
      <c r="F579" s="2"/>
      <c r="I579" s="19"/>
    </row>
    <row r="580" spans="3:9" ht="16.5">
      <c r="C580" s="2"/>
      <c r="F580" s="2"/>
      <c r="I580" s="19"/>
    </row>
    <row r="581" spans="3:9" ht="16.5">
      <c r="C581" s="2"/>
      <c r="F581" s="2"/>
      <c r="I581" s="19"/>
    </row>
    <row r="582" spans="3:9" ht="16.5">
      <c r="C582" s="2"/>
      <c r="F582" s="2"/>
      <c r="I582" s="19"/>
    </row>
    <row r="583" spans="3:9" ht="16.5">
      <c r="C583" s="2"/>
      <c r="F583" s="2"/>
      <c r="I583" s="19"/>
    </row>
    <row r="584" spans="3:9" ht="16.5">
      <c r="C584" s="2"/>
      <c r="F584" s="2"/>
      <c r="I584" s="19"/>
    </row>
    <row r="585" spans="3:9" ht="16.5">
      <c r="C585" s="2"/>
      <c r="F585" s="2"/>
      <c r="I585" s="19"/>
    </row>
    <row r="586" spans="3:9" ht="16.5">
      <c r="C586" s="2"/>
      <c r="F586" s="2"/>
      <c r="I586" s="19"/>
    </row>
    <row r="587" spans="3:9" ht="16.5">
      <c r="C587" s="2"/>
      <c r="F587" s="2"/>
      <c r="I587" s="19"/>
    </row>
    <row r="588" spans="3:9" ht="16.5">
      <c r="C588" s="2"/>
      <c r="F588" s="2"/>
      <c r="I588" s="19"/>
    </row>
    <row r="589" spans="3:9" ht="16.5">
      <c r="C589" s="2"/>
      <c r="F589" s="2"/>
      <c r="I589" s="19"/>
    </row>
    <row r="590" spans="3:9" ht="16.5">
      <c r="C590" s="2"/>
      <c r="F590" s="2"/>
      <c r="I590" s="19"/>
    </row>
    <row r="591" spans="3:9" ht="16.5">
      <c r="C591" s="2"/>
      <c r="F591" s="2"/>
      <c r="I591" s="19"/>
    </row>
    <row r="592" spans="3:9" ht="16.5">
      <c r="C592" s="2"/>
      <c r="F592" s="2"/>
      <c r="I592" s="19"/>
    </row>
    <row r="593" spans="3:9" ht="16.5">
      <c r="C593" s="2"/>
      <c r="F593" s="2"/>
      <c r="I593" s="19"/>
    </row>
    <row r="594" spans="3:9" ht="16.5">
      <c r="C594" s="2"/>
      <c r="F594" s="2"/>
      <c r="I594" s="19"/>
    </row>
    <row r="595" spans="3:9" ht="16.5">
      <c r="C595" s="2"/>
      <c r="F595" s="2"/>
      <c r="I595" s="19"/>
    </row>
    <row r="596" spans="3:9" ht="16.5">
      <c r="C596" s="2"/>
      <c r="F596" s="2"/>
      <c r="I596" s="19"/>
    </row>
    <row r="597" spans="3:9" ht="16.5">
      <c r="C597" s="2"/>
      <c r="F597" s="2"/>
      <c r="I597" s="19"/>
    </row>
    <row r="598" spans="3:9" ht="16.5">
      <c r="C598" s="2"/>
      <c r="F598" s="2"/>
      <c r="I598" s="19"/>
    </row>
    <row r="599" spans="3:9" ht="16.5">
      <c r="C599" s="2"/>
      <c r="F599" s="2"/>
      <c r="I599" s="19"/>
    </row>
    <row r="600" spans="3:9" ht="16.5">
      <c r="C600" s="2"/>
      <c r="F600" s="2"/>
      <c r="I600" s="19"/>
    </row>
    <row r="601" spans="3:9" ht="16.5">
      <c r="C601" s="2"/>
      <c r="F601" s="2"/>
      <c r="I601" s="19"/>
    </row>
    <row r="602" spans="3:9" ht="16.5">
      <c r="C602" s="2"/>
      <c r="F602" s="2"/>
      <c r="I602" s="19"/>
    </row>
    <row r="603" spans="3:9" ht="16.5">
      <c r="C603" s="2"/>
      <c r="F603" s="2"/>
      <c r="I603" s="19"/>
    </row>
    <row r="604" spans="3:9" ht="16.5">
      <c r="C604" s="2"/>
      <c r="F604" s="2"/>
      <c r="I604" s="19"/>
    </row>
    <row r="605" spans="3:9" ht="16.5">
      <c r="C605" s="2"/>
      <c r="F605" s="2"/>
      <c r="I605" s="19"/>
    </row>
    <row r="606" spans="3:9" ht="16.5">
      <c r="C606" s="2"/>
      <c r="F606" s="2"/>
      <c r="I606" s="19"/>
    </row>
    <row r="607" spans="3:9" ht="16.5">
      <c r="C607" s="2"/>
      <c r="F607" s="2"/>
      <c r="I607" s="19"/>
    </row>
    <row r="608" spans="3:9" ht="16.5">
      <c r="C608" s="2"/>
      <c r="F608" s="2"/>
      <c r="I608" s="19"/>
    </row>
    <row r="609" spans="3:9" ht="16.5">
      <c r="C609" s="2"/>
      <c r="F609" s="2"/>
      <c r="I609" s="19"/>
    </row>
    <row r="610" spans="3:9" ht="16.5">
      <c r="C610" s="2"/>
      <c r="F610" s="2"/>
      <c r="I610" s="19"/>
    </row>
    <row r="611" spans="3:9" ht="16.5">
      <c r="C611" s="2"/>
      <c r="F611" s="2"/>
      <c r="I611" s="19"/>
    </row>
    <row r="612" spans="3:9" ht="16.5">
      <c r="C612" s="2"/>
      <c r="F612" s="2"/>
      <c r="I612" s="19"/>
    </row>
    <row r="613" spans="3:9" ht="16.5">
      <c r="C613" s="2"/>
      <c r="F613" s="2"/>
      <c r="I613" s="19"/>
    </row>
    <row r="614" spans="3:9" ht="16.5">
      <c r="C614" s="2"/>
      <c r="F614" s="2"/>
      <c r="I614" s="19"/>
    </row>
    <row r="615" spans="3:9" ht="16.5">
      <c r="C615" s="2"/>
      <c r="F615" s="2"/>
      <c r="I615" s="19"/>
    </row>
    <row r="616" spans="3:9" ht="16.5">
      <c r="C616" s="2"/>
      <c r="F616" s="2"/>
      <c r="I616" s="19"/>
    </row>
    <row r="617" spans="3:9" ht="16.5">
      <c r="C617" s="2"/>
      <c r="F617" s="2"/>
      <c r="I617" s="19"/>
    </row>
    <row r="618" spans="3:9" ht="16.5">
      <c r="C618" s="2"/>
      <c r="F618" s="2"/>
      <c r="I618" s="19"/>
    </row>
    <row r="619" spans="3:9" ht="16.5">
      <c r="C619" s="2"/>
      <c r="F619" s="2"/>
      <c r="I619" s="19"/>
    </row>
    <row r="620" spans="3:9" ht="16.5">
      <c r="C620" s="2"/>
      <c r="F620" s="2"/>
      <c r="I620" s="19"/>
    </row>
    <row r="621" spans="3:9" ht="16.5">
      <c r="C621" s="2"/>
      <c r="F621" s="2"/>
      <c r="I621" s="19"/>
    </row>
    <row r="622" spans="3:9" ht="16.5">
      <c r="C622" s="2"/>
      <c r="F622" s="2"/>
      <c r="I622" s="19"/>
    </row>
    <row r="623" spans="3:9" ht="16.5">
      <c r="C623" s="2"/>
      <c r="F623" s="2"/>
      <c r="I623" s="19"/>
    </row>
    <row r="624" spans="3:9" ht="16.5">
      <c r="C624" s="2"/>
      <c r="F624" s="2"/>
      <c r="I624" s="19"/>
    </row>
    <row r="625" spans="3:9" ht="16.5">
      <c r="C625" s="2"/>
      <c r="F625" s="2"/>
      <c r="I625" s="19"/>
    </row>
    <row r="626" spans="3:9" ht="16.5">
      <c r="C626" s="2"/>
      <c r="F626" s="2"/>
      <c r="I626" s="19"/>
    </row>
    <row r="627" spans="3:9" ht="16.5">
      <c r="C627" s="2"/>
      <c r="F627" s="2"/>
      <c r="I627" s="19"/>
    </row>
    <row r="628" spans="3:9" ht="16.5">
      <c r="C628" s="2"/>
      <c r="F628" s="2"/>
      <c r="I628" s="19"/>
    </row>
    <row r="629" spans="3:9" ht="16.5">
      <c r="C629" s="2"/>
      <c r="F629" s="2"/>
      <c r="I629" s="19"/>
    </row>
    <row r="630" spans="3:9" ht="16.5">
      <c r="C630" s="2"/>
      <c r="F630" s="2"/>
      <c r="I630" s="19"/>
    </row>
    <row r="631" spans="3:9" ht="16.5">
      <c r="C631" s="2"/>
      <c r="F631" s="2"/>
      <c r="I631" s="19"/>
    </row>
    <row r="632" spans="3:9" ht="16.5">
      <c r="C632" s="2"/>
      <c r="F632" s="2"/>
      <c r="I632" s="19"/>
    </row>
    <row r="633" spans="3:9" ht="16.5">
      <c r="C633" s="2"/>
      <c r="F633" s="2"/>
      <c r="I633" s="19"/>
    </row>
    <row r="634" spans="3:9" ht="16.5">
      <c r="C634" s="2"/>
      <c r="F634" s="2"/>
      <c r="I634" s="19"/>
    </row>
    <row r="635" spans="3:9" ht="16.5">
      <c r="C635" s="2"/>
      <c r="F635" s="2"/>
      <c r="I635" s="19"/>
    </row>
    <row r="636" spans="3:9" ht="16.5">
      <c r="C636" s="2"/>
      <c r="F636" s="2"/>
      <c r="I636" s="19"/>
    </row>
    <row r="637" spans="3:9" ht="16.5">
      <c r="C637" s="2"/>
      <c r="F637" s="2"/>
      <c r="I637" s="19"/>
    </row>
    <row r="638" spans="3:9" ht="16.5">
      <c r="C638" s="2"/>
      <c r="F638" s="2"/>
      <c r="I638" s="19"/>
    </row>
    <row r="639" spans="3:9" ht="16.5">
      <c r="C639" s="2"/>
      <c r="F639" s="2"/>
      <c r="I639" s="19"/>
    </row>
    <row r="640" spans="3:9" ht="16.5">
      <c r="C640" s="2"/>
      <c r="F640" s="2"/>
      <c r="I640" s="19"/>
    </row>
    <row r="641" spans="3:9" ht="16.5">
      <c r="C641" s="2"/>
      <c r="F641" s="2"/>
      <c r="I641" s="19"/>
    </row>
    <row r="642" spans="3:9" ht="16.5">
      <c r="C642" s="2"/>
      <c r="F642" s="2"/>
      <c r="I642" s="19"/>
    </row>
    <row r="643" spans="3:9" ht="16.5">
      <c r="C643" s="2"/>
      <c r="F643" s="2"/>
      <c r="I643" s="19"/>
    </row>
    <row r="644" spans="3:9" ht="16.5">
      <c r="C644" s="2"/>
      <c r="F644" s="2"/>
      <c r="I644" s="19"/>
    </row>
    <row r="645" spans="3:9" ht="16.5">
      <c r="C645" s="2"/>
      <c r="F645" s="2"/>
      <c r="I645" s="19"/>
    </row>
    <row r="646" spans="3:9" ht="16.5">
      <c r="C646" s="2"/>
      <c r="F646" s="2"/>
      <c r="I646" s="19"/>
    </row>
    <row r="647" spans="3:9" ht="16.5">
      <c r="C647" s="2"/>
      <c r="F647" s="2"/>
      <c r="I647" s="19"/>
    </row>
    <row r="648" spans="3:9" ht="16.5">
      <c r="C648" s="2"/>
      <c r="F648" s="2"/>
      <c r="I648" s="19"/>
    </row>
    <row r="649" spans="3:9" ht="16.5">
      <c r="C649" s="2"/>
      <c r="F649" s="2"/>
      <c r="I649" s="19"/>
    </row>
    <row r="650" spans="3:9" ht="16.5">
      <c r="C650" s="2"/>
      <c r="F650" s="2"/>
      <c r="I650" s="19"/>
    </row>
    <row r="651" spans="3:9" ht="16.5">
      <c r="C651" s="2"/>
      <c r="F651" s="2"/>
      <c r="I651" s="19"/>
    </row>
    <row r="652" spans="3:9" ht="16.5">
      <c r="C652" s="2"/>
      <c r="F652" s="2"/>
      <c r="I652" s="19"/>
    </row>
    <row r="653" spans="3:9" ht="16.5">
      <c r="C653" s="2"/>
      <c r="F653" s="2"/>
      <c r="I653" s="19"/>
    </row>
    <row r="654" spans="3:9" ht="16.5">
      <c r="C654" s="2"/>
      <c r="F654" s="2"/>
      <c r="I654" s="19"/>
    </row>
    <row r="655" spans="3:9" ht="16.5">
      <c r="C655" s="2"/>
      <c r="F655" s="2"/>
      <c r="I655" s="19"/>
    </row>
    <row r="656" spans="3:9" ht="16.5">
      <c r="C656" s="2"/>
      <c r="F656" s="2"/>
      <c r="I656" s="19"/>
    </row>
    <row r="657" spans="3:9" ht="16.5">
      <c r="C657" s="2"/>
      <c r="F657" s="2"/>
      <c r="I657" s="19"/>
    </row>
    <row r="658" spans="3:9" ht="16.5">
      <c r="C658" s="2"/>
      <c r="F658" s="2"/>
      <c r="I658" s="19"/>
    </row>
    <row r="659" spans="3:9" ht="16.5">
      <c r="C659" s="2"/>
      <c r="F659" s="2"/>
      <c r="I659" s="19"/>
    </row>
    <row r="660" spans="3:9" ht="16.5">
      <c r="C660" s="2"/>
      <c r="F660" s="2"/>
      <c r="I660" s="19"/>
    </row>
    <row r="661" spans="3:9" ht="16.5">
      <c r="C661" s="2"/>
      <c r="F661" s="2"/>
      <c r="I661" s="19"/>
    </row>
    <row r="662" spans="3:9" ht="16.5">
      <c r="C662" s="2"/>
      <c r="F662" s="2"/>
      <c r="I662" s="19"/>
    </row>
    <row r="663" spans="3:9" ht="16.5">
      <c r="C663" s="2"/>
      <c r="F663" s="2"/>
      <c r="I663" s="19"/>
    </row>
    <row r="664" spans="3:9" ht="16.5">
      <c r="C664" s="2"/>
      <c r="F664" s="2"/>
      <c r="I664" s="19"/>
    </row>
    <row r="665" spans="3:9" ht="16.5">
      <c r="C665" s="2"/>
      <c r="F665" s="2"/>
      <c r="I665" s="19"/>
    </row>
    <row r="666" spans="3:9" ht="16.5">
      <c r="C666" s="2"/>
      <c r="F666" s="2"/>
      <c r="I666" s="19"/>
    </row>
    <row r="667" spans="3:9" ht="16.5">
      <c r="C667" s="2"/>
      <c r="F667" s="2"/>
      <c r="I667" s="19"/>
    </row>
    <row r="668" spans="3:9" ht="16.5">
      <c r="C668" s="2"/>
      <c r="F668" s="2"/>
      <c r="I668" s="19"/>
    </row>
    <row r="669" spans="3:9" ht="16.5">
      <c r="C669" s="2"/>
      <c r="F669" s="2"/>
      <c r="I669" s="19"/>
    </row>
    <row r="670" spans="3:9" ht="16.5">
      <c r="C670" s="2"/>
      <c r="F670" s="2"/>
      <c r="I670" s="19"/>
    </row>
    <row r="671" spans="3:9" ht="16.5">
      <c r="C671" s="2"/>
      <c r="F671" s="2"/>
      <c r="I671" s="19"/>
    </row>
    <row r="672" spans="3:9" ht="16.5">
      <c r="C672" s="2"/>
      <c r="F672" s="2"/>
      <c r="I672" s="19"/>
    </row>
    <row r="673" spans="3:9" ht="16.5">
      <c r="C673" s="2"/>
      <c r="F673" s="2"/>
      <c r="I673" s="19"/>
    </row>
    <row r="674" spans="3:9" ht="16.5">
      <c r="C674" s="2"/>
      <c r="F674" s="2"/>
      <c r="I674" s="19"/>
    </row>
    <row r="675" spans="3:9" ht="16.5">
      <c r="C675" s="2"/>
      <c r="F675" s="2"/>
      <c r="I675" s="19"/>
    </row>
    <row r="676" spans="3:9" ht="16.5">
      <c r="C676" s="2"/>
      <c r="F676" s="2"/>
      <c r="I676" s="19"/>
    </row>
    <row r="677" spans="3:9" ht="16.5">
      <c r="C677" s="2"/>
      <c r="F677" s="2"/>
      <c r="I677" s="19"/>
    </row>
    <row r="678" spans="3:9" ht="16.5">
      <c r="C678" s="2"/>
      <c r="F678" s="2"/>
      <c r="I678" s="19"/>
    </row>
    <row r="679" spans="3:9" ht="16.5">
      <c r="C679" s="2"/>
      <c r="F679" s="2"/>
      <c r="I679" s="19"/>
    </row>
    <row r="680" spans="3:9" ht="16.5">
      <c r="C680" s="2"/>
      <c r="F680" s="2"/>
      <c r="I680" s="19"/>
    </row>
    <row r="681" spans="3:9" ht="16.5">
      <c r="C681" s="2"/>
      <c r="F681" s="2"/>
      <c r="I681" s="19"/>
    </row>
    <row r="682" spans="3:9" ht="16.5">
      <c r="C682" s="2"/>
      <c r="F682" s="2"/>
      <c r="I682" s="19"/>
    </row>
    <row r="683" spans="3:9" ht="16.5">
      <c r="C683" s="2"/>
      <c r="F683" s="2"/>
      <c r="I683" s="19"/>
    </row>
    <row r="684" spans="3:9" ht="16.5">
      <c r="C684" s="2"/>
      <c r="F684" s="2"/>
      <c r="I684" s="19"/>
    </row>
    <row r="685" spans="3:9" ht="16.5">
      <c r="C685" s="2"/>
      <c r="F685" s="2"/>
      <c r="I685" s="19"/>
    </row>
    <row r="686" spans="3:9" ht="16.5">
      <c r="C686" s="2"/>
      <c r="F686" s="2"/>
      <c r="I686" s="19"/>
    </row>
    <row r="687" spans="3:9" ht="16.5">
      <c r="C687" s="2"/>
      <c r="F687" s="2"/>
      <c r="I687" s="19"/>
    </row>
    <row r="688" spans="3:9" ht="16.5">
      <c r="C688" s="2"/>
      <c r="F688" s="2"/>
      <c r="I688" s="19"/>
    </row>
    <row r="689" spans="3:9" ht="16.5">
      <c r="C689" s="2"/>
      <c r="F689" s="2"/>
      <c r="I689" s="19"/>
    </row>
    <row r="690" spans="3:9" ht="16.5">
      <c r="C690" s="2"/>
      <c r="F690" s="2"/>
      <c r="I690" s="19"/>
    </row>
    <row r="691" spans="3:9" ht="16.5">
      <c r="C691" s="2"/>
      <c r="F691" s="2"/>
      <c r="I691" s="19"/>
    </row>
    <row r="692" spans="3:9" ht="16.5">
      <c r="C692" s="2"/>
      <c r="F692" s="2"/>
      <c r="I692" s="19"/>
    </row>
    <row r="693" spans="3:9" ht="16.5">
      <c r="C693" s="2"/>
      <c r="F693" s="2"/>
      <c r="I693" s="19"/>
    </row>
    <row r="694" spans="3:9" ht="16.5">
      <c r="C694" s="2"/>
      <c r="F694" s="2"/>
      <c r="I694" s="19"/>
    </row>
    <row r="695" spans="3:9" ht="16.5">
      <c r="C695" s="2"/>
      <c r="F695" s="2"/>
      <c r="I695" s="19"/>
    </row>
    <row r="696" spans="3:9" ht="16.5">
      <c r="C696" s="2"/>
      <c r="F696" s="2"/>
      <c r="I696" s="19"/>
    </row>
    <row r="697" spans="3:9" ht="16.5">
      <c r="C697" s="2"/>
      <c r="F697" s="2"/>
      <c r="I697" s="19"/>
    </row>
    <row r="698" spans="3:9" ht="16.5">
      <c r="C698" s="2"/>
      <c r="F698" s="2"/>
      <c r="I698" s="19"/>
    </row>
    <row r="699" spans="3:9" ht="16.5">
      <c r="C699" s="2"/>
      <c r="F699" s="2"/>
      <c r="I699" s="19"/>
    </row>
    <row r="700" spans="3:9" ht="16.5">
      <c r="C700" s="2"/>
      <c r="F700" s="2"/>
      <c r="I700" s="19"/>
    </row>
    <row r="701" spans="3:9" ht="16.5">
      <c r="C701" s="2"/>
      <c r="F701" s="2"/>
      <c r="I701" s="19"/>
    </row>
    <row r="702" spans="3:9" ht="16.5">
      <c r="C702" s="2"/>
      <c r="F702" s="2"/>
      <c r="I702" s="19"/>
    </row>
    <row r="703" spans="3:9" ht="16.5">
      <c r="C703" s="2"/>
      <c r="F703" s="2"/>
      <c r="I703" s="19"/>
    </row>
    <row r="704" spans="3:9" ht="16.5">
      <c r="C704" s="2"/>
      <c r="F704" s="2"/>
      <c r="I704" s="19"/>
    </row>
    <row r="705" spans="3:9" ht="16.5">
      <c r="C705" s="2"/>
      <c r="F705" s="2"/>
      <c r="I705" s="19"/>
    </row>
    <row r="706" spans="3:9" ht="16.5">
      <c r="C706" s="2"/>
      <c r="F706" s="2"/>
      <c r="I706" s="19"/>
    </row>
    <row r="707" spans="3:9" ht="16.5">
      <c r="C707" s="2"/>
      <c r="F707" s="2"/>
      <c r="I707" s="19"/>
    </row>
    <row r="708" spans="3:9" ht="16.5">
      <c r="C708" s="2"/>
      <c r="F708" s="2"/>
      <c r="I708" s="19"/>
    </row>
    <row r="709" spans="3:9" ht="16.5">
      <c r="C709" s="2"/>
      <c r="F709" s="2"/>
      <c r="I709" s="19"/>
    </row>
    <row r="710" spans="3:9" ht="16.5">
      <c r="C710" s="2"/>
      <c r="F710" s="2"/>
      <c r="I710" s="19"/>
    </row>
    <row r="711" spans="3:9" ht="16.5">
      <c r="C711" s="2"/>
      <c r="F711" s="2"/>
      <c r="I711" s="19"/>
    </row>
    <row r="712" spans="3:9" ht="16.5">
      <c r="C712" s="2"/>
      <c r="F712" s="2"/>
      <c r="I712" s="19"/>
    </row>
    <row r="713" spans="3:9" ht="16.5">
      <c r="C713" s="2"/>
      <c r="F713" s="2"/>
      <c r="I713" s="19"/>
    </row>
    <row r="714" spans="3:9" ht="16.5">
      <c r="C714" s="2"/>
      <c r="F714" s="2"/>
      <c r="I714" s="19"/>
    </row>
    <row r="715" spans="3:9" ht="16.5">
      <c r="C715" s="2"/>
      <c r="F715" s="2"/>
      <c r="I715" s="19"/>
    </row>
    <row r="716" spans="3:9" ht="16.5">
      <c r="C716" s="2"/>
      <c r="F716" s="2"/>
      <c r="I716" s="19"/>
    </row>
    <row r="717" spans="3:9" ht="16.5">
      <c r="C717" s="2"/>
      <c r="F717" s="2"/>
      <c r="I717" s="19"/>
    </row>
    <row r="718" spans="3:9" ht="16.5">
      <c r="C718" s="2"/>
      <c r="F718" s="2"/>
      <c r="I718" s="19"/>
    </row>
    <row r="719" spans="3:9" ht="16.5">
      <c r="C719" s="2"/>
      <c r="F719" s="2"/>
      <c r="I719" s="19"/>
    </row>
    <row r="720" spans="3:9" ht="16.5">
      <c r="C720" s="2"/>
      <c r="F720" s="2"/>
      <c r="I720" s="19"/>
    </row>
    <row r="721" spans="3:9" ht="16.5">
      <c r="C721" s="2"/>
      <c r="F721" s="2"/>
      <c r="I721" s="19"/>
    </row>
    <row r="722" spans="3:9" ht="16.5">
      <c r="C722" s="2"/>
      <c r="F722" s="2"/>
      <c r="I722" s="19"/>
    </row>
    <row r="723" spans="3:9" ht="16.5">
      <c r="C723" s="2"/>
      <c r="F723" s="2"/>
      <c r="I723" s="19"/>
    </row>
    <row r="724" spans="3:9" ht="16.5">
      <c r="C724" s="2"/>
      <c r="F724" s="2"/>
      <c r="I724" s="19"/>
    </row>
    <row r="725" spans="3:9" ht="16.5">
      <c r="C725" s="2"/>
      <c r="F725" s="2"/>
      <c r="I725" s="19"/>
    </row>
    <row r="726" spans="3:9" ht="16.5">
      <c r="C726" s="2"/>
      <c r="F726" s="2"/>
      <c r="I726" s="19"/>
    </row>
    <row r="727" spans="3:9" ht="16.5">
      <c r="C727" s="2"/>
      <c r="F727" s="2"/>
      <c r="I727" s="19"/>
    </row>
    <row r="728" spans="3:9" ht="16.5">
      <c r="C728" s="2"/>
      <c r="F728" s="2"/>
      <c r="I728" s="19"/>
    </row>
    <row r="729" spans="3:9" ht="16.5">
      <c r="C729" s="2"/>
      <c r="F729" s="2"/>
      <c r="I729" s="19"/>
    </row>
    <row r="730" spans="3:9" ht="16.5">
      <c r="C730" s="2"/>
      <c r="F730" s="2"/>
      <c r="I730" s="19"/>
    </row>
    <row r="731" spans="3:9" ht="16.5">
      <c r="C731" s="2"/>
      <c r="F731" s="2"/>
      <c r="I731" s="19"/>
    </row>
    <row r="732" spans="3:9" ht="16.5">
      <c r="C732" s="2"/>
      <c r="F732" s="2"/>
      <c r="I732" s="19"/>
    </row>
    <row r="733" spans="3:9" ht="16.5">
      <c r="C733" s="2"/>
      <c r="F733" s="2"/>
      <c r="I733" s="19"/>
    </row>
    <row r="734" spans="3:9" ht="16.5">
      <c r="C734" s="2"/>
      <c r="F734" s="2"/>
      <c r="I734" s="19"/>
    </row>
    <row r="735" spans="3:9" ht="16.5">
      <c r="C735" s="2"/>
      <c r="F735" s="2"/>
      <c r="I735" s="19"/>
    </row>
    <row r="736" spans="3:9" ht="16.5">
      <c r="C736" s="2"/>
      <c r="F736" s="2"/>
      <c r="I736" s="19"/>
    </row>
    <row r="737" spans="3:9" ht="16.5">
      <c r="C737" s="2"/>
      <c r="F737" s="2"/>
      <c r="I737" s="19"/>
    </row>
    <row r="738" spans="3:9" ht="16.5">
      <c r="C738" s="2"/>
      <c r="F738" s="2"/>
      <c r="I738" s="19"/>
    </row>
    <row r="739" spans="3:9" ht="16.5">
      <c r="C739" s="2"/>
      <c r="F739" s="2"/>
      <c r="I739" s="19"/>
    </row>
    <row r="740" spans="3:9" ht="16.5">
      <c r="C740" s="2"/>
      <c r="F740" s="2"/>
      <c r="I740" s="19"/>
    </row>
    <row r="741" spans="3:9" ht="16.5">
      <c r="C741" s="2"/>
      <c r="F741" s="2"/>
      <c r="I741" s="19"/>
    </row>
    <row r="742" spans="3:9" ht="16.5">
      <c r="C742" s="2"/>
      <c r="F742" s="2"/>
      <c r="I742" s="19"/>
    </row>
    <row r="743" spans="3:9" ht="16.5">
      <c r="C743" s="2"/>
      <c r="F743" s="2"/>
      <c r="I743" s="19"/>
    </row>
    <row r="744" spans="3:9" ht="16.5">
      <c r="C744" s="2"/>
      <c r="F744" s="2"/>
      <c r="I744" s="19"/>
    </row>
    <row r="745" spans="3:9" ht="16.5">
      <c r="C745" s="2"/>
      <c r="F745" s="2"/>
      <c r="I745" s="19"/>
    </row>
    <row r="746" spans="3:9" ht="16.5">
      <c r="C746" s="2"/>
      <c r="F746" s="2"/>
      <c r="I746" s="19"/>
    </row>
    <row r="747" spans="3:9" ht="16.5">
      <c r="C747" s="2"/>
      <c r="F747" s="2"/>
      <c r="I747" s="19"/>
    </row>
    <row r="748" spans="3:9" ht="16.5">
      <c r="C748" s="2"/>
      <c r="F748" s="2"/>
      <c r="I748" s="19"/>
    </row>
    <row r="749" spans="3:9" ht="16.5">
      <c r="C749" s="2"/>
      <c r="F749" s="2"/>
      <c r="I749" s="19"/>
    </row>
    <row r="750" spans="3:9" ht="16.5">
      <c r="C750" s="2"/>
      <c r="F750" s="2"/>
      <c r="I750" s="19"/>
    </row>
    <row r="751" spans="3:9" ht="16.5">
      <c r="C751" s="2"/>
      <c r="F751" s="2"/>
      <c r="I751" s="19"/>
    </row>
    <row r="752" spans="3:9" ht="16.5">
      <c r="C752" s="2"/>
      <c r="F752" s="2"/>
      <c r="I752" s="19"/>
    </row>
    <row r="753" spans="3:9" ht="16.5">
      <c r="C753" s="2"/>
      <c r="F753" s="2"/>
      <c r="I753" s="19"/>
    </row>
    <row r="754" spans="3:9" ht="16.5">
      <c r="C754" s="2"/>
      <c r="F754" s="2"/>
      <c r="I754" s="19"/>
    </row>
    <row r="755" spans="3:9" ht="16.5">
      <c r="C755" s="2"/>
      <c r="F755" s="2"/>
      <c r="I755" s="19"/>
    </row>
    <row r="756" spans="3:9" ht="16.5">
      <c r="C756" s="2"/>
      <c r="F756" s="2"/>
      <c r="I756" s="19"/>
    </row>
    <row r="757" spans="3:9" ht="16.5">
      <c r="C757" s="2"/>
      <c r="F757" s="2"/>
      <c r="I757" s="19"/>
    </row>
    <row r="758" spans="3:9" ht="16.5">
      <c r="C758" s="2"/>
      <c r="F758" s="2"/>
      <c r="I758" s="19"/>
    </row>
    <row r="759" spans="3:9" ht="16.5">
      <c r="C759" s="2"/>
      <c r="F759" s="2"/>
      <c r="I759" s="19"/>
    </row>
    <row r="760" spans="3:9" ht="16.5">
      <c r="C760" s="2"/>
      <c r="F760" s="2"/>
      <c r="I760" s="19"/>
    </row>
    <row r="761" spans="3:9" ht="16.5">
      <c r="C761" s="2"/>
      <c r="F761" s="2"/>
      <c r="I761" s="19"/>
    </row>
    <row r="762" spans="3:9" ht="16.5">
      <c r="C762" s="2"/>
      <c r="F762" s="2"/>
      <c r="I762" s="19"/>
    </row>
    <row r="763" spans="3:9" ht="16.5">
      <c r="C763" s="2"/>
      <c r="F763" s="2"/>
      <c r="I763" s="19"/>
    </row>
    <row r="764" spans="3:9" ht="16.5">
      <c r="C764" s="2"/>
      <c r="F764" s="2"/>
      <c r="I764" s="19"/>
    </row>
    <row r="765" spans="3:9" ht="16.5">
      <c r="C765" s="2"/>
      <c r="F765" s="2"/>
      <c r="I765" s="19"/>
    </row>
    <row r="766" spans="3:9" ht="16.5">
      <c r="C766" s="2"/>
      <c r="F766" s="2"/>
      <c r="I766" s="19"/>
    </row>
    <row r="767" spans="3:9" ht="16.5">
      <c r="C767" s="2"/>
      <c r="F767" s="2"/>
      <c r="I767" s="19"/>
    </row>
    <row r="768" spans="3:9" ht="16.5">
      <c r="C768" s="2"/>
      <c r="F768" s="2"/>
      <c r="I768" s="19"/>
    </row>
    <row r="769" spans="3:9" ht="16.5">
      <c r="C769" s="2"/>
      <c r="F769" s="2"/>
      <c r="I769" s="19"/>
    </row>
    <row r="770" spans="3:9" ht="16.5">
      <c r="C770" s="2"/>
      <c r="F770" s="2"/>
      <c r="I770" s="19"/>
    </row>
    <row r="771" spans="3:9" ht="16.5">
      <c r="C771" s="2"/>
      <c r="F771" s="2"/>
      <c r="I771" s="19"/>
    </row>
    <row r="772" spans="3:9" ht="16.5">
      <c r="C772" s="2"/>
      <c r="F772" s="2"/>
      <c r="I772" s="19"/>
    </row>
    <row r="773" spans="3:9" ht="16.5">
      <c r="C773" s="2"/>
      <c r="F773" s="2"/>
      <c r="I773" s="19"/>
    </row>
    <row r="774" spans="3:9" ht="16.5">
      <c r="C774" s="2"/>
      <c r="F774" s="2"/>
      <c r="I774" s="19"/>
    </row>
    <row r="775" spans="3:9" ht="16.5">
      <c r="C775" s="2"/>
      <c r="F775" s="2"/>
      <c r="I775" s="19"/>
    </row>
    <row r="776" spans="3:9" ht="16.5">
      <c r="C776" s="2"/>
      <c r="F776" s="2"/>
      <c r="I776" s="19"/>
    </row>
    <row r="777" spans="3:9" ht="16.5">
      <c r="C777" s="2"/>
      <c r="F777" s="2"/>
      <c r="I777" s="19"/>
    </row>
    <row r="778" spans="3:9" ht="16.5">
      <c r="C778" s="2"/>
      <c r="F778" s="2"/>
      <c r="I778" s="19"/>
    </row>
    <row r="779" spans="3:9" ht="16.5">
      <c r="C779" s="2"/>
      <c r="F779" s="2"/>
      <c r="I779" s="19"/>
    </row>
    <row r="780" spans="3:9" ht="16.5">
      <c r="C780" s="2"/>
      <c r="F780" s="2"/>
      <c r="I780" s="19"/>
    </row>
    <row r="781" spans="3:9" ht="16.5">
      <c r="C781" s="2"/>
      <c r="F781" s="2"/>
      <c r="I781" s="19"/>
    </row>
    <row r="782" spans="3:9" ht="16.5">
      <c r="C782" s="2"/>
      <c r="F782" s="2"/>
      <c r="I782" s="19"/>
    </row>
    <row r="783" spans="3:9" ht="16.5">
      <c r="C783" s="2"/>
      <c r="F783" s="2"/>
      <c r="I783" s="19"/>
    </row>
    <row r="784" spans="3:9" ht="16.5">
      <c r="C784" s="2"/>
      <c r="F784" s="2"/>
      <c r="I784" s="19"/>
    </row>
    <row r="785" spans="3:9" ht="16.5">
      <c r="C785" s="2"/>
      <c r="F785" s="2"/>
      <c r="I785" s="19"/>
    </row>
    <row r="786" spans="3:9" ht="16.5">
      <c r="C786" s="2"/>
      <c r="F786" s="2"/>
      <c r="I786" s="19"/>
    </row>
    <row r="787" spans="3:9" ht="16.5">
      <c r="C787" s="2"/>
      <c r="F787" s="2"/>
      <c r="I787" s="19"/>
    </row>
    <row r="788" spans="3:9" ht="16.5">
      <c r="C788" s="2"/>
      <c r="F788" s="2"/>
      <c r="I788" s="19"/>
    </row>
    <row r="789" spans="3:9" ht="16.5">
      <c r="C789" s="2"/>
      <c r="F789" s="2"/>
      <c r="I789" s="19"/>
    </row>
    <row r="790" spans="3:9" ht="16.5">
      <c r="C790" s="2"/>
      <c r="F790" s="2"/>
      <c r="I790" s="19"/>
    </row>
    <row r="791" spans="3:9" ht="16.5">
      <c r="C791" s="2"/>
      <c r="F791" s="2"/>
      <c r="I791" s="19"/>
    </row>
    <row r="792" spans="3:9" ht="16.5">
      <c r="C792" s="2"/>
      <c r="F792" s="2"/>
      <c r="I792" s="19"/>
    </row>
    <row r="793" spans="3:9" ht="16.5">
      <c r="C793" s="2"/>
      <c r="F793" s="2"/>
      <c r="I793" s="19"/>
    </row>
    <row r="794" spans="3:9" ht="16.5">
      <c r="C794" s="2"/>
      <c r="F794" s="2"/>
      <c r="I794" s="19"/>
    </row>
    <row r="795" spans="3:9" ht="16.5">
      <c r="C795" s="2"/>
      <c r="F795" s="2"/>
      <c r="I795" s="19"/>
    </row>
    <row r="796" spans="3:9" ht="16.5">
      <c r="C796" s="2"/>
      <c r="F796" s="2"/>
      <c r="I796" s="19"/>
    </row>
    <row r="797" spans="3:9" ht="16.5">
      <c r="C797" s="2"/>
      <c r="F797" s="2"/>
      <c r="I797" s="19"/>
    </row>
    <row r="798" spans="3:9" ht="16.5">
      <c r="C798" s="2"/>
      <c r="F798" s="2"/>
      <c r="I798" s="19"/>
    </row>
    <row r="799" spans="3:9" ht="16.5">
      <c r="C799" s="2"/>
      <c r="F799" s="2"/>
      <c r="I799" s="19"/>
    </row>
    <row r="800" spans="3:9" ht="16.5">
      <c r="C800" s="2"/>
      <c r="F800" s="2"/>
      <c r="I800" s="19"/>
    </row>
    <row r="801" spans="3:9" ht="16.5">
      <c r="C801" s="2"/>
      <c r="F801" s="2"/>
      <c r="I801" s="19"/>
    </row>
    <row r="802" spans="3:9" ht="16.5">
      <c r="C802" s="2"/>
      <c r="F802" s="2"/>
      <c r="I802" s="19"/>
    </row>
    <row r="803" spans="3:9" ht="16.5">
      <c r="C803" s="2"/>
      <c r="F803" s="2"/>
      <c r="I803" s="19"/>
    </row>
    <row r="804" spans="3:9" ht="16.5">
      <c r="C804" s="2"/>
      <c r="F804" s="2"/>
      <c r="I804" s="19"/>
    </row>
    <row r="805" spans="3:9" ht="16.5">
      <c r="C805" s="2"/>
      <c r="F805" s="2"/>
      <c r="I805" s="19"/>
    </row>
    <row r="806" spans="3:9" ht="16.5">
      <c r="C806" s="2"/>
      <c r="F806" s="2"/>
      <c r="I806" s="19"/>
    </row>
    <row r="807" spans="3:9" ht="16.5">
      <c r="C807" s="2"/>
      <c r="F807" s="2"/>
      <c r="I807" s="19"/>
    </row>
    <row r="808" spans="3:9" ht="16.5">
      <c r="C808" s="2"/>
      <c r="F808" s="2"/>
      <c r="I808" s="19"/>
    </row>
    <row r="809" spans="3:9" ht="16.5">
      <c r="C809" s="2"/>
      <c r="F809" s="2"/>
      <c r="I809" s="19"/>
    </row>
    <row r="810" spans="3:9" ht="16.5">
      <c r="C810" s="2"/>
      <c r="F810" s="2"/>
      <c r="I810" s="19"/>
    </row>
    <row r="811" spans="3:9" ht="16.5">
      <c r="C811" s="2"/>
      <c r="F811" s="2"/>
      <c r="I811" s="19"/>
    </row>
    <row r="812" spans="3:9" ht="16.5">
      <c r="C812" s="2"/>
      <c r="F812" s="2"/>
      <c r="I812" s="19"/>
    </row>
    <row r="813" spans="3:9" ht="16.5">
      <c r="C813" s="2"/>
      <c r="F813" s="2"/>
      <c r="I813" s="19"/>
    </row>
    <row r="814" spans="3:9" ht="16.5">
      <c r="C814" s="2"/>
      <c r="F814" s="2"/>
      <c r="I814" s="19"/>
    </row>
    <row r="815" spans="3:9" ht="16.5">
      <c r="C815" s="2"/>
      <c r="F815" s="2"/>
      <c r="I815" s="19"/>
    </row>
    <row r="816" spans="3:9" ht="16.5">
      <c r="C816" s="2"/>
      <c r="F816" s="2"/>
      <c r="I816" s="19"/>
    </row>
    <row r="817" spans="3:9" ht="16.5">
      <c r="C817" s="2"/>
      <c r="F817" s="2"/>
      <c r="I817" s="19"/>
    </row>
    <row r="818" spans="3:9" ht="16.5">
      <c r="C818" s="2"/>
      <c r="F818" s="2"/>
      <c r="I818" s="19"/>
    </row>
    <row r="819" spans="3:9" ht="16.5">
      <c r="C819" s="2"/>
      <c r="F819" s="2"/>
      <c r="I819" s="19"/>
    </row>
    <row r="820" spans="3:9" ht="16.5">
      <c r="C820" s="2"/>
      <c r="F820" s="2"/>
      <c r="I820" s="19"/>
    </row>
    <row r="821" spans="3:9" ht="16.5">
      <c r="C821" s="2"/>
      <c r="F821" s="2"/>
      <c r="I821" s="19"/>
    </row>
    <row r="822" spans="3:9" ht="16.5">
      <c r="C822" s="2"/>
      <c r="F822" s="2"/>
      <c r="I822" s="19"/>
    </row>
    <row r="823" spans="3:9" ht="16.5">
      <c r="C823" s="2"/>
      <c r="F823" s="2"/>
      <c r="I823" s="19"/>
    </row>
    <row r="824" spans="3:9" ht="16.5">
      <c r="C824" s="2"/>
      <c r="F824" s="2"/>
      <c r="I824" s="19"/>
    </row>
    <row r="825" spans="3:9" ht="16.5">
      <c r="C825" s="2"/>
      <c r="F825" s="2"/>
      <c r="I825" s="19"/>
    </row>
    <row r="826" spans="3:9" ht="16.5">
      <c r="C826" s="2"/>
      <c r="F826" s="2"/>
      <c r="I826" s="19"/>
    </row>
    <row r="827" spans="3:9" ht="16.5">
      <c r="C827" s="2"/>
      <c r="F827" s="2"/>
      <c r="I827" s="19"/>
    </row>
    <row r="828" spans="3:9" ht="16.5">
      <c r="C828" s="2"/>
      <c r="F828" s="2"/>
      <c r="I828" s="19"/>
    </row>
    <row r="829" spans="3:9" ht="16.5">
      <c r="C829" s="2"/>
      <c r="F829" s="2"/>
      <c r="I829" s="19"/>
    </row>
    <row r="830" spans="3:9" ht="16.5">
      <c r="C830" s="2"/>
      <c r="F830" s="2"/>
      <c r="I830" s="19"/>
    </row>
    <row r="831" spans="3:9" ht="16.5">
      <c r="C831" s="2"/>
      <c r="F831" s="2"/>
      <c r="I831" s="19"/>
    </row>
    <row r="832" spans="3:9" ht="16.5">
      <c r="C832" s="2"/>
      <c r="F832" s="2"/>
      <c r="I832" s="19"/>
    </row>
    <row r="833" spans="3:9" ht="16.5">
      <c r="C833" s="2"/>
      <c r="F833" s="2"/>
      <c r="I833" s="19"/>
    </row>
    <row r="834" spans="3:9" ht="16.5">
      <c r="C834" s="2"/>
      <c r="F834" s="2"/>
      <c r="I834" s="19"/>
    </row>
    <row r="835" spans="3:9" ht="16.5">
      <c r="C835" s="2"/>
      <c r="F835" s="2"/>
      <c r="I835" s="19"/>
    </row>
    <row r="836" spans="3:9" ht="16.5">
      <c r="C836" s="2"/>
      <c r="F836" s="2"/>
      <c r="I836" s="19"/>
    </row>
    <row r="837" spans="3:9" ht="16.5">
      <c r="C837" s="2"/>
      <c r="F837" s="2"/>
      <c r="I837" s="19"/>
    </row>
    <row r="838" spans="3:9" ht="16.5">
      <c r="C838" s="2"/>
      <c r="F838" s="2"/>
      <c r="I838" s="19"/>
    </row>
    <row r="839" spans="3:9" ht="16.5">
      <c r="C839" s="2"/>
      <c r="F839" s="2"/>
      <c r="I839" s="19"/>
    </row>
    <row r="840" spans="3:9" ht="16.5">
      <c r="C840" s="2"/>
      <c r="F840" s="2"/>
      <c r="I840" s="19"/>
    </row>
    <row r="841" spans="3:9" ht="16.5">
      <c r="C841" s="2"/>
      <c r="F841" s="2"/>
      <c r="I841" s="19"/>
    </row>
    <row r="842" spans="3:9" ht="16.5">
      <c r="C842" s="2"/>
      <c r="F842" s="2"/>
      <c r="I842" s="19"/>
    </row>
    <row r="843" spans="3:9" ht="16.5">
      <c r="C843" s="2"/>
      <c r="F843" s="2"/>
      <c r="I843" s="19"/>
    </row>
    <row r="844" spans="3:9" ht="16.5">
      <c r="C844" s="2"/>
      <c r="F844" s="2"/>
      <c r="I844" s="19"/>
    </row>
    <row r="845" spans="3:9" ht="16.5">
      <c r="C845" s="2"/>
      <c r="F845" s="2"/>
      <c r="I845" s="19"/>
    </row>
    <row r="846" spans="3:9" ht="16.5">
      <c r="C846" s="2"/>
      <c r="F846" s="2"/>
      <c r="I846" s="19"/>
    </row>
    <row r="847" spans="3:9" ht="16.5">
      <c r="C847" s="2"/>
      <c r="F847" s="2"/>
      <c r="I847" s="19"/>
    </row>
    <row r="848" spans="3:9" ht="16.5">
      <c r="C848" s="2"/>
      <c r="F848" s="2"/>
      <c r="I848" s="19"/>
    </row>
    <row r="849" spans="3:9" ht="16.5">
      <c r="C849" s="2"/>
      <c r="F849" s="2"/>
      <c r="I849" s="19"/>
    </row>
    <row r="850" spans="3:9" ht="16.5">
      <c r="C850" s="2"/>
      <c r="F850" s="2"/>
      <c r="I850" s="19"/>
    </row>
    <row r="851" spans="3:9" ht="16.5">
      <c r="C851" s="2"/>
      <c r="F851" s="2"/>
      <c r="I851" s="19"/>
    </row>
    <row r="852" spans="3:9" ht="16.5">
      <c r="C852" s="2"/>
      <c r="F852" s="2"/>
      <c r="I852" s="19"/>
    </row>
    <row r="853" spans="3:9" ht="16.5">
      <c r="C853" s="2"/>
      <c r="F853" s="2"/>
      <c r="I853" s="19"/>
    </row>
    <row r="854" spans="3:9" ht="16.5">
      <c r="C854" s="2"/>
      <c r="F854" s="2"/>
      <c r="I854" s="19"/>
    </row>
    <row r="855" spans="3:9" ht="16.5">
      <c r="C855" s="2"/>
      <c r="F855" s="2"/>
      <c r="I855" s="19"/>
    </row>
    <row r="856" spans="3:9" ht="16.5">
      <c r="C856" s="2"/>
      <c r="F856" s="2"/>
      <c r="I856" s="19"/>
    </row>
    <row r="857" spans="3:9" ht="16.5">
      <c r="C857" s="2"/>
      <c r="F857" s="2"/>
      <c r="I857" s="19"/>
    </row>
    <row r="858" spans="3:9" ht="16.5">
      <c r="C858" s="2"/>
      <c r="F858" s="2"/>
      <c r="I858" s="19"/>
    </row>
    <row r="859" spans="3:9" ht="16.5">
      <c r="C859" s="2"/>
      <c r="F859" s="2"/>
      <c r="I859" s="19"/>
    </row>
    <row r="860" spans="3:9" ht="16.5">
      <c r="C860" s="2"/>
      <c r="F860" s="2"/>
      <c r="I860" s="19"/>
    </row>
    <row r="861" spans="3:9" ht="16.5">
      <c r="C861" s="2"/>
      <c r="F861" s="2"/>
      <c r="I861" s="19"/>
    </row>
    <row r="862" spans="3:9" ht="16.5">
      <c r="C862" s="2"/>
      <c r="F862" s="2"/>
      <c r="I862" s="19"/>
    </row>
    <row r="863" spans="3:9" ht="16.5">
      <c r="C863" s="2"/>
      <c r="F863" s="2"/>
      <c r="I863" s="19"/>
    </row>
    <row r="864" spans="3:9" ht="16.5">
      <c r="C864" s="2"/>
      <c r="F864" s="2"/>
      <c r="I864" s="19"/>
    </row>
    <row r="865" spans="3:9" ht="16.5">
      <c r="C865" s="2"/>
      <c r="F865" s="2"/>
      <c r="I865" s="19"/>
    </row>
    <row r="866" spans="3:9" ht="16.5">
      <c r="C866" s="2"/>
      <c r="F866" s="2"/>
      <c r="I866" s="19"/>
    </row>
    <row r="867" spans="3:9" ht="16.5">
      <c r="C867" s="2"/>
      <c r="F867" s="2"/>
      <c r="I867" s="19"/>
    </row>
    <row r="868" spans="3:9" ht="16.5">
      <c r="C868" s="2"/>
      <c r="F868" s="2"/>
      <c r="I868" s="19"/>
    </row>
    <row r="869" spans="3:9" ht="16.5">
      <c r="C869" s="2"/>
      <c r="F869" s="2"/>
      <c r="I869" s="19"/>
    </row>
    <row r="870" spans="3:9" ht="16.5">
      <c r="C870" s="2"/>
      <c r="F870" s="2"/>
      <c r="I870" s="19"/>
    </row>
    <row r="871" spans="3:9" ht="16.5">
      <c r="C871" s="2"/>
      <c r="F871" s="2"/>
      <c r="I871" s="19"/>
    </row>
    <row r="872" spans="3:9" ht="16.5">
      <c r="C872" s="2"/>
      <c r="F872" s="2"/>
      <c r="I872" s="19"/>
    </row>
    <row r="873" spans="3:9" ht="16.5">
      <c r="C873" s="2"/>
      <c r="F873" s="2"/>
      <c r="I873" s="19"/>
    </row>
    <row r="874" spans="3:9" ht="16.5">
      <c r="C874" s="2"/>
      <c r="F874" s="2"/>
      <c r="I874" s="19"/>
    </row>
    <row r="875" spans="3:9" ht="16.5">
      <c r="C875" s="2"/>
      <c r="F875" s="2"/>
      <c r="I875" s="19"/>
    </row>
    <row r="876" spans="3:9" ht="16.5">
      <c r="C876" s="2"/>
      <c r="F876" s="2"/>
      <c r="I876" s="19"/>
    </row>
    <row r="877" spans="3:9" ht="16.5">
      <c r="C877" s="2"/>
      <c r="F877" s="2"/>
      <c r="I877" s="19"/>
    </row>
    <row r="878" spans="3:9" ht="16.5">
      <c r="C878" s="2"/>
      <c r="F878" s="2"/>
      <c r="I878" s="19"/>
    </row>
    <row r="879" spans="3:9" ht="16.5">
      <c r="C879" s="2"/>
      <c r="F879" s="2"/>
      <c r="I879" s="19"/>
    </row>
    <row r="880" spans="3:9" ht="16.5">
      <c r="C880" s="2"/>
      <c r="F880" s="2"/>
      <c r="I880" s="19"/>
    </row>
    <row r="881" spans="3:9" ht="16.5">
      <c r="C881" s="2"/>
      <c r="F881" s="2"/>
      <c r="I881" s="19"/>
    </row>
    <row r="882" spans="3:9" ht="16.5">
      <c r="C882" s="2"/>
      <c r="F882" s="2"/>
      <c r="I882" s="19"/>
    </row>
    <row r="883" spans="3:9" ht="16.5">
      <c r="C883" s="2"/>
      <c r="F883" s="2"/>
      <c r="I883" s="19"/>
    </row>
    <row r="884" spans="3:9" ht="16.5">
      <c r="C884" s="2"/>
      <c r="F884" s="2"/>
      <c r="I884" s="19"/>
    </row>
    <row r="885" spans="3:9" ht="16.5">
      <c r="C885" s="2"/>
      <c r="F885" s="2"/>
      <c r="I885" s="19"/>
    </row>
    <row r="886" spans="3:9" ht="16.5">
      <c r="C886" s="2"/>
      <c r="F886" s="2"/>
      <c r="I886" s="19"/>
    </row>
    <row r="887" spans="3:9" ht="16.5">
      <c r="C887" s="2"/>
      <c r="F887" s="2"/>
      <c r="I887" s="19"/>
    </row>
    <row r="888" spans="3:9" ht="16.5">
      <c r="C888" s="2"/>
      <c r="F888" s="2"/>
      <c r="I888" s="19"/>
    </row>
    <row r="889" spans="3:9" ht="16.5">
      <c r="C889" s="2"/>
      <c r="F889" s="2"/>
      <c r="I889" s="19"/>
    </row>
    <row r="890" spans="3:9" ht="16.5">
      <c r="C890" s="2"/>
      <c r="F890" s="2"/>
      <c r="I890" s="19"/>
    </row>
    <row r="891" spans="3:9" ht="16.5">
      <c r="C891" s="2"/>
      <c r="F891" s="2"/>
      <c r="I891" s="19"/>
    </row>
    <row r="892" spans="3:9" ht="16.5">
      <c r="C892" s="2"/>
      <c r="F892" s="2"/>
      <c r="I892" s="19"/>
    </row>
    <row r="893" spans="3:9" ht="16.5">
      <c r="C893" s="2"/>
      <c r="F893" s="2"/>
      <c r="I893" s="19"/>
    </row>
    <row r="894" spans="3:9" ht="16.5">
      <c r="C894" s="2"/>
      <c r="F894" s="2"/>
      <c r="I894" s="19"/>
    </row>
    <row r="895" spans="3:9" ht="16.5">
      <c r="C895" s="2"/>
      <c r="F895" s="2"/>
      <c r="I895" s="19"/>
    </row>
    <row r="896" spans="3:9" ht="16.5">
      <c r="C896" s="2"/>
      <c r="F896" s="2"/>
      <c r="I896" s="19"/>
    </row>
    <row r="897" spans="3:9" ht="16.5">
      <c r="C897" s="2"/>
      <c r="F897" s="2"/>
      <c r="I897" s="19"/>
    </row>
    <row r="898" spans="3:9" ht="16.5">
      <c r="C898" s="2"/>
      <c r="F898" s="2"/>
      <c r="I898" s="19"/>
    </row>
    <row r="899" spans="3:9" ht="16.5">
      <c r="C899" s="2"/>
      <c r="F899" s="2"/>
      <c r="I899" s="19"/>
    </row>
    <row r="900" spans="3:9" ht="16.5">
      <c r="C900" s="2"/>
      <c r="F900" s="2"/>
      <c r="I900" s="19"/>
    </row>
    <row r="901" spans="3:9" ht="16.5">
      <c r="C901" s="2"/>
      <c r="F901" s="2"/>
      <c r="I901" s="19"/>
    </row>
    <row r="902" spans="3:9" ht="16.5">
      <c r="C902" s="2"/>
      <c r="F902" s="2"/>
      <c r="I902" s="19"/>
    </row>
    <row r="903" spans="3:9" ht="16.5">
      <c r="C903" s="2"/>
      <c r="F903" s="2"/>
      <c r="I903" s="19"/>
    </row>
    <row r="904" spans="3:9" ht="16.5">
      <c r="C904" s="2"/>
      <c r="F904" s="2"/>
      <c r="I904" s="19"/>
    </row>
    <row r="905" spans="3:9" ht="16.5">
      <c r="C905" s="2"/>
      <c r="F905" s="2"/>
      <c r="I905" s="19"/>
    </row>
    <row r="906" spans="3:9" ht="16.5">
      <c r="C906" s="2"/>
      <c r="F906" s="2"/>
      <c r="I906" s="19"/>
    </row>
    <row r="907" spans="3:9" ht="16.5">
      <c r="C907" s="2"/>
      <c r="F907" s="2"/>
      <c r="I907" s="19"/>
    </row>
    <row r="908" spans="3:9" ht="16.5">
      <c r="C908" s="2"/>
      <c r="F908" s="2"/>
      <c r="I908" s="19"/>
    </row>
    <row r="909" spans="3:9" ht="16.5">
      <c r="C909" s="2"/>
      <c r="F909" s="2"/>
      <c r="I909" s="19"/>
    </row>
    <row r="910" spans="3:9" ht="16.5">
      <c r="C910" s="2"/>
      <c r="F910" s="2"/>
      <c r="I910" s="19"/>
    </row>
    <row r="911" spans="3:9" ht="16.5">
      <c r="C911" s="2"/>
      <c r="F911" s="2"/>
      <c r="I911" s="19"/>
    </row>
    <row r="912" spans="3:9" ht="16.5">
      <c r="C912" s="2"/>
      <c r="F912" s="2"/>
      <c r="I912" s="19"/>
    </row>
    <row r="913" spans="3:9" ht="16.5">
      <c r="C913" s="2"/>
      <c r="F913" s="2"/>
      <c r="I913" s="19"/>
    </row>
    <row r="914" spans="3:9" ht="16.5">
      <c r="C914" s="2"/>
      <c r="F914" s="2"/>
      <c r="I914" s="19"/>
    </row>
    <row r="915" spans="3:9" ht="16.5">
      <c r="C915" s="2"/>
      <c r="F915" s="2"/>
      <c r="I915" s="19"/>
    </row>
    <row r="916" spans="3:9" ht="16.5">
      <c r="C916" s="2"/>
      <c r="F916" s="2"/>
      <c r="I916" s="19"/>
    </row>
    <row r="917" spans="3:9" ht="16.5">
      <c r="C917" s="2"/>
      <c r="F917" s="2"/>
      <c r="I917" s="19"/>
    </row>
    <row r="918" spans="3:9" ht="16.5">
      <c r="C918" s="2"/>
      <c r="F918" s="2"/>
      <c r="I918" s="19"/>
    </row>
    <row r="919" spans="3:9" ht="16.5">
      <c r="C919" s="2"/>
      <c r="F919" s="2"/>
      <c r="I919" s="19"/>
    </row>
    <row r="920" spans="3:9" ht="16.5">
      <c r="C920" s="2"/>
      <c r="F920" s="2"/>
      <c r="I920" s="19"/>
    </row>
    <row r="921" spans="3:9" ht="16.5">
      <c r="C921" s="2"/>
      <c r="F921" s="2"/>
      <c r="I921" s="19"/>
    </row>
    <row r="922" spans="3:9" ht="16.5">
      <c r="C922" s="2"/>
      <c r="F922" s="2"/>
      <c r="I922" s="19"/>
    </row>
    <row r="923" spans="3:9" ht="16.5">
      <c r="C923" s="2"/>
      <c r="F923" s="2"/>
      <c r="I923" s="19"/>
    </row>
    <row r="924" spans="3:9" ht="16.5">
      <c r="C924" s="2"/>
      <c r="F924" s="2"/>
      <c r="I924" s="19"/>
    </row>
    <row r="925" spans="3:9" ht="16.5">
      <c r="C925" s="2"/>
      <c r="F925" s="2"/>
      <c r="I925" s="19"/>
    </row>
    <row r="926" spans="3:9" ht="16.5">
      <c r="C926" s="2"/>
      <c r="F926" s="2"/>
      <c r="I926" s="19"/>
    </row>
    <row r="927" spans="3:9" ht="16.5">
      <c r="C927" s="2"/>
      <c r="F927" s="2"/>
      <c r="I927" s="19"/>
    </row>
    <row r="928" spans="3:9" ht="16.5">
      <c r="C928" s="2"/>
      <c r="F928" s="2"/>
      <c r="I928" s="19"/>
    </row>
    <row r="929" spans="3:9" ht="16.5">
      <c r="C929" s="2"/>
      <c r="F929" s="2"/>
      <c r="I929" s="19"/>
    </row>
    <row r="930" spans="3:9" ht="16.5">
      <c r="C930" s="2"/>
      <c r="F930" s="2"/>
      <c r="I930" s="19"/>
    </row>
    <row r="931" spans="3:9" ht="16.5">
      <c r="C931" s="2"/>
      <c r="F931" s="2"/>
      <c r="I931" s="19"/>
    </row>
    <row r="932" spans="3:9" ht="16.5">
      <c r="C932" s="2"/>
      <c r="F932" s="2"/>
      <c r="I932" s="19"/>
    </row>
    <row r="933" spans="3:9" ht="16.5">
      <c r="C933" s="2"/>
      <c r="F933" s="2"/>
      <c r="I933" s="19"/>
    </row>
    <row r="934" spans="3:9" ht="16.5">
      <c r="C934" s="2"/>
      <c r="F934" s="2"/>
      <c r="I934" s="19"/>
    </row>
    <row r="935" spans="3:9" ht="16.5">
      <c r="C935" s="2"/>
      <c r="F935" s="2"/>
      <c r="I935" s="19"/>
    </row>
    <row r="936" spans="3:9" ht="16.5">
      <c r="C936" s="2"/>
      <c r="F936" s="2"/>
      <c r="I936" s="19"/>
    </row>
    <row r="937" spans="3:9" ht="16.5">
      <c r="C937" s="2"/>
      <c r="F937" s="2"/>
      <c r="I937" s="19"/>
    </row>
    <row r="938" spans="3:9" ht="16.5">
      <c r="C938" s="2"/>
      <c r="F938" s="2"/>
      <c r="I938" s="19"/>
    </row>
    <row r="939" spans="3:9" ht="16.5">
      <c r="C939" s="2"/>
      <c r="F939" s="2"/>
      <c r="I939" s="19"/>
    </row>
    <row r="940" spans="3:9" ht="16.5">
      <c r="C940" s="2"/>
      <c r="F940" s="2"/>
      <c r="I940" s="19"/>
    </row>
    <row r="941" spans="3:9" ht="16.5">
      <c r="C941" s="2"/>
      <c r="F941" s="2"/>
      <c r="I941" s="19"/>
    </row>
    <row r="942" spans="3:9" ht="16.5">
      <c r="C942" s="2"/>
      <c r="F942" s="2"/>
      <c r="I942" s="19"/>
    </row>
    <row r="943" spans="3:9" ht="16.5">
      <c r="C943" s="2"/>
      <c r="F943" s="2"/>
      <c r="I943" s="19"/>
    </row>
    <row r="944" spans="3:9" ht="16.5">
      <c r="C944" s="2"/>
      <c r="F944" s="2"/>
      <c r="I944" s="19"/>
    </row>
    <row r="945" spans="3:9" ht="16.5">
      <c r="C945" s="2"/>
      <c r="F945" s="2"/>
      <c r="I945" s="19"/>
    </row>
    <row r="946" spans="3:9" ht="16.5">
      <c r="C946" s="2"/>
      <c r="F946" s="2"/>
      <c r="I946" s="19"/>
    </row>
    <row r="947" spans="3:9" ht="16.5">
      <c r="C947" s="2"/>
      <c r="F947" s="2"/>
      <c r="I947" s="19"/>
    </row>
    <row r="948" spans="3:9" ht="16.5">
      <c r="C948" s="2"/>
      <c r="F948" s="2"/>
      <c r="I948" s="19"/>
    </row>
    <row r="949" spans="3:9" ht="16.5">
      <c r="C949" s="2"/>
      <c r="F949" s="2"/>
      <c r="I949" s="19"/>
    </row>
    <row r="950" spans="3:9" ht="16.5">
      <c r="C950" s="2"/>
      <c r="F950" s="2"/>
      <c r="I950" s="19"/>
    </row>
    <row r="951" spans="3:9" ht="16.5">
      <c r="C951" s="2"/>
      <c r="F951" s="2"/>
      <c r="I951" s="19"/>
    </row>
    <row r="952" spans="3:9" ht="16.5">
      <c r="C952" s="2"/>
      <c r="F952" s="2"/>
      <c r="I952" s="19"/>
    </row>
    <row r="953" spans="3:9" ht="16.5">
      <c r="C953" s="2"/>
      <c r="F953" s="2"/>
      <c r="I953" s="19"/>
    </row>
    <row r="954" spans="3:9" ht="16.5">
      <c r="C954" s="2"/>
      <c r="F954" s="2"/>
      <c r="I954" s="19"/>
    </row>
    <row r="955" spans="3:9" ht="16.5">
      <c r="C955" s="2"/>
      <c r="F955" s="2"/>
      <c r="I955" s="19"/>
    </row>
    <row r="956" spans="3:9" ht="16.5">
      <c r="C956" s="2"/>
      <c r="F956" s="2"/>
      <c r="I956" s="19"/>
    </row>
    <row r="957" spans="3:9" ht="16.5">
      <c r="C957" s="2"/>
      <c r="F957" s="2"/>
      <c r="I957" s="19"/>
    </row>
    <row r="958" spans="3:9" ht="16.5">
      <c r="C958" s="2"/>
      <c r="F958" s="2"/>
      <c r="I958" s="19"/>
    </row>
    <row r="959" spans="3:9" ht="16.5">
      <c r="C959" s="2"/>
      <c r="F959" s="2"/>
      <c r="I959" s="19"/>
    </row>
    <row r="960" spans="3:9" ht="16.5">
      <c r="C960" s="2"/>
      <c r="F960" s="2"/>
      <c r="I960" s="19"/>
    </row>
    <row r="961" spans="3:9" ht="16.5">
      <c r="C961" s="2"/>
      <c r="F961" s="2"/>
      <c r="I961" s="19"/>
    </row>
    <row r="962" spans="3:9" ht="16.5">
      <c r="C962" s="2"/>
      <c r="F962" s="2"/>
      <c r="I962" s="19"/>
    </row>
    <row r="963" spans="3:9" ht="16.5">
      <c r="C963" s="2"/>
      <c r="F963" s="2"/>
      <c r="I963" s="19"/>
    </row>
    <row r="964" spans="3:9" ht="16.5">
      <c r="C964" s="2"/>
      <c r="F964" s="2"/>
      <c r="I964" s="19"/>
    </row>
    <row r="965" spans="3:9" ht="16.5">
      <c r="C965" s="2"/>
      <c r="F965" s="2"/>
      <c r="I965" s="19"/>
    </row>
    <row r="966" spans="3:9" ht="16.5">
      <c r="C966" s="2"/>
      <c r="F966" s="2"/>
      <c r="I966" s="19"/>
    </row>
    <row r="967" spans="3:9" ht="16.5">
      <c r="C967" s="2"/>
      <c r="F967" s="2"/>
      <c r="I967" s="19"/>
    </row>
    <row r="968" spans="3:9" ht="16.5">
      <c r="C968" s="2"/>
      <c r="F968" s="2"/>
      <c r="I968" s="19"/>
    </row>
    <row r="969" spans="3:9" ht="16.5">
      <c r="C969" s="2"/>
      <c r="F969" s="2"/>
      <c r="I969" s="19"/>
    </row>
    <row r="970" spans="3:9" ht="16.5">
      <c r="C970" s="2"/>
      <c r="F970" s="2"/>
      <c r="I970" s="19"/>
    </row>
    <row r="971" spans="3:9" ht="16.5">
      <c r="C971" s="2"/>
      <c r="F971" s="2"/>
      <c r="I971" s="19"/>
    </row>
    <row r="972" spans="3:9" ht="16.5">
      <c r="C972" s="2"/>
      <c r="F972" s="2"/>
      <c r="I972" s="19"/>
    </row>
    <row r="973" spans="3:9" ht="16.5">
      <c r="C973" s="2"/>
      <c r="F973" s="2"/>
      <c r="I973" s="19"/>
    </row>
    <row r="974" spans="3:9" ht="16.5">
      <c r="C974" s="2"/>
      <c r="F974" s="2"/>
      <c r="I974" s="19"/>
    </row>
    <row r="975" spans="3:9" ht="16.5">
      <c r="C975" s="2"/>
      <c r="F975" s="2"/>
      <c r="I975" s="19"/>
    </row>
    <row r="976" spans="3:9" ht="16.5">
      <c r="C976" s="2"/>
      <c r="F976" s="2"/>
      <c r="I976" s="19"/>
    </row>
    <row r="977" spans="3:9" ht="16.5">
      <c r="C977" s="2"/>
      <c r="F977" s="2"/>
      <c r="I977" s="19"/>
    </row>
    <row r="978" spans="3:9" ht="16.5">
      <c r="C978" s="2"/>
      <c r="F978" s="2"/>
      <c r="I978" s="19"/>
    </row>
    <row r="979" spans="3:9" ht="16.5">
      <c r="C979" s="2"/>
      <c r="F979" s="2"/>
      <c r="I979" s="19"/>
    </row>
    <row r="980" spans="3:9" ht="16.5">
      <c r="C980" s="2"/>
      <c r="F980" s="2"/>
      <c r="I980" s="19"/>
    </row>
    <row r="981" spans="3:9" ht="16.5">
      <c r="C981" s="2"/>
      <c r="F981" s="2"/>
      <c r="I981" s="19"/>
    </row>
    <row r="982" spans="3:9" ht="16.5">
      <c r="C982" s="2"/>
      <c r="F982" s="2"/>
      <c r="I982" s="19"/>
    </row>
    <row r="983" spans="3:9" ht="16.5">
      <c r="C983" s="2"/>
      <c r="F983" s="2"/>
      <c r="I983" s="19"/>
    </row>
    <row r="984" spans="3:9" ht="16.5">
      <c r="C984" s="2"/>
      <c r="F984" s="2"/>
      <c r="I984" s="19"/>
    </row>
    <row r="985" spans="3:9" ht="16.5">
      <c r="C985" s="2"/>
      <c r="F985" s="2"/>
      <c r="I985" s="19"/>
    </row>
    <row r="986" spans="3:9" ht="16.5">
      <c r="C986" s="2"/>
      <c r="F986" s="2"/>
      <c r="I986" s="19"/>
    </row>
    <row r="987" spans="3:9" ht="16.5">
      <c r="C987" s="2"/>
      <c r="F987" s="2"/>
      <c r="I987" s="19"/>
    </row>
    <row r="988" spans="3:9" ht="16.5">
      <c r="C988" s="2"/>
      <c r="F988" s="2"/>
      <c r="I988" s="19"/>
    </row>
    <row r="989" spans="3:9" ht="16.5">
      <c r="C989" s="2"/>
      <c r="F989" s="2"/>
      <c r="I989" s="19"/>
    </row>
    <row r="990" spans="3:9" ht="16.5">
      <c r="C990" s="2"/>
      <c r="F990" s="2"/>
      <c r="I990" s="19"/>
    </row>
    <row r="991" spans="3:9" ht="16.5">
      <c r="C991" s="2"/>
      <c r="F991" s="2"/>
      <c r="I991" s="19"/>
    </row>
    <row r="992" spans="3:9" ht="16.5">
      <c r="C992" s="2"/>
      <c r="F992" s="2"/>
      <c r="I992" s="19"/>
    </row>
    <row r="993" spans="3:9" ht="16.5">
      <c r="C993" s="2"/>
      <c r="F993" s="2"/>
      <c r="I993" s="19"/>
    </row>
    <row r="994" spans="3:9" ht="16.5">
      <c r="C994" s="2"/>
      <c r="F994" s="2"/>
      <c r="I994" s="19"/>
    </row>
    <row r="995" spans="3:9" ht="16.5">
      <c r="C995" s="2"/>
      <c r="F995" s="2"/>
      <c r="I995" s="19"/>
    </row>
    <row r="996" spans="3:9" ht="16.5">
      <c r="C996" s="2"/>
      <c r="F996" s="2"/>
      <c r="I996" s="19"/>
    </row>
    <row r="997" spans="3:9" ht="16.5">
      <c r="C997" s="2"/>
      <c r="F997" s="2"/>
      <c r="I997" s="19"/>
    </row>
    <row r="998" spans="3:9" ht="16.5">
      <c r="C998" s="2"/>
      <c r="F998" s="2"/>
      <c r="I998" s="19"/>
    </row>
    <row r="999" spans="3:9" ht="16.5">
      <c r="C999" s="2"/>
      <c r="F999" s="2"/>
      <c r="I999" s="19"/>
    </row>
    <row r="1000" spans="3:9" ht="16.5">
      <c r="C1000" s="2"/>
      <c r="F1000" s="2"/>
      <c r="I1000" s="19"/>
    </row>
    <row r="1001" spans="3:9" ht="12.75">
      <c r="C1001" s="29"/>
      <c r="F1001" s="29"/>
      <c r="I1001" s="19"/>
    </row>
    <row r="1002" spans="3:9" ht="12.75">
      <c r="C1002" s="29"/>
      <c r="F1002" s="29"/>
      <c r="I1002" s="19"/>
    </row>
    <row r="1003" spans="3:9" ht="12.75">
      <c r="C1003" s="29"/>
      <c r="F1003" s="29"/>
      <c r="I1003" s="19"/>
    </row>
    <row r="1004" spans="3:9" ht="12.75">
      <c r="C1004" s="29"/>
      <c r="F1004" s="29"/>
      <c r="I1004" s="19"/>
    </row>
    <row r="1005" spans="3:9" ht="12.75">
      <c r="C1005" s="29"/>
      <c r="F1005" s="29"/>
      <c r="I1005" s="19"/>
    </row>
    <row r="1006" spans="3:9" ht="12.75">
      <c r="C1006" s="29"/>
      <c r="F1006" s="29"/>
      <c r="I1006" s="19"/>
    </row>
    <row r="1007" spans="3:9" ht="12.75">
      <c r="C1007" s="29"/>
      <c r="F1007" s="29"/>
      <c r="I1007" s="19"/>
    </row>
    <row r="1008" spans="3:9" ht="12.75">
      <c r="C1008" s="29"/>
      <c r="F1008" s="29"/>
      <c r="I1008" s="30"/>
    </row>
  </sheetData>
  <mergeCells count="3">
    <mergeCell ref="A4:B4"/>
    <mergeCell ref="D4:E4"/>
    <mergeCell ref="G4:H4"/>
  </mergeCells>
  <printOptions horizontalCentered="1" gridLines="1"/>
  <pageMargins left="0.7" right="0.7" top="0.75" bottom="0.75" header="0" footer="0"/>
  <pageSetup scale="75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CR999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3.28515625" customWidth="1"/>
    <col min="3" max="3" width="4.42578125" customWidth="1"/>
    <col min="4" max="4" width="18.42578125" customWidth="1"/>
    <col min="5" max="5" width="63.5703125" customWidth="1"/>
    <col min="6" max="6" width="3.7109375" customWidth="1"/>
    <col min="7" max="7" width="18.42578125" customWidth="1"/>
    <col min="8" max="8" width="64.140625" customWidth="1"/>
    <col min="9" max="9" width="4" customWidth="1"/>
    <col min="10" max="96" width="12.7109375" customWidth="1"/>
  </cols>
  <sheetData>
    <row r="1" spans="1:96" ht="27">
      <c r="A1" s="31" t="s">
        <v>100</v>
      </c>
      <c r="B1" s="32" t="s">
        <v>1</v>
      </c>
      <c r="C1" s="33"/>
      <c r="D1" s="34" t="s">
        <v>101</v>
      </c>
      <c r="E1" s="32" t="s">
        <v>1</v>
      </c>
      <c r="F1" s="33"/>
      <c r="G1" s="34" t="s">
        <v>102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</row>
    <row r="2" spans="1:96" ht="24">
      <c r="A2" s="37" t="s">
        <v>5</v>
      </c>
      <c r="B2" s="38" t="s">
        <v>6</v>
      </c>
      <c r="C2" s="33"/>
      <c r="D2" s="39" t="s">
        <v>5</v>
      </c>
      <c r="E2" s="37" t="s">
        <v>6</v>
      </c>
      <c r="F2" s="33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</row>
    <row r="3" spans="1:96" ht="27">
      <c r="A3" s="193" t="s">
        <v>7</v>
      </c>
      <c r="B3" s="192"/>
      <c r="C3" s="33"/>
      <c r="D3" s="193" t="s">
        <v>7</v>
      </c>
      <c r="E3" s="192"/>
      <c r="F3" s="33"/>
      <c r="G3" s="193" t="s">
        <v>7</v>
      </c>
      <c r="H3" s="192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</row>
    <row r="4" spans="1:96" ht="16.5">
      <c r="A4" s="42" t="s">
        <v>103</v>
      </c>
      <c r="B4" s="43" t="s">
        <v>104</v>
      </c>
      <c r="C4" s="33"/>
      <c r="D4" s="42" t="s">
        <v>105</v>
      </c>
      <c r="E4" s="43" t="s">
        <v>106</v>
      </c>
      <c r="F4" s="33"/>
      <c r="G4" s="42" t="s">
        <v>107</v>
      </c>
      <c r="H4" s="43" t="s">
        <v>108</v>
      </c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</row>
    <row r="5" spans="1:96" ht="16.5">
      <c r="A5" s="42" t="s">
        <v>109</v>
      </c>
      <c r="B5" s="44" t="s">
        <v>110</v>
      </c>
      <c r="C5" s="33"/>
      <c r="D5" s="42" t="s">
        <v>111</v>
      </c>
      <c r="E5" s="44" t="s">
        <v>112</v>
      </c>
      <c r="F5" s="33"/>
      <c r="G5" s="42" t="s">
        <v>113</v>
      </c>
      <c r="H5" s="44" t="s">
        <v>114</v>
      </c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</row>
    <row r="6" spans="1:96" ht="16.5">
      <c r="A6" s="42" t="s">
        <v>115</v>
      </c>
      <c r="B6" s="44" t="s">
        <v>116</v>
      </c>
      <c r="C6" s="33"/>
      <c r="D6" s="42" t="s">
        <v>117</v>
      </c>
      <c r="E6" s="44" t="s">
        <v>118</v>
      </c>
      <c r="F6" s="33"/>
      <c r="G6" s="42" t="s">
        <v>119</v>
      </c>
      <c r="H6" s="44" t="s">
        <v>120</v>
      </c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</row>
    <row r="7" spans="1:96" ht="16.5">
      <c r="A7" s="42" t="s">
        <v>121</v>
      </c>
      <c r="B7" s="44" t="s">
        <v>122</v>
      </c>
      <c r="C7" s="33"/>
      <c r="D7" s="42" t="s">
        <v>123</v>
      </c>
      <c r="E7" s="44" t="s">
        <v>124</v>
      </c>
      <c r="F7" s="33"/>
      <c r="G7" s="42" t="s">
        <v>125</v>
      </c>
      <c r="H7" s="44" t="s">
        <v>126</v>
      </c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</row>
    <row r="8" spans="1:96" ht="16.5">
      <c r="A8" s="42" t="s">
        <v>127</v>
      </c>
      <c r="B8" s="44" t="s">
        <v>128</v>
      </c>
      <c r="C8" s="33"/>
      <c r="D8" s="42" t="s">
        <v>129</v>
      </c>
      <c r="E8" s="44" t="s">
        <v>130</v>
      </c>
      <c r="F8" s="33"/>
      <c r="G8" s="42" t="s">
        <v>131</v>
      </c>
      <c r="H8" s="44" t="s">
        <v>132</v>
      </c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</row>
    <row r="9" spans="1:96" ht="16.5">
      <c r="A9" s="42" t="s">
        <v>133</v>
      </c>
      <c r="B9" s="26" t="s">
        <v>134</v>
      </c>
      <c r="C9" s="33"/>
      <c r="D9" s="42" t="s">
        <v>135</v>
      </c>
      <c r="E9" s="22" t="s">
        <v>136</v>
      </c>
      <c r="F9" s="33"/>
      <c r="G9" s="42" t="s">
        <v>137</v>
      </c>
      <c r="H9" s="22" t="s">
        <v>138</v>
      </c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</row>
    <row r="10" spans="1:96" ht="16.5">
      <c r="A10" s="47"/>
      <c r="B10" s="36"/>
      <c r="C10" s="33"/>
      <c r="D10" s="46"/>
      <c r="E10" s="46"/>
      <c r="F10" s="33"/>
      <c r="G10" s="46"/>
      <c r="H10" s="46"/>
      <c r="I10" s="45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</row>
    <row r="11" spans="1:96" ht="16.5">
      <c r="A11" s="47"/>
      <c r="B11" s="36"/>
      <c r="C11" s="33"/>
      <c r="D11" s="46"/>
      <c r="E11" s="46"/>
      <c r="F11" s="33"/>
      <c r="G11" s="46"/>
      <c r="H11" s="46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</row>
    <row r="12" spans="1:96" ht="16.5">
      <c r="A12" s="47"/>
      <c r="B12" s="36"/>
      <c r="C12" s="33"/>
      <c r="D12" s="46"/>
      <c r="E12" s="46"/>
      <c r="F12" s="33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</row>
    <row r="13" spans="1:96" ht="16.5">
      <c r="A13" s="47"/>
      <c r="B13" s="36"/>
      <c r="C13" s="33"/>
      <c r="D13" s="46"/>
      <c r="E13" s="46"/>
      <c r="F13" s="33"/>
      <c r="G13" s="46"/>
      <c r="H13" s="46"/>
      <c r="I13" s="45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</row>
    <row r="14" spans="1:96" ht="16.5">
      <c r="A14" s="47"/>
      <c r="B14" s="36"/>
      <c r="C14" s="33"/>
      <c r="D14" s="46"/>
      <c r="E14" s="46"/>
      <c r="F14" s="33"/>
      <c r="G14" s="46"/>
      <c r="H14" s="46"/>
      <c r="I14" s="45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</row>
    <row r="15" spans="1:96" ht="16.5">
      <c r="A15" s="47"/>
      <c r="B15" s="36"/>
      <c r="C15" s="33"/>
      <c r="D15" s="46"/>
      <c r="E15" s="46"/>
      <c r="F15" s="33"/>
      <c r="G15" s="46"/>
      <c r="H15" s="46"/>
      <c r="I15" s="4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</row>
    <row r="16" spans="1:96" ht="16.5">
      <c r="A16" s="47"/>
      <c r="B16" s="36"/>
      <c r="C16" s="33"/>
      <c r="D16" s="46"/>
      <c r="E16" s="46"/>
      <c r="F16" s="33"/>
      <c r="G16" s="46"/>
      <c r="H16" s="46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</row>
    <row r="17" spans="1:96" ht="16.5">
      <c r="A17" s="47"/>
      <c r="B17" s="36"/>
      <c r="C17" s="33"/>
      <c r="D17" s="46"/>
      <c r="E17" s="46"/>
      <c r="F17" s="33"/>
      <c r="G17" s="46"/>
      <c r="H17" s="46"/>
      <c r="I17" s="45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</row>
    <row r="18" spans="1:96" ht="16.5">
      <c r="A18" s="47"/>
      <c r="B18" s="36"/>
      <c r="C18" s="33"/>
      <c r="D18" s="46"/>
      <c r="E18" s="46"/>
      <c r="F18" s="33"/>
      <c r="G18" s="46"/>
      <c r="H18" s="46"/>
      <c r="I18" s="45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</row>
    <row r="19" spans="1:96" ht="16.5">
      <c r="A19" s="47" t="s">
        <v>59</v>
      </c>
      <c r="B19" s="36" t="s">
        <v>139</v>
      </c>
      <c r="C19" s="33"/>
      <c r="D19" s="46"/>
      <c r="E19" s="46"/>
      <c r="F19" s="33"/>
      <c r="G19" s="46"/>
      <c r="H19" s="46"/>
      <c r="I19" s="45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</row>
    <row r="20" spans="1:96" ht="16.5">
      <c r="A20" s="47" t="s">
        <v>59</v>
      </c>
      <c r="B20" s="36" t="s">
        <v>140</v>
      </c>
      <c r="C20" s="33"/>
      <c r="D20" s="46"/>
      <c r="E20" s="46"/>
      <c r="F20" s="33"/>
      <c r="G20" s="46"/>
      <c r="H20" s="46"/>
      <c r="I20" s="45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</row>
    <row r="21" spans="1:96" ht="16.5">
      <c r="A21" s="47" t="s">
        <v>59</v>
      </c>
      <c r="B21" s="36" t="s">
        <v>141</v>
      </c>
      <c r="C21" s="33"/>
      <c r="D21" s="46"/>
      <c r="E21" s="46"/>
      <c r="F21" s="33"/>
      <c r="G21" s="46"/>
      <c r="H21" s="46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</row>
    <row r="22" spans="1:96" ht="16.5">
      <c r="A22" s="47" t="s">
        <v>59</v>
      </c>
      <c r="B22" s="36" t="s">
        <v>142</v>
      </c>
      <c r="C22" s="33"/>
      <c r="D22" s="46"/>
      <c r="E22" s="46"/>
      <c r="F22" s="33"/>
      <c r="G22" s="46"/>
      <c r="H22" s="46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</row>
    <row r="23" spans="1:96" ht="16.5">
      <c r="A23" s="47" t="s">
        <v>59</v>
      </c>
      <c r="B23" s="36" t="s">
        <v>143</v>
      </c>
      <c r="C23" s="33"/>
      <c r="D23" s="46"/>
      <c r="E23" s="46"/>
      <c r="F23" s="33"/>
      <c r="G23" s="46"/>
      <c r="H23" s="46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</row>
    <row r="24" spans="1:96" ht="16.5">
      <c r="A24" s="47" t="s">
        <v>59</v>
      </c>
      <c r="B24" s="36" t="s">
        <v>144</v>
      </c>
      <c r="C24" s="33"/>
      <c r="D24" s="46"/>
      <c r="E24" s="46"/>
      <c r="F24" s="33"/>
      <c r="G24" s="46"/>
      <c r="H24" s="46"/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</row>
    <row r="25" spans="1:96" ht="16.5">
      <c r="A25" s="47" t="s">
        <v>59</v>
      </c>
      <c r="B25" s="36" t="s">
        <v>145</v>
      </c>
      <c r="C25" s="33"/>
      <c r="D25" s="46"/>
      <c r="E25" s="46"/>
      <c r="F25" s="33"/>
      <c r="G25" s="46"/>
      <c r="H25" s="46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</row>
    <row r="26" spans="1:96" ht="16.5">
      <c r="A26" s="47" t="s">
        <v>59</v>
      </c>
      <c r="B26" s="36" t="s">
        <v>146</v>
      </c>
      <c r="C26" s="33"/>
      <c r="D26" s="46"/>
      <c r="E26" s="46"/>
      <c r="F26" s="33"/>
      <c r="G26" s="46"/>
      <c r="H26" s="46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</row>
    <row r="27" spans="1:96" ht="16.5">
      <c r="A27" s="47" t="s">
        <v>59</v>
      </c>
      <c r="B27" s="36" t="s">
        <v>147</v>
      </c>
      <c r="C27" s="33"/>
      <c r="D27" s="46"/>
      <c r="E27" s="46"/>
      <c r="F27" s="33"/>
      <c r="G27" s="46"/>
      <c r="H27" s="46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</row>
    <row r="28" spans="1:96" ht="16.5">
      <c r="A28" s="47" t="s">
        <v>59</v>
      </c>
      <c r="B28" s="36" t="s">
        <v>148</v>
      </c>
      <c r="C28" s="33"/>
      <c r="D28" s="46"/>
      <c r="E28" s="46"/>
      <c r="F28" s="33"/>
      <c r="G28" s="46"/>
      <c r="H28" s="46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</row>
    <row r="29" spans="1:96" ht="16.5">
      <c r="A29" s="47" t="s">
        <v>59</v>
      </c>
      <c r="B29" s="36" t="s">
        <v>149</v>
      </c>
      <c r="C29" s="33"/>
      <c r="D29" s="46"/>
      <c r="E29" s="46"/>
      <c r="F29" s="33"/>
      <c r="G29" s="46"/>
      <c r="H29" s="46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</row>
    <row r="30" spans="1:96" ht="16.5">
      <c r="A30" s="47" t="s">
        <v>59</v>
      </c>
      <c r="B30" s="36" t="s">
        <v>150</v>
      </c>
      <c r="C30" s="33"/>
      <c r="D30" s="46"/>
      <c r="E30" s="46"/>
      <c r="F30" s="33"/>
      <c r="G30" s="46"/>
      <c r="H30" s="46"/>
      <c r="I30" s="45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</row>
    <row r="31" spans="1:96" ht="16.5">
      <c r="A31" s="47" t="s">
        <v>59</v>
      </c>
      <c r="B31" s="36" t="s">
        <v>151</v>
      </c>
      <c r="C31" s="33"/>
      <c r="D31" s="46"/>
      <c r="E31" s="46"/>
      <c r="F31" s="33"/>
      <c r="G31" s="46"/>
      <c r="H31" s="46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</row>
    <row r="32" spans="1:96" ht="16.5">
      <c r="A32" s="47" t="s">
        <v>59</v>
      </c>
      <c r="B32" s="36" t="s">
        <v>152</v>
      </c>
      <c r="C32" s="33"/>
      <c r="D32" s="46"/>
      <c r="E32" s="46"/>
      <c r="F32" s="33"/>
      <c r="G32" s="46"/>
      <c r="H32" s="46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</row>
    <row r="33" spans="1:96" ht="16.5">
      <c r="A33" s="47" t="s">
        <v>59</v>
      </c>
      <c r="B33" s="36" t="s">
        <v>153</v>
      </c>
      <c r="C33" s="33"/>
      <c r="D33" s="46"/>
      <c r="E33" s="46"/>
      <c r="F33" s="33"/>
      <c r="G33" s="46"/>
      <c r="H33" s="46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</row>
    <row r="34" spans="1:96" ht="16.5">
      <c r="A34" s="47" t="s">
        <v>59</v>
      </c>
      <c r="B34" s="36" t="s">
        <v>154</v>
      </c>
      <c r="C34" s="33"/>
      <c r="D34" s="46"/>
      <c r="E34" s="46"/>
      <c r="F34" s="33"/>
      <c r="G34" s="46"/>
      <c r="H34" s="46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</row>
    <row r="35" spans="1:96" ht="16.5">
      <c r="A35" s="47" t="s">
        <v>59</v>
      </c>
      <c r="B35" s="36" t="s">
        <v>155</v>
      </c>
      <c r="C35" s="33"/>
      <c r="D35" s="46"/>
      <c r="E35" s="46"/>
      <c r="F35" s="33"/>
      <c r="G35" s="46"/>
      <c r="H35" s="46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</row>
    <row r="36" spans="1:96" ht="16.5">
      <c r="A36" s="47" t="s">
        <v>59</v>
      </c>
      <c r="B36" s="36" t="s">
        <v>156</v>
      </c>
      <c r="C36" s="33"/>
      <c r="D36" s="46"/>
      <c r="E36" s="46"/>
      <c r="F36" s="33"/>
      <c r="G36" s="46"/>
      <c r="H36" s="46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</row>
    <row r="37" spans="1:96" ht="16.5">
      <c r="A37" s="47" t="s">
        <v>59</v>
      </c>
      <c r="B37" s="36" t="s">
        <v>157</v>
      </c>
      <c r="C37" s="33"/>
      <c r="D37" s="46"/>
      <c r="E37" s="46"/>
      <c r="F37" s="33"/>
      <c r="G37" s="46"/>
      <c r="H37" s="46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</row>
    <row r="38" spans="1:96" ht="16.5">
      <c r="A38" s="47" t="s">
        <v>59</v>
      </c>
      <c r="B38" s="36" t="s">
        <v>158</v>
      </c>
      <c r="C38" s="33"/>
      <c r="D38" s="46"/>
      <c r="E38" s="46"/>
      <c r="F38" s="33"/>
      <c r="G38" s="46"/>
      <c r="H38" s="46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</row>
    <row r="39" spans="1:96" ht="16.5">
      <c r="A39" s="47" t="s">
        <v>59</v>
      </c>
      <c r="B39" s="36" t="s">
        <v>159</v>
      </c>
      <c r="C39" s="33"/>
      <c r="D39" s="46"/>
      <c r="E39" s="46"/>
      <c r="F39" s="33"/>
      <c r="G39" s="46"/>
      <c r="H39" s="46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</row>
    <row r="40" spans="1:96" ht="16.5">
      <c r="A40" s="47" t="s">
        <v>59</v>
      </c>
      <c r="B40" s="36" t="s">
        <v>160</v>
      </c>
      <c r="C40" s="33"/>
      <c r="D40" s="46"/>
      <c r="E40" s="46"/>
      <c r="F40" s="33"/>
      <c r="G40" s="46"/>
      <c r="H40" s="46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</row>
    <row r="41" spans="1:96" ht="16.5">
      <c r="A41" s="47" t="s">
        <v>59</v>
      </c>
      <c r="B41" s="36" t="s">
        <v>161</v>
      </c>
      <c r="C41" s="33"/>
      <c r="D41" s="46"/>
      <c r="E41" s="46"/>
      <c r="F41" s="33"/>
      <c r="G41" s="46"/>
      <c r="H41" s="46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</row>
    <row r="42" spans="1:96" ht="16.5">
      <c r="A42" s="47" t="s">
        <v>59</v>
      </c>
      <c r="B42" s="36" t="s">
        <v>162</v>
      </c>
      <c r="C42" s="33"/>
      <c r="D42" s="46"/>
      <c r="E42" s="46"/>
      <c r="F42" s="33"/>
      <c r="G42" s="46"/>
      <c r="H42" s="46"/>
      <c r="I42" s="45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</row>
    <row r="43" spans="1:96" ht="16.5">
      <c r="A43" s="47" t="s">
        <v>59</v>
      </c>
      <c r="B43" s="36" t="s">
        <v>163</v>
      </c>
      <c r="C43" s="33"/>
      <c r="D43" s="46"/>
      <c r="E43" s="46"/>
      <c r="F43" s="33"/>
      <c r="G43" s="46"/>
      <c r="H43" s="46"/>
      <c r="I43" s="45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</row>
    <row r="44" spans="1:96" ht="16.5">
      <c r="A44" s="47" t="s">
        <v>59</v>
      </c>
      <c r="B44" s="36" t="s">
        <v>164</v>
      </c>
      <c r="C44" s="33"/>
      <c r="D44" s="46"/>
      <c r="E44" s="46"/>
      <c r="F44" s="33"/>
      <c r="G44" s="46"/>
      <c r="H44" s="46"/>
      <c r="I44" s="45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</row>
    <row r="45" spans="1:96" ht="16.5">
      <c r="A45" s="47" t="s">
        <v>59</v>
      </c>
      <c r="B45" s="36" t="s">
        <v>165</v>
      </c>
      <c r="C45" s="33"/>
      <c r="D45" s="46"/>
      <c r="E45" s="46"/>
      <c r="F45" s="33"/>
      <c r="G45" s="46"/>
      <c r="H45" s="46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</row>
    <row r="46" spans="1:96" ht="16.5">
      <c r="A46" s="47" t="s">
        <v>59</v>
      </c>
      <c r="B46" s="36" t="s">
        <v>166</v>
      </c>
      <c r="C46" s="33"/>
      <c r="D46" s="46"/>
      <c r="E46" s="46"/>
      <c r="F46" s="33"/>
      <c r="G46" s="46"/>
      <c r="H46" s="46"/>
      <c r="I46" s="45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</row>
    <row r="47" spans="1:96" ht="16.5">
      <c r="A47" s="47" t="s">
        <v>59</v>
      </c>
      <c r="B47" s="36" t="s">
        <v>167</v>
      </c>
      <c r="C47" s="33"/>
      <c r="D47" s="46"/>
      <c r="E47" s="46"/>
      <c r="F47" s="33"/>
      <c r="G47" s="46"/>
      <c r="H47" s="46"/>
      <c r="I47" s="45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</row>
    <row r="48" spans="1:96" ht="16.5">
      <c r="A48" s="47" t="s">
        <v>59</v>
      </c>
      <c r="B48" s="36" t="s">
        <v>168</v>
      </c>
      <c r="C48" s="33"/>
      <c r="D48" s="46"/>
      <c r="E48" s="46"/>
      <c r="F48" s="33"/>
      <c r="G48" s="46"/>
      <c r="H48" s="46"/>
      <c r="I48" s="45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</row>
    <row r="49" spans="1:96" ht="16.5">
      <c r="A49" s="47" t="s">
        <v>59</v>
      </c>
      <c r="B49" s="36" t="s">
        <v>169</v>
      </c>
      <c r="C49" s="33"/>
      <c r="D49" s="46"/>
      <c r="E49" s="46"/>
      <c r="F49" s="33"/>
      <c r="G49" s="46"/>
      <c r="H49" s="46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</row>
    <row r="50" spans="1:96" ht="16.5">
      <c r="A50" s="47" t="s">
        <v>59</v>
      </c>
      <c r="B50" s="36" t="s">
        <v>170</v>
      </c>
      <c r="C50" s="33"/>
      <c r="D50" s="46"/>
      <c r="E50" s="46"/>
      <c r="F50" s="33"/>
      <c r="G50" s="46"/>
      <c r="H50" s="46"/>
      <c r="I50" s="45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</row>
    <row r="51" spans="1:96" ht="16.5">
      <c r="A51" s="47" t="s">
        <v>59</v>
      </c>
      <c r="B51" s="36" t="s">
        <v>171</v>
      </c>
      <c r="C51" s="33"/>
      <c r="D51" s="46"/>
      <c r="E51" s="46"/>
      <c r="F51" s="33"/>
      <c r="G51" s="46"/>
      <c r="H51" s="46"/>
      <c r="I51" s="45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</row>
    <row r="52" spans="1:96" ht="16.5">
      <c r="A52" s="47" t="s">
        <v>59</v>
      </c>
      <c r="B52" s="36" t="s">
        <v>172</v>
      </c>
      <c r="C52" s="33"/>
      <c r="D52" s="46"/>
      <c r="E52" s="46"/>
      <c r="F52" s="33"/>
      <c r="G52" s="46"/>
      <c r="H52" s="46"/>
      <c r="I52" s="45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</row>
    <row r="53" spans="1:96" ht="16.5">
      <c r="A53" s="47" t="s">
        <v>59</v>
      </c>
      <c r="B53" s="36" t="s">
        <v>173</v>
      </c>
      <c r="C53" s="33"/>
      <c r="D53" s="46"/>
      <c r="E53" s="46"/>
      <c r="F53" s="33"/>
      <c r="G53" s="46"/>
      <c r="H53" s="46"/>
      <c r="I53" s="45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</row>
    <row r="54" spans="1:96" ht="16.5">
      <c r="A54" s="47" t="s">
        <v>59</v>
      </c>
      <c r="B54" s="36" t="s">
        <v>174</v>
      </c>
      <c r="C54" s="33"/>
      <c r="D54" s="46"/>
      <c r="E54" s="46"/>
      <c r="F54" s="33"/>
      <c r="G54" s="46"/>
      <c r="H54" s="46"/>
      <c r="I54" s="45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</row>
    <row r="55" spans="1:96" ht="16.5">
      <c r="A55" s="46"/>
      <c r="B55" s="46"/>
      <c r="C55" s="33"/>
      <c r="D55" s="46"/>
      <c r="E55" s="46"/>
      <c r="F55" s="33"/>
      <c r="G55" s="46"/>
      <c r="H55" s="46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</row>
    <row r="56" spans="1:96" ht="16.5">
      <c r="A56" s="46"/>
      <c r="B56" s="46"/>
      <c r="C56" s="33"/>
      <c r="D56" s="46"/>
      <c r="E56" s="46"/>
      <c r="F56" s="33"/>
      <c r="G56" s="46"/>
      <c r="H56" s="46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</row>
    <row r="57" spans="1:96" ht="16.5">
      <c r="A57" s="46"/>
      <c r="B57" s="46"/>
      <c r="C57" s="33"/>
      <c r="D57" s="46"/>
      <c r="E57" s="46"/>
      <c r="F57" s="33"/>
      <c r="G57" s="46"/>
      <c r="H57" s="46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</row>
    <row r="58" spans="1:96" ht="16.5">
      <c r="A58" s="46"/>
      <c r="B58" s="46"/>
      <c r="C58" s="33"/>
      <c r="D58" s="46"/>
      <c r="E58" s="46"/>
      <c r="F58" s="33"/>
      <c r="G58" s="46"/>
      <c r="H58" s="46"/>
      <c r="I58" s="45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</row>
    <row r="59" spans="1:96" ht="16.5">
      <c r="A59" s="46"/>
      <c r="B59" s="46"/>
      <c r="C59" s="33"/>
      <c r="D59" s="46"/>
      <c r="E59" s="46"/>
      <c r="F59" s="33"/>
      <c r="G59" s="46"/>
      <c r="H59" s="46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</row>
    <row r="60" spans="1:96" ht="16.5">
      <c r="A60" s="46"/>
      <c r="B60" s="46"/>
      <c r="C60" s="33"/>
      <c r="D60" s="46"/>
      <c r="E60" s="46"/>
      <c r="F60" s="33"/>
      <c r="G60" s="46"/>
      <c r="H60" s="46"/>
      <c r="I60" s="45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</row>
    <row r="61" spans="1:96" ht="16.5">
      <c r="A61" s="46"/>
      <c r="B61" s="46"/>
      <c r="C61" s="33"/>
      <c r="D61" s="46"/>
      <c r="E61" s="46"/>
      <c r="F61" s="33"/>
      <c r="G61" s="46"/>
      <c r="H61" s="46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</row>
    <row r="62" spans="1:96" ht="16.5">
      <c r="A62" s="46"/>
      <c r="B62" s="46"/>
      <c r="C62" s="33"/>
      <c r="D62" s="46"/>
      <c r="E62" s="46"/>
      <c r="F62" s="33"/>
      <c r="G62" s="46"/>
      <c r="H62" s="46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</row>
    <row r="63" spans="1:96" ht="16.5">
      <c r="A63" s="46"/>
      <c r="B63" s="46"/>
      <c r="C63" s="33"/>
      <c r="D63" s="46"/>
      <c r="E63" s="46"/>
      <c r="F63" s="33"/>
      <c r="G63" s="46"/>
      <c r="H63" s="46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</row>
    <row r="64" spans="1:96" ht="16.5">
      <c r="A64" s="46"/>
      <c r="B64" s="46"/>
      <c r="C64" s="33"/>
      <c r="D64" s="46"/>
      <c r="E64" s="46"/>
      <c r="F64" s="33"/>
      <c r="G64" s="46"/>
      <c r="H64" s="46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</row>
    <row r="65" spans="1:96" ht="16.5">
      <c r="A65" s="46"/>
      <c r="B65" s="46"/>
      <c r="C65" s="33"/>
      <c r="D65" s="46"/>
      <c r="E65" s="46"/>
      <c r="F65" s="33"/>
      <c r="G65" s="46"/>
      <c r="H65" s="46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</row>
    <row r="66" spans="1:96" ht="16.5">
      <c r="A66" s="46"/>
      <c r="B66" s="46"/>
      <c r="C66" s="33"/>
      <c r="D66" s="46"/>
      <c r="E66" s="46"/>
      <c r="F66" s="33"/>
      <c r="G66" s="46"/>
      <c r="H66" s="46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</row>
    <row r="67" spans="1:96" ht="16.5">
      <c r="A67" s="46"/>
      <c r="B67" s="46"/>
      <c r="C67" s="33"/>
      <c r="D67" s="46"/>
      <c r="E67" s="46"/>
      <c r="F67" s="33"/>
      <c r="G67" s="46"/>
      <c r="H67" s="46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</row>
    <row r="68" spans="1:96" ht="16.5">
      <c r="A68" s="46"/>
      <c r="B68" s="46"/>
      <c r="C68" s="33"/>
      <c r="D68" s="46"/>
      <c r="E68" s="46"/>
      <c r="F68" s="33"/>
      <c r="G68" s="46"/>
      <c r="H68" s="46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</row>
    <row r="69" spans="1:96" ht="16.5">
      <c r="A69" s="46"/>
      <c r="B69" s="46"/>
      <c r="C69" s="33"/>
      <c r="D69" s="46"/>
      <c r="E69" s="46"/>
      <c r="F69" s="33"/>
      <c r="G69" s="46"/>
      <c r="H69" s="46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</row>
    <row r="70" spans="1:96" ht="16.5">
      <c r="A70" s="46"/>
      <c r="B70" s="46"/>
      <c r="C70" s="33"/>
      <c r="D70" s="46"/>
      <c r="E70" s="46"/>
      <c r="F70" s="33"/>
      <c r="G70" s="46"/>
      <c r="H70" s="46"/>
      <c r="I70" s="45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</row>
    <row r="71" spans="1:96" ht="16.5">
      <c r="A71" s="46"/>
      <c r="B71" s="46"/>
      <c r="C71" s="33"/>
      <c r="D71" s="46"/>
      <c r="E71" s="46"/>
      <c r="F71" s="33"/>
      <c r="G71" s="46"/>
      <c r="H71" s="46"/>
      <c r="I71" s="45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</row>
    <row r="72" spans="1:96" ht="16.5">
      <c r="A72" s="46"/>
      <c r="B72" s="46"/>
      <c r="C72" s="33"/>
      <c r="D72" s="46"/>
      <c r="E72" s="46"/>
      <c r="F72" s="33"/>
      <c r="G72" s="46"/>
      <c r="H72" s="46"/>
      <c r="I72" s="45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</row>
    <row r="73" spans="1:96" ht="16.5">
      <c r="A73" s="46"/>
      <c r="B73" s="46"/>
      <c r="C73" s="33"/>
      <c r="D73" s="46"/>
      <c r="E73" s="46"/>
      <c r="F73" s="33"/>
      <c r="G73" s="46"/>
      <c r="H73" s="46"/>
      <c r="I73" s="45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</row>
    <row r="74" spans="1:96" ht="16.5">
      <c r="A74" s="46"/>
      <c r="B74" s="46"/>
      <c r="C74" s="33"/>
      <c r="D74" s="46"/>
      <c r="E74" s="46"/>
      <c r="F74" s="33"/>
      <c r="G74" s="46"/>
      <c r="H74" s="46"/>
      <c r="I74" s="45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</row>
    <row r="75" spans="1:96" ht="16.5">
      <c r="A75" s="46"/>
      <c r="B75" s="46"/>
      <c r="C75" s="33"/>
      <c r="D75" s="46"/>
      <c r="E75" s="46"/>
      <c r="F75" s="33"/>
      <c r="G75" s="46"/>
      <c r="H75" s="46"/>
      <c r="I75" s="45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</row>
    <row r="76" spans="1:96" ht="16.5">
      <c r="A76" s="46"/>
      <c r="B76" s="46"/>
      <c r="C76" s="33"/>
      <c r="D76" s="46"/>
      <c r="E76" s="46"/>
      <c r="F76" s="33"/>
      <c r="G76" s="46"/>
      <c r="H76" s="46"/>
      <c r="I76" s="45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</row>
    <row r="77" spans="1:96" ht="16.5">
      <c r="A77" s="46"/>
      <c r="B77" s="46"/>
      <c r="C77" s="33"/>
      <c r="D77" s="46"/>
      <c r="E77" s="46"/>
      <c r="F77" s="33"/>
      <c r="G77" s="46"/>
      <c r="H77" s="46"/>
      <c r="I77" s="45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</row>
    <row r="78" spans="1:96" ht="16.5">
      <c r="A78" s="46"/>
      <c r="B78" s="46"/>
      <c r="C78" s="33"/>
      <c r="D78" s="46"/>
      <c r="E78" s="46"/>
      <c r="F78" s="33"/>
      <c r="G78" s="46"/>
      <c r="H78" s="46"/>
      <c r="I78" s="45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</row>
    <row r="79" spans="1:96" ht="16.5">
      <c r="A79" s="46"/>
      <c r="B79" s="46"/>
      <c r="C79" s="33"/>
      <c r="D79" s="46"/>
      <c r="E79" s="46"/>
      <c r="F79" s="33"/>
      <c r="G79" s="46"/>
      <c r="H79" s="46"/>
      <c r="I79" s="45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</row>
    <row r="80" spans="1:96" ht="16.5">
      <c r="A80" s="46"/>
      <c r="B80" s="46"/>
      <c r="C80" s="33"/>
      <c r="D80" s="46"/>
      <c r="E80" s="46"/>
      <c r="F80" s="33"/>
      <c r="G80" s="46"/>
      <c r="H80" s="46"/>
      <c r="I80" s="45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</row>
    <row r="81" spans="1:96" ht="16.5">
      <c r="A81" s="46"/>
      <c r="B81" s="46"/>
      <c r="C81" s="33"/>
      <c r="D81" s="46"/>
      <c r="E81" s="46"/>
      <c r="F81" s="33"/>
      <c r="G81" s="46"/>
      <c r="H81" s="46"/>
      <c r="I81" s="45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</row>
    <row r="82" spans="1:96" ht="16.5">
      <c r="A82" s="46"/>
      <c r="B82" s="46"/>
      <c r="C82" s="33"/>
      <c r="D82" s="46"/>
      <c r="E82" s="46"/>
      <c r="F82" s="33"/>
      <c r="G82" s="46"/>
      <c r="H82" s="46"/>
      <c r="I82" s="45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</row>
    <row r="83" spans="1:96" ht="16.5">
      <c r="A83" s="46"/>
      <c r="B83" s="46"/>
      <c r="C83" s="33"/>
      <c r="D83" s="46"/>
      <c r="E83" s="46"/>
      <c r="F83" s="33"/>
      <c r="G83" s="46"/>
      <c r="H83" s="46"/>
      <c r="I83" s="45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</row>
    <row r="84" spans="1:96" ht="16.5">
      <c r="A84" s="46"/>
      <c r="B84" s="46"/>
      <c r="C84" s="33"/>
      <c r="D84" s="46"/>
      <c r="E84" s="46"/>
      <c r="F84" s="33"/>
      <c r="G84" s="46"/>
      <c r="H84" s="46"/>
      <c r="I84" s="45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</row>
    <row r="85" spans="1:96" ht="16.5">
      <c r="A85" s="46"/>
      <c r="B85" s="46"/>
      <c r="C85" s="33"/>
      <c r="D85" s="46"/>
      <c r="E85" s="46"/>
      <c r="F85" s="33"/>
      <c r="G85" s="46"/>
      <c r="H85" s="46"/>
      <c r="I85" s="45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</row>
    <row r="86" spans="1:96" ht="16.5">
      <c r="A86" s="46"/>
      <c r="B86" s="46"/>
      <c r="C86" s="33"/>
      <c r="D86" s="46"/>
      <c r="E86" s="46"/>
      <c r="F86" s="33"/>
      <c r="G86" s="46"/>
      <c r="H86" s="46"/>
      <c r="I86" s="45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</row>
    <row r="87" spans="1:96" ht="16.5">
      <c r="A87" s="46"/>
      <c r="B87" s="46"/>
      <c r="C87" s="33"/>
      <c r="D87" s="46"/>
      <c r="E87" s="46"/>
      <c r="F87" s="33"/>
      <c r="G87" s="46"/>
      <c r="H87" s="46"/>
      <c r="I87" s="45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</row>
    <row r="88" spans="1:96" ht="16.5">
      <c r="A88" s="46"/>
      <c r="B88" s="46"/>
      <c r="C88" s="33"/>
      <c r="D88" s="46"/>
      <c r="E88" s="46"/>
      <c r="F88" s="33"/>
      <c r="G88" s="46"/>
      <c r="H88" s="46"/>
      <c r="I88" s="45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</row>
    <row r="89" spans="1:96" ht="16.5">
      <c r="A89" s="46"/>
      <c r="B89" s="46"/>
      <c r="C89" s="33"/>
      <c r="D89" s="46"/>
      <c r="E89" s="46"/>
      <c r="F89" s="33"/>
      <c r="G89" s="46"/>
      <c r="H89" s="46"/>
      <c r="I89" s="45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</row>
    <row r="90" spans="1:96" ht="16.5">
      <c r="A90" s="46"/>
      <c r="B90" s="46"/>
      <c r="C90" s="33"/>
      <c r="D90" s="46"/>
      <c r="E90" s="46"/>
      <c r="F90" s="33"/>
      <c r="G90" s="46"/>
      <c r="H90" s="46"/>
      <c r="I90" s="45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</row>
    <row r="91" spans="1:96" ht="16.5">
      <c r="A91" s="46"/>
      <c r="B91" s="46"/>
      <c r="C91" s="33"/>
      <c r="D91" s="46"/>
      <c r="E91" s="46"/>
      <c r="F91" s="33"/>
      <c r="G91" s="46"/>
      <c r="H91" s="46"/>
      <c r="I91" s="45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</row>
    <row r="92" spans="1:96" ht="16.5">
      <c r="A92" s="46"/>
      <c r="B92" s="46"/>
      <c r="C92" s="33"/>
      <c r="D92" s="46"/>
      <c r="E92" s="46"/>
      <c r="F92" s="33"/>
      <c r="G92" s="46"/>
      <c r="H92" s="46"/>
      <c r="I92" s="45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</row>
    <row r="93" spans="1:96" ht="16.5">
      <c r="A93" s="46"/>
      <c r="B93" s="46"/>
      <c r="C93" s="33"/>
      <c r="D93" s="46"/>
      <c r="E93" s="46"/>
      <c r="F93" s="33"/>
      <c r="G93" s="46"/>
      <c r="H93" s="46"/>
      <c r="I93" s="45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</row>
    <row r="94" spans="1:96" ht="16.5">
      <c r="A94" s="46"/>
      <c r="B94" s="46"/>
      <c r="C94" s="33"/>
      <c r="D94" s="46"/>
      <c r="E94" s="46"/>
      <c r="F94" s="33"/>
      <c r="G94" s="46"/>
      <c r="H94" s="46"/>
      <c r="I94" s="45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</row>
    <row r="95" spans="1:96" ht="16.5">
      <c r="A95" s="46"/>
      <c r="B95" s="46"/>
      <c r="C95" s="33"/>
      <c r="D95" s="46"/>
      <c r="E95" s="46"/>
      <c r="F95" s="33"/>
      <c r="G95" s="46"/>
      <c r="H95" s="46"/>
      <c r="I95" s="45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</row>
    <row r="96" spans="1:96" ht="16.5">
      <c r="A96" s="46"/>
      <c r="B96" s="46"/>
      <c r="C96" s="33"/>
      <c r="D96" s="46"/>
      <c r="E96" s="46"/>
      <c r="F96" s="33"/>
      <c r="G96" s="46"/>
      <c r="H96" s="46"/>
      <c r="I96" s="45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</row>
    <row r="97" spans="1:96" ht="16.5">
      <c r="A97" s="46"/>
      <c r="B97" s="46"/>
      <c r="C97" s="33"/>
      <c r="D97" s="46"/>
      <c r="E97" s="46"/>
      <c r="F97" s="33"/>
      <c r="G97" s="46"/>
      <c r="H97" s="46"/>
      <c r="I97" s="45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</row>
    <row r="98" spans="1:96" ht="16.5">
      <c r="A98" s="46"/>
      <c r="B98" s="46"/>
      <c r="C98" s="33"/>
      <c r="D98" s="46"/>
      <c r="E98" s="46"/>
      <c r="F98" s="33"/>
      <c r="G98" s="46"/>
      <c r="H98" s="46"/>
      <c r="I98" s="45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</row>
    <row r="99" spans="1:96" ht="16.5">
      <c r="A99" s="46"/>
      <c r="B99" s="46"/>
      <c r="C99" s="33"/>
      <c r="D99" s="46"/>
      <c r="E99" s="46"/>
      <c r="F99" s="33"/>
      <c r="G99" s="46"/>
      <c r="H99" s="46"/>
      <c r="I99" s="45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</row>
    <row r="100" spans="1:96" ht="16.5">
      <c r="A100" s="46"/>
      <c r="B100" s="46"/>
      <c r="C100" s="33"/>
      <c r="D100" s="46"/>
      <c r="E100" s="46"/>
      <c r="F100" s="33"/>
      <c r="G100" s="46"/>
      <c r="H100" s="46"/>
      <c r="I100" s="45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</row>
    <row r="101" spans="1:96" ht="16.5">
      <c r="A101" s="46"/>
      <c r="B101" s="46"/>
      <c r="C101" s="33"/>
      <c r="D101" s="46"/>
      <c r="E101" s="46"/>
      <c r="F101" s="33"/>
      <c r="G101" s="46"/>
      <c r="H101" s="46"/>
      <c r="I101" s="45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</row>
    <row r="102" spans="1:96" ht="16.5">
      <c r="A102" s="46"/>
      <c r="B102" s="46"/>
      <c r="C102" s="33"/>
      <c r="D102" s="46"/>
      <c r="E102" s="46"/>
      <c r="F102" s="33"/>
      <c r="G102" s="46"/>
      <c r="H102" s="46"/>
      <c r="I102" s="45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</row>
    <row r="103" spans="1:96" ht="16.5">
      <c r="A103" s="46"/>
      <c r="B103" s="46"/>
      <c r="C103" s="33"/>
      <c r="D103" s="46"/>
      <c r="E103" s="46"/>
      <c r="F103" s="33"/>
      <c r="G103" s="46"/>
      <c r="H103" s="46"/>
      <c r="I103" s="45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</row>
    <row r="104" spans="1:96" ht="16.5">
      <c r="A104" s="46"/>
      <c r="B104" s="46"/>
      <c r="C104" s="33"/>
      <c r="D104" s="46"/>
      <c r="E104" s="46"/>
      <c r="F104" s="33"/>
      <c r="G104" s="46"/>
      <c r="H104" s="46"/>
      <c r="I104" s="45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</row>
    <row r="105" spans="1:96" ht="16.5">
      <c r="A105" s="46"/>
      <c r="B105" s="46"/>
      <c r="C105" s="33"/>
      <c r="D105" s="46"/>
      <c r="E105" s="46"/>
      <c r="F105" s="33"/>
      <c r="G105" s="46"/>
      <c r="H105" s="46"/>
      <c r="I105" s="45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</row>
    <row r="106" spans="1:96" ht="16.5">
      <c r="A106" s="46"/>
      <c r="B106" s="46"/>
      <c r="C106" s="33"/>
      <c r="D106" s="46"/>
      <c r="E106" s="46"/>
      <c r="F106" s="33"/>
      <c r="G106" s="46"/>
      <c r="H106" s="46"/>
      <c r="I106" s="45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</row>
    <row r="107" spans="1:96" ht="16.5">
      <c r="A107" s="46"/>
      <c r="B107" s="46"/>
      <c r="C107" s="33"/>
      <c r="D107" s="46"/>
      <c r="E107" s="46"/>
      <c r="F107" s="33"/>
      <c r="G107" s="46"/>
      <c r="H107" s="46"/>
      <c r="I107" s="45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</row>
    <row r="108" spans="1:96" ht="16.5">
      <c r="A108" s="46"/>
      <c r="B108" s="46"/>
      <c r="C108" s="33"/>
      <c r="D108" s="46"/>
      <c r="E108" s="46"/>
      <c r="F108" s="33"/>
      <c r="G108" s="46"/>
      <c r="H108" s="46"/>
      <c r="I108" s="45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</row>
    <row r="109" spans="1:96" ht="16.5">
      <c r="A109" s="46"/>
      <c r="B109" s="46"/>
      <c r="C109" s="33"/>
      <c r="D109" s="46"/>
      <c r="E109" s="46"/>
      <c r="F109" s="33"/>
      <c r="G109" s="46"/>
      <c r="H109" s="46"/>
      <c r="I109" s="45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</row>
    <row r="110" spans="1:96" ht="16.5">
      <c r="A110" s="46"/>
      <c r="B110" s="46"/>
      <c r="C110" s="33"/>
      <c r="D110" s="46"/>
      <c r="E110" s="46"/>
      <c r="F110" s="33"/>
      <c r="G110" s="46"/>
      <c r="H110" s="46"/>
      <c r="I110" s="45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</row>
    <row r="111" spans="1:96" ht="16.5">
      <c r="A111" s="46"/>
      <c r="B111" s="46"/>
      <c r="C111" s="33"/>
      <c r="D111" s="46"/>
      <c r="E111" s="46"/>
      <c r="F111" s="33"/>
      <c r="G111" s="46"/>
      <c r="H111" s="46"/>
      <c r="I111" s="45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</row>
    <row r="112" spans="1:96" ht="16.5">
      <c r="A112" s="46"/>
      <c r="B112" s="46"/>
      <c r="C112" s="33"/>
      <c r="D112" s="46"/>
      <c r="E112" s="46"/>
      <c r="F112" s="33"/>
      <c r="G112" s="46"/>
      <c r="H112" s="46"/>
      <c r="I112" s="45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</row>
    <row r="113" spans="1:96" ht="16.5">
      <c r="A113" s="46"/>
      <c r="B113" s="46"/>
      <c r="C113" s="33"/>
      <c r="D113" s="46"/>
      <c r="E113" s="46"/>
      <c r="F113" s="33"/>
      <c r="G113" s="46"/>
      <c r="H113" s="46"/>
      <c r="I113" s="4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</row>
    <row r="114" spans="1:96" ht="16.5">
      <c r="A114" s="46"/>
      <c r="B114" s="46"/>
      <c r="C114" s="33"/>
      <c r="D114" s="46"/>
      <c r="E114" s="46"/>
      <c r="F114" s="33"/>
      <c r="G114" s="46"/>
      <c r="H114" s="46"/>
      <c r="I114" s="45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</row>
    <row r="115" spans="1:96" ht="16.5">
      <c r="A115" s="46"/>
      <c r="B115" s="46"/>
      <c r="C115" s="33"/>
      <c r="D115" s="46"/>
      <c r="E115" s="46"/>
      <c r="F115" s="33"/>
      <c r="G115" s="46"/>
      <c r="H115" s="46"/>
      <c r="I115" s="45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</row>
    <row r="116" spans="1:96" ht="16.5">
      <c r="A116" s="46"/>
      <c r="B116" s="46"/>
      <c r="C116" s="33"/>
      <c r="D116" s="46"/>
      <c r="E116" s="46"/>
      <c r="F116" s="33"/>
      <c r="G116" s="46"/>
      <c r="H116" s="46"/>
      <c r="I116" s="45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</row>
    <row r="117" spans="1:96" ht="16.5">
      <c r="A117" s="46"/>
      <c r="B117" s="46"/>
      <c r="C117" s="33"/>
      <c r="D117" s="46"/>
      <c r="E117" s="46"/>
      <c r="F117" s="33"/>
      <c r="G117" s="46"/>
      <c r="H117" s="46"/>
      <c r="I117" s="45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/>
      <c r="CQ117" s="46"/>
      <c r="CR117" s="46"/>
    </row>
    <row r="118" spans="1:96" ht="16.5">
      <c r="A118" s="46"/>
      <c r="B118" s="46"/>
      <c r="C118" s="33"/>
      <c r="D118" s="46"/>
      <c r="E118" s="46"/>
      <c r="F118" s="33"/>
      <c r="G118" s="46"/>
      <c r="H118" s="46"/>
      <c r="I118" s="45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</row>
    <row r="119" spans="1:96" ht="16.5">
      <c r="A119" s="46"/>
      <c r="B119" s="46"/>
      <c r="C119" s="33"/>
      <c r="D119" s="46"/>
      <c r="E119" s="46"/>
      <c r="F119" s="33"/>
      <c r="G119" s="46"/>
      <c r="H119" s="46"/>
      <c r="I119" s="45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  <c r="CK119" s="46"/>
      <c r="CL119" s="46"/>
      <c r="CM119" s="46"/>
      <c r="CN119" s="46"/>
      <c r="CO119" s="46"/>
      <c r="CP119" s="46"/>
      <c r="CQ119" s="46"/>
      <c r="CR119" s="46"/>
    </row>
    <row r="120" spans="1:96" ht="16.5">
      <c r="A120" s="46"/>
      <c r="B120" s="46"/>
      <c r="C120" s="33"/>
      <c r="D120" s="46"/>
      <c r="E120" s="46"/>
      <c r="F120" s="33"/>
      <c r="G120" s="46"/>
      <c r="H120" s="46"/>
      <c r="I120" s="45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  <c r="CK120" s="46"/>
      <c r="CL120" s="46"/>
      <c r="CM120" s="46"/>
      <c r="CN120" s="46"/>
      <c r="CO120" s="46"/>
      <c r="CP120" s="46"/>
      <c r="CQ120" s="46"/>
      <c r="CR120" s="46"/>
    </row>
    <row r="121" spans="1:96" ht="16.5">
      <c r="A121" s="46"/>
      <c r="B121" s="46"/>
      <c r="C121" s="33"/>
      <c r="D121" s="46"/>
      <c r="E121" s="46"/>
      <c r="F121" s="33"/>
      <c r="G121" s="46"/>
      <c r="H121" s="46"/>
      <c r="I121" s="45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  <c r="CK121" s="46"/>
      <c r="CL121" s="46"/>
      <c r="CM121" s="46"/>
      <c r="CN121" s="46"/>
      <c r="CO121" s="46"/>
      <c r="CP121" s="46"/>
      <c r="CQ121" s="46"/>
      <c r="CR121" s="46"/>
    </row>
    <row r="122" spans="1:96" ht="16.5">
      <c r="A122" s="46"/>
      <c r="B122" s="46"/>
      <c r="C122" s="33"/>
      <c r="D122" s="46"/>
      <c r="E122" s="46"/>
      <c r="F122" s="33"/>
      <c r="G122" s="46"/>
      <c r="H122" s="46"/>
      <c r="I122" s="45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</row>
    <row r="123" spans="1:96" ht="16.5">
      <c r="A123" s="46"/>
      <c r="B123" s="46"/>
      <c r="C123" s="33"/>
      <c r="D123" s="46"/>
      <c r="E123" s="46"/>
      <c r="F123" s="33"/>
      <c r="G123" s="46"/>
      <c r="H123" s="46"/>
      <c r="I123" s="45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  <c r="CP123" s="46"/>
      <c r="CQ123" s="46"/>
      <c r="CR123" s="46"/>
    </row>
    <row r="124" spans="1:96" ht="16.5">
      <c r="A124" s="46"/>
      <c r="B124" s="46"/>
      <c r="C124" s="33"/>
      <c r="D124" s="46"/>
      <c r="E124" s="46"/>
      <c r="F124" s="33"/>
      <c r="G124" s="46"/>
      <c r="H124" s="46"/>
      <c r="I124" s="45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</row>
    <row r="125" spans="1:96" ht="16.5">
      <c r="A125" s="46"/>
      <c r="B125" s="46"/>
      <c r="C125" s="33"/>
      <c r="D125" s="46"/>
      <c r="E125" s="46"/>
      <c r="F125" s="33"/>
      <c r="G125" s="46"/>
      <c r="H125" s="46"/>
      <c r="I125" s="45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</row>
    <row r="126" spans="1:96" ht="16.5">
      <c r="A126" s="46"/>
      <c r="B126" s="46"/>
      <c r="C126" s="33"/>
      <c r="D126" s="46"/>
      <c r="E126" s="46"/>
      <c r="F126" s="33"/>
      <c r="G126" s="46"/>
      <c r="H126" s="46"/>
      <c r="I126" s="45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</row>
    <row r="127" spans="1:96" ht="16.5">
      <c r="A127" s="46"/>
      <c r="B127" s="46"/>
      <c r="C127" s="33"/>
      <c r="D127" s="46"/>
      <c r="E127" s="46"/>
      <c r="F127" s="33"/>
      <c r="G127" s="46"/>
      <c r="H127" s="46"/>
      <c r="I127" s="45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</row>
    <row r="128" spans="1:96" ht="16.5">
      <c r="A128" s="46"/>
      <c r="B128" s="46"/>
      <c r="C128" s="33"/>
      <c r="D128" s="46"/>
      <c r="E128" s="46"/>
      <c r="F128" s="33"/>
      <c r="G128" s="46"/>
      <c r="H128" s="46"/>
      <c r="I128" s="45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</row>
    <row r="129" spans="1:96" ht="16.5">
      <c r="A129" s="46"/>
      <c r="B129" s="46"/>
      <c r="C129" s="33"/>
      <c r="D129" s="46"/>
      <c r="E129" s="46"/>
      <c r="F129" s="33"/>
      <c r="G129" s="46"/>
      <c r="H129" s="46"/>
      <c r="I129" s="45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</row>
    <row r="130" spans="1:96" ht="16.5">
      <c r="A130" s="46"/>
      <c r="B130" s="46"/>
      <c r="C130" s="33"/>
      <c r="D130" s="46"/>
      <c r="E130" s="46"/>
      <c r="F130" s="33"/>
      <c r="G130" s="46"/>
      <c r="H130" s="46"/>
      <c r="I130" s="45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</row>
    <row r="131" spans="1:96" ht="16.5">
      <c r="A131" s="46"/>
      <c r="B131" s="46"/>
      <c r="C131" s="33"/>
      <c r="D131" s="46"/>
      <c r="E131" s="46"/>
      <c r="F131" s="33"/>
      <c r="G131" s="46"/>
      <c r="H131" s="46"/>
      <c r="I131" s="45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</row>
    <row r="132" spans="1:96" ht="16.5">
      <c r="A132" s="46"/>
      <c r="B132" s="46"/>
      <c r="C132" s="33"/>
      <c r="D132" s="46"/>
      <c r="E132" s="46"/>
      <c r="F132" s="33"/>
      <c r="G132" s="46"/>
      <c r="H132" s="46"/>
      <c r="I132" s="45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</row>
    <row r="133" spans="1:96" ht="16.5">
      <c r="A133" s="46"/>
      <c r="B133" s="46"/>
      <c r="C133" s="33"/>
      <c r="D133" s="46"/>
      <c r="E133" s="46"/>
      <c r="F133" s="33"/>
      <c r="G133" s="46"/>
      <c r="H133" s="46"/>
      <c r="I133" s="45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</row>
    <row r="134" spans="1:96" ht="16.5">
      <c r="A134" s="46"/>
      <c r="B134" s="46"/>
      <c r="C134" s="33"/>
      <c r="D134" s="46"/>
      <c r="E134" s="46"/>
      <c r="F134" s="33"/>
      <c r="G134" s="46"/>
      <c r="H134" s="46"/>
      <c r="I134" s="45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</row>
    <row r="135" spans="1:96" ht="16.5">
      <c r="A135" s="46"/>
      <c r="B135" s="46"/>
      <c r="C135" s="33"/>
      <c r="D135" s="46"/>
      <c r="E135" s="46"/>
      <c r="F135" s="33"/>
      <c r="G135" s="46"/>
      <c r="H135" s="46"/>
      <c r="I135" s="45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</row>
    <row r="136" spans="1:96" ht="16.5">
      <c r="A136" s="46"/>
      <c r="B136" s="46"/>
      <c r="C136" s="33"/>
      <c r="D136" s="46"/>
      <c r="E136" s="46"/>
      <c r="F136" s="33"/>
      <c r="G136" s="46"/>
      <c r="H136" s="46"/>
      <c r="I136" s="45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</row>
    <row r="137" spans="1:96" ht="16.5">
      <c r="A137" s="46"/>
      <c r="B137" s="46"/>
      <c r="C137" s="33"/>
      <c r="D137" s="46"/>
      <c r="E137" s="46"/>
      <c r="F137" s="33"/>
      <c r="G137" s="46"/>
      <c r="H137" s="46"/>
      <c r="I137" s="45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</row>
    <row r="138" spans="1:96" ht="16.5">
      <c r="A138" s="46"/>
      <c r="B138" s="46"/>
      <c r="C138" s="33"/>
      <c r="D138" s="46"/>
      <c r="E138" s="46"/>
      <c r="F138" s="33"/>
      <c r="G138" s="46"/>
      <c r="H138" s="46"/>
      <c r="I138" s="45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</row>
    <row r="139" spans="1:96" ht="16.5">
      <c r="A139" s="46"/>
      <c r="B139" s="46"/>
      <c r="C139" s="33"/>
      <c r="D139" s="46"/>
      <c r="E139" s="46"/>
      <c r="F139" s="33"/>
      <c r="G139" s="46"/>
      <c r="H139" s="46"/>
      <c r="I139" s="45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</row>
    <row r="140" spans="1:96" ht="16.5">
      <c r="A140" s="46"/>
      <c r="B140" s="46"/>
      <c r="C140" s="33"/>
      <c r="D140" s="46"/>
      <c r="E140" s="46"/>
      <c r="F140" s="33"/>
      <c r="G140" s="46"/>
      <c r="H140" s="46"/>
      <c r="I140" s="45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  <c r="CK140" s="46"/>
      <c r="CL140" s="46"/>
      <c r="CM140" s="46"/>
      <c r="CN140" s="46"/>
      <c r="CO140" s="46"/>
      <c r="CP140" s="46"/>
      <c r="CQ140" s="46"/>
      <c r="CR140" s="46"/>
    </row>
    <row r="141" spans="1:96" ht="16.5">
      <c r="A141" s="46"/>
      <c r="B141" s="46"/>
      <c r="C141" s="33"/>
      <c r="D141" s="46"/>
      <c r="E141" s="46"/>
      <c r="F141" s="33"/>
      <c r="G141" s="46"/>
      <c r="H141" s="46"/>
      <c r="I141" s="45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  <c r="CK141" s="46"/>
      <c r="CL141" s="46"/>
      <c r="CM141" s="46"/>
      <c r="CN141" s="46"/>
      <c r="CO141" s="46"/>
      <c r="CP141" s="46"/>
      <c r="CQ141" s="46"/>
      <c r="CR141" s="46"/>
    </row>
    <row r="142" spans="1:96" ht="16.5">
      <c r="A142" s="46"/>
      <c r="B142" s="46"/>
      <c r="C142" s="33"/>
      <c r="D142" s="46"/>
      <c r="E142" s="46"/>
      <c r="F142" s="33"/>
      <c r="G142" s="46"/>
      <c r="H142" s="46"/>
      <c r="I142" s="45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  <c r="CK142" s="46"/>
      <c r="CL142" s="46"/>
      <c r="CM142" s="46"/>
      <c r="CN142" s="46"/>
      <c r="CO142" s="46"/>
      <c r="CP142" s="46"/>
      <c r="CQ142" s="46"/>
      <c r="CR142" s="46"/>
    </row>
    <row r="143" spans="1:96" ht="16.5">
      <c r="A143" s="46"/>
      <c r="B143" s="46"/>
      <c r="C143" s="33"/>
      <c r="D143" s="46"/>
      <c r="E143" s="46"/>
      <c r="F143" s="33"/>
      <c r="G143" s="46"/>
      <c r="H143" s="46"/>
      <c r="I143" s="45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  <c r="CK143" s="46"/>
      <c r="CL143" s="46"/>
      <c r="CM143" s="46"/>
      <c r="CN143" s="46"/>
      <c r="CO143" s="46"/>
      <c r="CP143" s="46"/>
      <c r="CQ143" s="46"/>
      <c r="CR143" s="46"/>
    </row>
    <row r="144" spans="1:96" ht="16.5">
      <c r="A144" s="46"/>
      <c r="B144" s="46"/>
      <c r="C144" s="33"/>
      <c r="D144" s="46"/>
      <c r="E144" s="46"/>
      <c r="F144" s="33"/>
      <c r="G144" s="46"/>
      <c r="H144" s="46"/>
      <c r="I144" s="45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  <c r="CK144" s="46"/>
      <c r="CL144" s="46"/>
      <c r="CM144" s="46"/>
      <c r="CN144" s="46"/>
      <c r="CO144" s="46"/>
      <c r="CP144" s="46"/>
      <c r="CQ144" s="46"/>
      <c r="CR144" s="46"/>
    </row>
    <row r="145" spans="1:96" ht="16.5">
      <c r="A145" s="46"/>
      <c r="B145" s="46"/>
      <c r="C145" s="33"/>
      <c r="D145" s="46"/>
      <c r="E145" s="46"/>
      <c r="F145" s="33"/>
      <c r="G145" s="46"/>
      <c r="H145" s="46"/>
      <c r="I145" s="45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/>
      <c r="CL145" s="46"/>
      <c r="CM145" s="46"/>
      <c r="CN145" s="46"/>
      <c r="CO145" s="46"/>
      <c r="CP145" s="46"/>
      <c r="CQ145" s="46"/>
      <c r="CR145" s="46"/>
    </row>
    <row r="146" spans="1:96" ht="16.5">
      <c r="A146" s="46"/>
      <c r="B146" s="46"/>
      <c r="C146" s="33"/>
      <c r="D146" s="46"/>
      <c r="E146" s="46"/>
      <c r="F146" s="33"/>
      <c r="G146" s="46"/>
      <c r="H146" s="46"/>
      <c r="I146" s="45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</row>
    <row r="147" spans="1:96" ht="16.5">
      <c r="A147" s="46"/>
      <c r="B147" s="46"/>
      <c r="C147" s="33"/>
      <c r="D147" s="46"/>
      <c r="E147" s="46"/>
      <c r="F147" s="33"/>
      <c r="G147" s="46"/>
      <c r="H147" s="46"/>
      <c r="I147" s="45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  <c r="CM147" s="46"/>
      <c r="CN147" s="46"/>
      <c r="CO147" s="46"/>
      <c r="CP147" s="46"/>
      <c r="CQ147" s="46"/>
      <c r="CR147" s="46"/>
    </row>
    <row r="148" spans="1:96" ht="16.5">
      <c r="A148" s="46"/>
      <c r="B148" s="46"/>
      <c r="C148" s="33"/>
      <c r="D148" s="46"/>
      <c r="E148" s="46"/>
      <c r="F148" s="33"/>
      <c r="G148" s="46"/>
      <c r="H148" s="46"/>
      <c r="I148" s="45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</row>
    <row r="149" spans="1:96" ht="16.5">
      <c r="A149" s="46"/>
      <c r="B149" s="46"/>
      <c r="C149" s="33"/>
      <c r="D149" s="46"/>
      <c r="E149" s="46"/>
      <c r="F149" s="33"/>
      <c r="G149" s="46"/>
      <c r="H149" s="46"/>
      <c r="I149" s="45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</row>
    <row r="150" spans="1:96" ht="16.5">
      <c r="A150" s="46"/>
      <c r="B150" s="46"/>
      <c r="C150" s="33"/>
      <c r="D150" s="46"/>
      <c r="E150" s="46"/>
      <c r="F150" s="33"/>
      <c r="G150" s="46"/>
      <c r="H150" s="46"/>
      <c r="I150" s="45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6"/>
    </row>
    <row r="151" spans="1:96" ht="16.5">
      <c r="A151" s="46"/>
      <c r="B151" s="46"/>
      <c r="C151" s="33"/>
      <c r="D151" s="46"/>
      <c r="E151" s="46"/>
      <c r="F151" s="33"/>
      <c r="G151" s="46"/>
      <c r="H151" s="46"/>
      <c r="I151" s="45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  <c r="CM151" s="46"/>
      <c r="CN151" s="46"/>
      <c r="CO151" s="46"/>
      <c r="CP151" s="46"/>
      <c r="CQ151" s="46"/>
      <c r="CR151" s="46"/>
    </row>
    <row r="152" spans="1:96" ht="16.5">
      <c r="A152" s="46"/>
      <c r="B152" s="46"/>
      <c r="C152" s="33"/>
      <c r="D152" s="46"/>
      <c r="E152" s="46"/>
      <c r="F152" s="33"/>
      <c r="G152" s="46"/>
      <c r="H152" s="46"/>
      <c r="I152" s="45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</row>
    <row r="153" spans="1:96" ht="16.5">
      <c r="A153" s="46"/>
      <c r="B153" s="46"/>
      <c r="C153" s="33"/>
      <c r="D153" s="46"/>
      <c r="E153" s="46"/>
      <c r="F153" s="33"/>
      <c r="G153" s="46"/>
      <c r="H153" s="46"/>
      <c r="I153" s="45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  <c r="CK153" s="46"/>
      <c r="CL153" s="46"/>
      <c r="CM153" s="46"/>
      <c r="CN153" s="46"/>
      <c r="CO153" s="46"/>
      <c r="CP153" s="46"/>
      <c r="CQ153" s="46"/>
      <c r="CR153" s="46"/>
    </row>
    <row r="154" spans="1:96" ht="16.5">
      <c r="A154" s="46"/>
      <c r="B154" s="46"/>
      <c r="C154" s="33"/>
      <c r="D154" s="46"/>
      <c r="E154" s="46"/>
      <c r="F154" s="33"/>
      <c r="G154" s="46"/>
      <c r="H154" s="46"/>
      <c r="I154" s="45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/>
      <c r="CL154" s="46"/>
      <c r="CM154" s="46"/>
      <c r="CN154" s="46"/>
      <c r="CO154" s="46"/>
      <c r="CP154" s="46"/>
      <c r="CQ154" s="46"/>
      <c r="CR154" s="46"/>
    </row>
    <row r="155" spans="1:96" ht="16.5">
      <c r="A155" s="46"/>
      <c r="B155" s="46"/>
      <c r="C155" s="33"/>
      <c r="D155" s="46"/>
      <c r="E155" s="46"/>
      <c r="F155" s="33"/>
      <c r="G155" s="46"/>
      <c r="H155" s="46"/>
      <c r="I155" s="45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</row>
    <row r="156" spans="1:96" ht="16.5">
      <c r="A156" s="46"/>
      <c r="B156" s="46"/>
      <c r="C156" s="33"/>
      <c r="D156" s="46"/>
      <c r="E156" s="46"/>
      <c r="F156" s="33"/>
      <c r="G156" s="46"/>
      <c r="H156" s="46"/>
      <c r="I156" s="45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  <c r="CM156" s="46"/>
      <c r="CN156" s="46"/>
      <c r="CO156" s="46"/>
      <c r="CP156" s="46"/>
      <c r="CQ156" s="46"/>
      <c r="CR156" s="46"/>
    </row>
    <row r="157" spans="1:96" ht="16.5">
      <c r="A157" s="46"/>
      <c r="B157" s="46"/>
      <c r="C157" s="33"/>
      <c r="D157" s="46"/>
      <c r="E157" s="46"/>
      <c r="F157" s="33"/>
      <c r="G157" s="46"/>
      <c r="H157" s="46"/>
      <c r="I157" s="45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  <c r="CK157" s="46"/>
      <c r="CL157" s="46"/>
      <c r="CM157" s="46"/>
      <c r="CN157" s="46"/>
      <c r="CO157" s="46"/>
      <c r="CP157" s="46"/>
      <c r="CQ157" s="46"/>
      <c r="CR157" s="46"/>
    </row>
    <row r="158" spans="1:96" ht="16.5">
      <c r="A158" s="46"/>
      <c r="B158" s="46"/>
      <c r="C158" s="33"/>
      <c r="D158" s="46"/>
      <c r="E158" s="46"/>
      <c r="F158" s="33"/>
      <c r="G158" s="46"/>
      <c r="H158" s="46"/>
      <c r="I158" s="45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  <c r="CM158" s="46"/>
      <c r="CN158" s="46"/>
      <c r="CO158" s="46"/>
      <c r="CP158" s="46"/>
      <c r="CQ158" s="46"/>
      <c r="CR158" s="46"/>
    </row>
    <row r="159" spans="1:96" ht="16.5">
      <c r="A159" s="46"/>
      <c r="B159" s="46"/>
      <c r="C159" s="33"/>
      <c r="D159" s="46"/>
      <c r="E159" s="46"/>
      <c r="F159" s="33"/>
      <c r="G159" s="46"/>
      <c r="H159" s="46"/>
      <c r="I159" s="45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  <c r="CM159" s="46"/>
      <c r="CN159" s="46"/>
      <c r="CO159" s="46"/>
      <c r="CP159" s="46"/>
      <c r="CQ159" s="46"/>
      <c r="CR159" s="46"/>
    </row>
    <row r="160" spans="1:96" ht="16.5">
      <c r="A160" s="46"/>
      <c r="B160" s="46"/>
      <c r="C160" s="33"/>
      <c r="D160" s="46"/>
      <c r="E160" s="46"/>
      <c r="F160" s="33"/>
      <c r="G160" s="46"/>
      <c r="H160" s="46"/>
      <c r="I160" s="45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  <c r="CK160" s="46"/>
      <c r="CL160" s="46"/>
      <c r="CM160" s="46"/>
      <c r="CN160" s="46"/>
      <c r="CO160" s="46"/>
      <c r="CP160" s="46"/>
      <c r="CQ160" s="46"/>
      <c r="CR160" s="46"/>
    </row>
    <row r="161" spans="1:96" ht="16.5">
      <c r="A161" s="46"/>
      <c r="B161" s="46"/>
      <c r="C161" s="33"/>
      <c r="D161" s="46"/>
      <c r="E161" s="46"/>
      <c r="F161" s="33"/>
      <c r="G161" s="46"/>
      <c r="H161" s="46"/>
      <c r="I161" s="45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</row>
    <row r="162" spans="1:96" ht="16.5">
      <c r="A162" s="46"/>
      <c r="B162" s="46"/>
      <c r="C162" s="33"/>
      <c r="D162" s="46"/>
      <c r="E162" s="46"/>
      <c r="F162" s="33"/>
      <c r="G162" s="46"/>
      <c r="H162" s="46"/>
      <c r="I162" s="45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/>
      <c r="CL162" s="46"/>
      <c r="CM162" s="46"/>
      <c r="CN162" s="46"/>
      <c r="CO162" s="46"/>
      <c r="CP162" s="46"/>
      <c r="CQ162" s="46"/>
      <c r="CR162" s="46"/>
    </row>
    <row r="163" spans="1:96" ht="16.5">
      <c r="A163" s="46"/>
      <c r="B163" s="46"/>
      <c r="C163" s="33"/>
      <c r="D163" s="46"/>
      <c r="E163" s="46"/>
      <c r="F163" s="33"/>
      <c r="G163" s="46"/>
      <c r="H163" s="46"/>
      <c r="I163" s="45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  <c r="CM163" s="46"/>
      <c r="CN163" s="46"/>
      <c r="CO163" s="46"/>
      <c r="CP163" s="46"/>
      <c r="CQ163" s="46"/>
      <c r="CR163" s="46"/>
    </row>
    <row r="164" spans="1:96" ht="16.5">
      <c r="A164" s="46"/>
      <c r="B164" s="46"/>
      <c r="C164" s="33"/>
      <c r="D164" s="46"/>
      <c r="E164" s="46"/>
      <c r="F164" s="33"/>
      <c r="G164" s="46"/>
      <c r="H164" s="46"/>
      <c r="I164" s="45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</row>
    <row r="165" spans="1:96" ht="16.5">
      <c r="A165" s="46"/>
      <c r="B165" s="46"/>
      <c r="C165" s="33"/>
      <c r="D165" s="46"/>
      <c r="E165" s="46"/>
      <c r="F165" s="33"/>
      <c r="G165" s="46"/>
      <c r="H165" s="46"/>
      <c r="I165" s="45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</row>
    <row r="166" spans="1:96" ht="16.5">
      <c r="A166" s="46"/>
      <c r="B166" s="46"/>
      <c r="C166" s="33"/>
      <c r="D166" s="46"/>
      <c r="E166" s="46"/>
      <c r="F166" s="33"/>
      <c r="G166" s="46"/>
      <c r="H166" s="46"/>
      <c r="I166" s="45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/>
      <c r="CP166" s="46"/>
      <c r="CQ166" s="46"/>
      <c r="CR166" s="46"/>
    </row>
    <row r="167" spans="1:96" ht="16.5">
      <c r="A167" s="46"/>
      <c r="B167" s="46"/>
      <c r="C167" s="33"/>
      <c r="D167" s="46"/>
      <c r="E167" s="46"/>
      <c r="F167" s="33"/>
      <c r="G167" s="46"/>
      <c r="H167" s="46"/>
      <c r="I167" s="45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</row>
    <row r="168" spans="1:96" ht="16.5">
      <c r="A168" s="46"/>
      <c r="B168" s="46"/>
      <c r="C168" s="33"/>
      <c r="D168" s="46"/>
      <c r="E168" s="46"/>
      <c r="F168" s="33"/>
      <c r="G168" s="46"/>
      <c r="H168" s="46"/>
      <c r="I168" s="45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  <c r="CM168" s="46"/>
      <c r="CN168" s="46"/>
      <c r="CO168" s="46"/>
      <c r="CP168" s="46"/>
      <c r="CQ168" s="46"/>
      <c r="CR168" s="46"/>
    </row>
    <row r="169" spans="1:96" ht="16.5">
      <c r="A169" s="46"/>
      <c r="B169" s="46"/>
      <c r="C169" s="33"/>
      <c r="D169" s="46"/>
      <c r="E169" s="46"/>
      <c r="F169" s="33"/>
      <c r="G169" s="46"/>
      <c r="H169" s="46"/>
      <c r="I169" s="45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</row>
    <row r="170" spans="1:96" ht="16.5">
      <c r="A170" s="46"/>
      <c r="B170" s="46"/>
      <c r="C170" s="33"/>
      <c r="D170" s="46"/>
      <c r="E170" s="46"/>
      <c r="F170" s="33"/>
      <c r="G170" s="46"/>
      <c r="H170" s="46"/>
      <c r="I170" s="45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</row>
    <row r="171" spans="1:96" ht="16.5">
      <c r="A171" s="46"/>
      <c r="B171" s="46"/>
      <c r="C171" s="33"/>
      <c r="D171" s="46"/>
      <c r="E171" s="46"/>
      <c r="F171" s="33"/>
      <c r="G171" s="46"/>
      <c r="H171" s="46"/>
      <c r="I171" s="45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</row>
    <row r="172" spans="1:96" ht="16.5">
      <c r="A172" s="46"/>
      <c r="B172" s="46"/>
      <c r="C172" s="33"/>
      <c r="D172" s="46"/>
      <c r="E172" s="46"/>
      <c r="F172" s="33"/>
      <c r="G172" s="46"/>
      <c r="H172" s="46"/>
      <c r="I172" s="45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</row>
    <row r="173" spans="1:96" ht="16.5">
      <c r="A173" s="46"/>
      <c r="B173" s="46"/>
      <c r="C173" s="33"/>
      <c r="D173" s="46"/>
      <c r="E173" s="46"/>
      <c r="F173" s="33"/>
      <c r="G173" s="46"/>
      <c r="H173" s="46"/>
      <c r="I173" s="45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</row>
    <row r="174" spans="1:96" ht="16.5">
      <c r="A174" s="46"/>
      <c r="B174" s="46"/>
      <c r="C174" s="33"/>
      <c r="D174" s="46"/>
      <c r="E174" s="46"/>
      <c r="F174" s="33"/>
      <c r="G174" s="46"/>
      <c r="H174" s="46"/>
      <c r="I174" s="45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</row>
    <row r="175" spans="1:96" ht="16.5">
      <c r="A175" s="46"/>
      <c r="B175" s="46"/>
      <c r="C175" s="33"/>
      <c r="D175" s="46"/>
      <c r="E175" s="46"/>
      <c r="F175" s="33"/>
      <c r="G175" s="46"/>
      <c r="H175" s="46"/>
      <c r="I175" s="45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</row>
    <row r="176" spans="1:96" ht="16.5">
      <c r="A176" s="46"/>
      <c r="B176" s="46"/>
      <c r="C176" s="33"/>
      <c r="D176" s="46"/>
      <c r="E176" s="46"/>
      <c r="F176" s="33"/>
      <c r="G176" s="46"/>
      <c r="H176" s="46"/>
      <c r="I176" s="45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</row>
    <row r="177" spans="1:96" ht="16.5">
      <c r="A177" s="46"/>
      <c r="B177" s="46"/>
      <c r="C177" s="33"/>
      <c r="D177" s="46"/>
      <c r="E177" s="46"/>
      <c r="F177" s="33"/>
      <c r="G177" s="46"/>
      <c r="H177" s="46"/>
      <c r="I177" s="45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</row>
    <row r="178" spans="1:96" ht="16.5">
      <c r="A178" s="46"/>
      <c r="B178" s="46"/>
      <c r="C178" s="33"/>
      <c r="D178" s="46"/>
      <c r="E178" s="46"/>
      <c r="F178" s="33"/>
      <c r="G178" s="46"/>
      <c r="H178" s="46"/>
      <c r="I178" s="45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</row>
    <row r="179" spans="1:96" ht="16.5">
      <c r="A179" s="46"/>
      <c r="B179" s="46"/>
      <c r="C179" s="33"/>
      <c r="D179" s="46"/>
      <c r="E179" s="46"/>
      <c r="F179" s="33"/>
      <c r="G179" s="46"/>
      <c r="H179" s="46"/>
      <c r="I179" s="45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</row>
    <row r="180" spans="1:96" ht="16.5">
      <c r="A180" s="46"/>
      <c r="B180" s="46"/>
      <c r="C180" s="33"/>
      <c r="D180" s="46"/>
      <c r="E180" s="46"/>
      <c r="F180" s="33"/>
      <c r="G180" s="46"/>
      <c r="H180" s="46"/>
      <c r="I180" s="45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  <c r="CK180" s="46"/>
      <c r="CL180" s="46"/>
      <c r="CM180" s="46"/>
      <c r="CN180" s="46"/>
      <c r="CO180" s="46"/>
      <c r="CP180" s="46"/>
      <c r="CQ180" s="46"/>
      <c r="CR180" s="46"/>
    </row>
    <row r="181" spans="1:96" ht="16.5">
      <c r="A181" s="46"/>
      <c r="B181" s="46"/>
      <c r="C181" s="33"/>
      <c r="D181" s="46"/>
      <c r="E181" s="46"/>
      <c r="F181" s="33"/>
      <c r="G181" s="46"/>
      <c r="H181" s="46"/>
      <c r="I181" s="45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  <c r="CM181" s="46"/>
      <c r="CN181" s="46"/>
      <c r="CO181" s="46"/>
      <c r="CP181" s="46"/>
      <c r="CQ181" s="46"/>
      <c r="CR181" s="46"/>
    </row>
    <row r="182" spans="1:96" ht="16.5">
      <c r="A182" s="46"/>
      <c r="B182" s="46"/>
      <c r="C182" s="33"/>
      <c r="D182" s="46"/>
      <c r="E182" s="46"/>
      <c r="F182" s="33"/>
      <c r="G182" s="46"/>
      <c r="H182" s="46"/>
      <c r="I182" s="45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  <c r="CM182" s="46"/>
      <c r="CN182" s="46"/>
      <c r="CO182" s="46"/>
      <c r="CP182" s="46"/>
      <c r="CQ182" s="46"/>
      <c r="CR182" s="46"/>
    </row>
    <row r="183" spans="1:96" ht="16.5">
      <c r="A183" s="46"/>
      <c r="B183" s="46"/>
      <c r="C183" s="33"/>
      <c r="D183" s="46"/>
      <c r="E183" s="46"/>
      <c r="F183" s="33"/>
      <c r="G183" s="46"/>
      <c r="H183" s="46"/>
      <c r="I183" s="45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</row>
    <row r="184" spans="1:96" ht="16.5">
      <c r="A184" s="46"/>
      <c r="B184" s="46"/>
      <c r="C184" s="33"/>
      <c r="D184" s="46"/>
      <c r="E184" s="46"/>
      <c r="F184" s="33"/>
      <c r="G184" s="46"/>
      <c r="H184" s="46"/>
      <c r="I184" s="45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  <c r="CM184" s="46"/>
      <c r="CN184" s="46"/>
      <c r="CO184" s="46"/>
      <c r="CP184" s="46"/>
      <c r="CQ184" s="46"/>
      <c r="CR184" s="46"/>
    </row>
    <row r="185" spans="1:96" ht="16.5">
      <c r="A185" s="46"/>
      <c r="B185" s="46"/>
      <c r="C185" s="33"/>
      <c r="D185" s="46"/>
      <c r="E185" s="46"/>
      <c r="F185" s="33"/>
      <c r="G185" s="46"/>
      <c r="H185" s="46"/>
      <c r="I185" s="45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  <c r="CM185" s="46"/>
      <c r="CN185" s="46"/>
      <c r="CO185" s="46"/>
      <c r="CP185" s="46"/>
      <c r="CQ185" s="46"/>
      <c r="CR185" s="46"/>
    </row>
    <row r="186" spans="1:96" ht="16.5">
      <c r="A186" s="46"/>
      <c r="B186" s="46"/>
      <c r="C186" s="33"/>
      <c r="D186" s="46"/>
      <c r="E186" s="46"/>
      <c r="F186" s="33"/>
      <c r="G186" s="46"/>
      <c r="H186" s="46"/>
      <c r="I186" s="45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  <c r="CM186" s="46"/>
      <c r="CN186" s="46"/>
      <c r="CO186" s="46"/>
      <c r="CP186" s="46"/>
      <c r="CQ186" s="46"/>
      <c r="CR186" s="46"/>
    </row>
    <row r="187" spans="1:96" ht="16.5">
      <c r="A187" s="46"/>
      <c r="B187" s="46"/>
      <c r="C187" s="33"/>
      <c r="D187" s="46"/>
      <c r="E187" s="46"/>
      <c r="F187" s="33"/>
      <c r="G187" s="46"/>
      <c r="H187" s="46"/>
      <c r="I187" s="45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</row>
    <row r="188" spans="1:96" ht="16.5">
      <c r="A188" s="46"/>
      <c r="B188" s="46"/>
      <c r="C188" s="33"/>
      <c r="D188" s="46"/>
      <c r="E188" s="46"/>
      <c r="F188" s="33"/>
      <c r="G188" s="46"/>
      <c r="H188" s="46"/>
      <c r="I188" s="45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  <c r="CM188" s="46"/>
      <c r="CN188" s="46"/>
      <c r="CO188" s="46"/>
      <c r="CP188" s="46"/>
      <c r="CQ188" s="46"/>
      <c r="CR188" s="46"/>
    </row>
    <row r="189" spans="1:96" ht="16.5">
      <c r="A189" s="46"/>
      <c r="B189" s="46"/>
      <c r="C189" s="33"/>
      <c r="D189" s="46"/>
      <c r="E189" s="46"/>
      <c r="F189" s="33"/>
      <c r="G189" s="46"/>
      <c r="H189" s="46"/>
      <c r="I189" s="45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  <c r="CM189" s="46"/>
      <c r="CN189" s="46"/>
      <c r="CO189" s="46"/>
      <c r="CP189" s="46"/>
      <c r="CQ189" s="46"/>
      <c r="CR189" s="46"/>
    </row>
    <row r="190" spans="1:96" ht="16.5">
      <c r="A190" s="46"/>
      <c r="B190" s="46"/>
      <c r="C190" s="33"/>
      <c r="D190" s="46"/>
      <c r="E190" s="46"/>
      <c r="F190" s="33"/>
      <c r="G190" s="46"/>
      <c r="H190" s="46"/>
      <c r="I190" s="45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/>
      <c r="CL190" s="46"/>
      <c r="CM190" s="46"/>
      <c r="CN190" s="46"/>
      <c r="CO190" s="46"/>
      <c r="CP190" s="46"/>
      <c r="CQ190" s="46"/>
      <c r="CR190" s="46"/>
    </row>
    <row r="191" spans="1:96" ht="16.5">
      <c r="A191" s="46"/>
      <c r="B191" s="46"/>
      <c r="C191" s="33"/>
      <c r="D191" s="46"/>
      <c r="E191" s="46"/>
      <c r="F191" s="33"/>
      <c r="G191" s="46"/>
      <c r="H191" s="46"/>
      <c r="I191" s="45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/>
      <c r="CL191" s="46"/>
      <c r="CM191" s="46"/>
      <c r="CN191" s="46"/>
      <c r="CO191" s="46"/>
      <c r="CP191" s="46"/>
      <c r="CQ191" s="46"/>
      <c r="CR191" s="46"/>
    </row>
    <row r="192" spans="1:96" ht="16.5">
      <c r="A192" s="46"/>
      <c r="B192" s="46"/>
      <c r="C192" s="33"/>
      <c r="D192" s="46"/>
      <c r="E192" s="46"/>
      <c r="F192" s="33"/>
      <c r="G192" s="46"/>
      <c r="H192" s="46"/>
      <c r="I192" s="45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  <c r="CM192" s="46"/>
      <c r="CN192" s="46"/>
      <c r="CO192" s="46"/>
      <c r="CP192" s="46"/>
      <c r="CQ192" s="46"/>
      <c r="CR192" s="46"/>
    </row>
    <row r="193" spans="1:96" ht="16.5">
      <c r="A193" s="46"/>
      <c r="B193" s="46"/>
      <c r="C193" s="33"/>
      <c r="D193" s="46"/>
      <c r="E193" s="46"/>
      <c r="F193" s="33"/>
      <c r="G193" s="46"/>
      <c r="H193" s="46"/>
      <c r="I193" s="45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/>
      <c r="CL193" s="46"/>
      <c r="CM193" s="46"/>
      <c r="CN193" s="46"/>
      <c r="CO193" s="46"/>
      <c r="CP193" s="46"/>
      <c r="CQ193" s="46"/>
      <c r="CR193" s="46"/>
    </row>
    <row r="194" spans="1:96" ht="16.5">
      <c r="A194" s="46"/>
      <c r="B194" s="46"/>
      <c r="C194" s="33"/>
      <c r="D194" s="46"/>
      <c r="E194" s="46"/>
      <c r="F194" s="33"/>
      <c r="G194" s="46"/>
      <c r="H194" s="46"/>
      <c r="I194" s="45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/>
      <c r="CL194" s="46"/>
      <c r="CM194" s="46"/>
      <c r="CN194" s="46"/>
      <c r="CO194" s="46"/>
      <c r="CP194" s="46"/>
      <c r="CQ194" s="46"/>
      <c r="CR194" s="46"/>
    </row>
    <row r="195" spans="1:96" ht="16.5">
      <c r="A195" s="46"/>
      <c r="B195" s="46"/>
      <c r="C195" s="33"/>
      <c r="D195" s="46"/>
      <c r="E195" s="46"/>
      <c r="F195" s="33"/>
      <c r="G195" s="46"/>
      <c r="H195" s="46"/>
      <c r="I195" s="45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/>
      <c r="CL195" s="46"/>
      <c r="CM195" s="46"/>
      <c r="CN195" s="46"/>
      <c r="CO195" s="46"/>
      <c r="CP195" s="46"/>
      <c r="CQ195" s="46"/>
      <c r="CR195" s="46"/>
    </row>
    <row r="196" spans="1:96" ht="16.5">
      <c r="A196" s="46"/>
      <c r="B196" s="46"/>
      <c r="C196" s="33"/>
      <c r="D196" s="46"/>
      <c r="E196" s="46"/>
      <c r="F196" s="33"/>
      <c r="G196" s="46"/>
      <c r="H196" s="46"/>
      <c r="I196" s="4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/>
      <c r="CL196" s="46"/>
      <c r="CM196" s="46"/>
      <c r="CN196" s="46"/>
      <c r="CO196" s="46"/>
      <c r="CP196" s="46"/>
      <c r="CQ196" s="46"/>
      <c r="CR196" s="46"/>
    </row>
    <row r="197" spans="1:96" ht="16.5">
      <c r="A197" s="46"/>
      <c r="B197" s="46"/>
      <c r="C197" s="33"/>
      <c r="D197" s="46"/>
      <c r="E197" s="46"/>
      <c r="F197" s="33"/>
      <c r="G197" s="46"/>
      <c r="H197" s="46"/>
      <c r="I197" s="45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/>
      <c r="CL197" s="46"/>
      <c r="CM197" s="46"/>
      <c r="CN197" s="46"/>
      <c r="CO197" s="46"/>
      <c r="CP197" s="46"/>
      <c r="CQ197" s="46"/>
      <c r="CR197" s="46"/>
    </row>
    <row r="198" spans="1:96" ht="16.5">
      <c r="A198" s="46"/>
      <c r="B198" s="46"/>
      <c r="C198" s="33"/>
      <c r="D198" s="46"/>
      <c r="E198" s="46"/>
      <c r="F198" s="33"/>
      <c r="G198" s="46"/>
      <c r="H198" s="46"/>
      <c r="I198" s="4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  <c r="CM198" s="46"/>
      <c r="CN198" s="46"/>
      <c r="CO198" s="46"/>
      <c r="CP198" s="46"/>
      <c r="CQ198" s="46"/>
      <c r="CR198" s="46"/>
    </row>
    <row r="199" spans="1:96" ht="16.5">
      <c r="A199" s="46"/>
      <c r="B199" s="46"/>
      <c r="C199" s="33"/>
      <c r="D199" s="46"/>
      <c r="E199" s="46"/>
      <c r="F199" s="33"/>
      <c r="G199" s="46"/>
      <c r="H199" s="46"/>
      <c r="I199" s="45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/>
      <c r="CL199" s="46"/>
      <c r="CM199" s="46"/>
      <c r="CN199" s="46"/>
      <c r="CO199" s="46"/>
      <c r="CP199" s="46"/>
      <c r="CQ199" s="46"/>
      <c r="CR199" s="46"/>
    </row>
    <row r="200" spans="1:96" ht="16.5">
      <c r="A200" s="46"/>
      <c r="B200" s="46"/>
      <c r="C200" s="33"/>
      <c r="D200" s="46"/>
      <c r="E200" s="46"/>
      <c r="F200" s="33"/>
      <c r="G200" s="46"/>
      <c r="H200" s="46"/>
      <c r="I200" s="45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  <c r="CK200" s="46"/>
      <c r="CL200" s="46"/>
      <c r="CM200" s="46"/>
      <c r="CN200" s="46"/>
      <c r="CO200" s="46"/>
      <c r="CP200" s="46"/>
      <c r="CQ200" s="46"/>
      <c r="CR200" s="46"/>
    </row>
    <row r="201" spans="1:96" ht="16.5">
      <c r="A201" s="46"/>
      <c r="B201" s="46"/>
      <c r="C201" s="33"/>
      <c r="D201" s="46"/>
      <c r="E201" s="46"/>
      <c r="F201" s="33"/>
      <c r="G201" s="46"/>
      <c r="H201" s="46"/>
      <c r="I201" s="45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</row>
    <row r="202" spans="1:96" ht="16.5">
      <c r="A202" s="46"/>
      <c r="B202" s="46"/>
      <c r="C202" s="33"/>
      <c r="D202" s="46"/>
      <c r="E202" s="46"/>
      <c r="F202" s="33"/>
      <c r="G202" s="46"/>
      <c r="H202" s="46"/>
      <c r="I202" s="45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  <c r="CK202" s="46"/>
      <c r="CL202" s="46"/>
      <c r="CM202" s="46"/>
      <c r="CN202" s="46"/>
      <c r="CO202" s="46"/>
      <c r="CP202" s="46"/>
      <c r="CQ202" s="46"/>
      <c r="CR202" s="46"/>
    </row>
    <row r="203" spans="1:96" ht="16.5">
      <c r="A203" s="46"/>
      <c r="B203" s="46"/>
      <c r="C203" s="33"/>
      <c r="D203" s="46"/>
      <c r="E203" s="46"/>
      <c r="F203" s="33"/>
      <c r="G203" s="46"/>
      <c r="H203" s="46"/>
      <c r="I203" s="45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/>
      <c r="CL203" s="46"/>
      <c r="CM203" s="46"/>
      <c r="CN203" s="46"/>
      <c r="CO203" s="46"/>
      <c r="CP203" s="46"/>
      <c r="CQ203" s="46"/>
      <c r="CR203" s="46"/>
    </row>
    <row r="204" spans="1:96" ht="16.5">
      <c r="A204" s="46"/>
      <c r="B204" s="46"/>
      <c r="C204" s="33"/>
      <c r="D204" s="46"/>
      <c r="E204" s="46"/>
      <c r="F204" s="33"/>
      <c r="G204" s="46"/>
      <c r="H204" s="46"/>
      <c r="I204" s="4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  <c r="CK204" s="46"/>
      <c r="CL204" s="46"/>
      <c r="CM204" s="46"/>
      <c r="CN204" s="46"/>
      <c r="CO204" s="46"/>
      <c r="CP204" s="46"/>
      <c r="CQ204" s="46"/>
      <c r="CR204" s="46"/>
    </row>
    <row r="205" spans="1:96" ht="16.5">
      <c r="A205" s="46"/>
      <c r="B205" s="46"/>
      <c r="C205" s="33"/>
      <c r="D205" s="46"/>
      <c r="E205" s="46"/>
      <c r="F205" s="33"/>
      <c r="G205" s="46"/>
      <c r="H205" s="46"/>
      <c r="I205" s="45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/>
      <c r="CL205" s="46"/>
      <c r="CM205" s="46"/>
      <c r="CN205" s="46"/>
      <c r="CO205" s="46"/>
      <c r="CP205" s="46"/>
      <c r="CQ205" s="46"/>
      <c r="CR205" s="46"/>
    </row>
    <row r="206" spans="1:96" ht="16.5">
      <c r="A206" s="46"/>
      <c r="B206" s="46"/>
      <c r="C206" s="33"/>
      <c r="D206" s="46"/>
      <c r="E206" s="46"/>
      <c r="F206" s="33"/>
      <c r="G206" s="46"/>
      <c r="H206" s="46"/>
      <c r="I206" s="4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/>
      <c r="CP206" s="46"/>
      <c r="CQ206" s="46"/>
      <c r="CR206" s="46"/>
    </row>
    <row r="207" spans="1:96" ht="16.5">
      <c r="A207" s="46"/>
      <c r="B207" s="46"/>
      <c r="C207" s="33"/>
      <c r="D207" s="46"/>
      <c r="E207" s="46"/>
      <c r="F207" s="33"/>
      <c r="G207" s="46"/>
      <c r="H207" s="46"/>
      <c r="I207" s="45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</row>
    <row r="208" spans="1:96" ht="16.5">
      <c r="A208" s="46"/>
      <c r="B208" s="46"/>
      <c r="C208" s="33"/>
      <c r="D208" s="46"/>
      <c r="E208" s="46"/>
      <c r="F208" s="33"/>
      <c r="G208" s="46"/>
      <c r="H208" s="46"/>
      <c r="I208" s="4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/>
      <c r="CL208" s="46"/>
      <c r="CM208" s="46"/>
      <c r="CN208" s="46"/>
      <c r="CO208" s="46"/>
      <c r="CP208" s="46"/>
      <c r="CQ208" s="46"/>
      <c r="CR208" s="46"/>
    </row>
    <row r="209" spans="1:96" ht="16.5">
      <c r="A209" s="46"/>
      <c r="B209" s="46"/>
      <c r="C209" s="33"/>
      <c r="D209" s="46"/>
      <c r="E209" s="46"/>
      <c r="F209" s="33"/>
      <c r="G209" s="46"/>
      <c r="H209" s="46"/>
      <c r="I209" s="45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</row>
    <row r="210" spans="1:96" ht="16.5">
      <c r="A210" s="46"/>
      <c r="B210" s="46"/>
      <c r="C210" s="33"/>
      <c r="D210" s="46"/>
      <c r="E210" s="46"/>
      <c r="F210" s="33"/>
      <c r="G210" s="46"/>
      <c r="H210" s="46"/>
      <c r="I210" s="45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</row>
    <row r="211" spans="1:96" ht="16.5">
      <c r="A211" s="46"/>
      <c r="B211" s="46"/>
      <c r="C211" s="33"/>
      <c r="D211" s="46"/>
      <c r="E211" s="46"/>
      <c r="F211" s="33"/>
      <c r="G211" s="46"/>
      <c r="H211" s="46"/>
      <c r="I211" s="45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</row>
    <row r="212" spans="1:96" ht="16.5">
      <c r="A212" s="46"/>
      <c r="B212" s="46"/>
      <c r="C212" s="33"/>
      <c r="D212" s="46"/>
      <c r="E212" s="46"/>
      <c r="F212" s="33"/>
      <c r="G212" s="46"/>
      <c r="H212" s="46"/>
      <c r="I212" s="45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</row>
    <row r="213" spans="1:96" ht="16.5">
      <c r="A213" s="46"/>
      <c r="B213" s="46"/>
      <c r="C213" s="33"/>
      <c r="D213" s="46"/>
      <c r="E213" s="46"/>
      <c r="F213" s="33"/>
      <c r="G213" s="46"/>
      <c r="H213" s="46"/>
      <c r="I213" s="45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</row>
    <row r="214" spans="1:96" ht="16.5">
      <c r="A214" s="46"/>
      <c r="B214" s="46"/>
      <c r="C214" s="33"/>
      <c r="D214" s="46"/>
      <c r="E214" s="46"/>
      <c r="F214" s="33"/>
      <c r="G214" s="46"/>
      <c r="H214" s="46"/>
      <c r="I214" s="45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</row>
    <row r="215" spans="1:96" ht="16.5">
      <c r="A215" s="46"/>
      <c r="B215" s="46"/>
      <c r="C215" s="33"/>
      <c r="D215" s="46"/>
      <c r="E215" s="46"/>
      <c r="F215" s="33"/>
      <c r="G215" s="46"/>
      <c r="H215" s="46"/>
      <c r="I215" s="45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</row>
    <row r="216" spans="1:96" ht="16.5">
      <c r="A216" s="46"/>
      <c r="B216" s="46"/>
      <c r="C216" s="33"/>
      <c r="D216" s="46"/>
      <c r="E216" s="46"/>
      <c r="F216" s="33"/>
      <c r="G216" s="46"/>
      <c r="H216" s="46"/>
      <c r="I216" s="45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</row>
    <row r="217" spans="1:96" ht="16.5">
      <c r="A217" s="46"/>
      <c r="B217" s="46"/>
      <c r="C217" s="33"/>
      <c r="D217" s="46"/>
      <c r="E217" s="46"/>
      <c r="F217" s="33"/>
      <c r="G217" s="46"/>
      <c r="H217" s="46"/>
      <c r="I217" s="45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</row>
    <row r="218" spans="1:96" ht="16.5">
      <c r="A218" s="46"/>
      <c r="B218" s="46"/>
      <c r="C218" s="33"/>
      <c r="D218" s="46"/>
      <c r="E218" s="46"/>
      <c r="F218" s="33"/>
      <c r="G218" s="46"/>
      <c r="H218" s="46"/>
      <c r="I218" s="45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</row>
    <row r="219" spans="1:96" ht="16.5">
      <c r="A219" s="46"/>
      <c r="B219" s="46"/>
      <c r="C219" s="33"/>
      <c r="D219" s="46"/>
      <c r="E219" s="46"/>
      <c r="F219" s="33"/>
      <c r="G219" s="46"/>
      <c r="H219" s="46"/>
      <c r="I219" s="45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</row>
    <row r="220" spans="1:96" ht="16.5">
      <c r="A220" s="46"/>
      <c r="B220" s="46"/>
      <c r="C220" s="33"/>
      <c r="D220" s="46"/>
      <c r="E220" s="46"/>
      <c r="F220" s="33"/>
      <c r="G220" s="46"/>
      <c r="H220" s="46"/>
      <c r="I220" s="45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</row>
    <row r="221" spans="1:96" ht="16.5">
      <c r="A221" s="46"/>
      <c r="B221" s="46"/>
      <c r="C221" s="33"/>
      <c r="D221" s="46"/>
      <c r="E221" s="46"/>
      <c r="F221" s="33"/>
      <c r="G221" s="46"/>
      <c r="H221" s="46"/>
      <c r="I221" s="45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/>
      <c r="CL221" s="46"/>
      <c r="CM221" s="46"/>
      <c r="CN221" s="46"/>
      <c r="CO221" s="46"/>
      <c r="CP221" s="46"/>
      <c r="CQ221" s="46"/>
      <c r="CR221" s="46"/>
    </row>
    <row r="222" spans="1:96" ht="16.5">
      <c r="A222" s="46"/>
      <c r="B222" s="46"/>
      <c r="C222" s="33"/>
      <c r="D222" s="46"/>
      <c r="E222" s="46"/>
      <c r="F222" s="33"/>
      <c r="G222" s="46"/>
      <c r="H222" s="46"/>
      <c r="I222" s="45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</row>
    <row r="223" spans="1:96" ht="16.5">
      <c r="A223" s="46"/>
      <c r="B223" s="46"/>
      <c r="C223" s="33"/>
      <c r="D223" s="46"/>
      <c r="E223" s="46"/>
      <c r="F223" s="33"/>
      <c r="G223" s="46"/>
      <c r="H223" s="46"/>
      <c r="I223" s="45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/>
      <c r="CL223" s="46"/>
      <c r="CM223" s="46"/>
      <c r="CN223" s="46"/>
      <c r="CO223" s="46"/>
      <c r="CP223" s="46"/>
      <c r="CQ223" s="46"/>
      <c r="CR223" s="46"/>
    </row>
    <row r="224" spans="1:96" ht="16.5">
      <c r="A224" s="46"/>
      <c r="B224" s="46"/>
      <c r="C224" s="33"/>
      <c r="D224" s="46"/>
      <c r="E224" s="46"/>
      <c r="F224" s="33"/>
      <c r="G224" s="46"/>
      <c r="H224" s="46"/>
      <c r="I224" s="45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/>
      <c r="CL224" s="46"/>
      <c r="CM224" s="46"/>
      <c r="CN224" s="46"/>
      <c r="CO224" s="46"/>
      <c r="CP224" s="46"/>
      <c r="CQ224" s="46"/>
      <c r="CR224" s="46"/>
    </row>
    <row r="225" spans="1:96" ht="16.5">
      <c r="A225" s="46"/>
      <c r="B225" s="46"/>
      <c r="C225" s="33"/>
      <c r="D225" s="46"/>
      <c r="E225" s="46"/>
      <c r="F225" s="33"/>
      <c r="G225" s="46"/>
      <c r="H225" s="46"/>
      <c r="I225" s="45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/>
      <c r="CL225" s="46"/>
      <c r="CM225" s="46"/>
      <c r="CN225" s="46"/>
      <c r="CO225" s="46"/>
      <c r="CP225" s="46"/>
      <c r="CQ225" s="46"/>
      <c r="CR225" s="46"/>
    </row>
    <row r="226" spans="1:96" ht="16.5">
      <c r="A226" s="46"/>
      <c r="B226" s="46"/>
      <c r="C226" s="33"/>
      <c r="D226" s="46"/>
      <c r="E226" s="46"/>
      <c r="F226" s="33"/>
      <c r="G226" s="46"/>
      <c r="H226" s="46"/>
      <c r="I226" s="45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  <c r="CM226" s="46"/>
      <c r="CN226" s="46"/>
      <c r="CO226" s="46"/>
      <c r="CP226" s="46"/>
      <c r="CQ226" s="46"/>
      <c r="CR226" s="46"/>
    </row>
    <row r="227" spans="1:96" ht="16.5">
      <c r="A227" s="46"/>
      <c r="B227" s="46"/>
      <c r="C227" s="33"/>
      <c r="D227" s="46"/>
      <c r="E227" s="46"/>
      <c r="F227" s="33"/>
      <c r="G227" s="46"/>
      <c r="H227" s="46"/>
      <c r="I227" s="45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/>
      <c r="CL227" s="46"/>
      <c r="CM227" s="46"/>
      <c r="CN227" s="46"/>
      <c r="CO227" s="46"/>
      <c r="CP227" s="46"/>
      <c r="CQ227" s="46"/>
      <c r="CR227" s="46"/>
    </row>
    <row r="228" spans="1:96" ht="16.5">
      <c r="A228" s="46"/>
      <c r="B228" s="46"/>
      <c r="C228" s="33"/>
      <c r="D228" s="46"/>
      <c r="E228" s="46"/>
      <c r="F228" s="33"/>
      <c r="G228" s="46"/>
      <c r="H228" s="46"/>
      <c r="I228" s="45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/>
      <c r="CL228" s="46"/>
      <c r="CM228" s="46"/>
      <c r="CN228" s="46"/>
      <c r="CO228" s="46"/>
      <c r="CP228" s="46"/>
      <c r="CQ228" s="46"/>
      <c r="CR228" s="46"/>
    </row>
    <row r="229" spans="1:96" ht="16.5">
      <c r="A229" s="46"/>
      <c r="B229" s="46"/>
      <c r="C229" s="33"/>
      <c r="D229" s="46"/>
      <c r="E229" s="46"/>
      <c r="F229" s="33"/>
      <c r="G229" s="46"/>
      <c r="H229" s="46"/>
      <c r="I229" s="45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/>
      <c r="CL229" s="46"/>
      <c r="CM229" s="46"/>
      <c r="CN229" s="46"/>
      <c r="CO229" s="46"/>
      <c r="CP229" s="46"/>
      <c r="CQ229" s="46"/>
      <c r="CR229" s="46"/>
    </row>
    <row r="230" spans="1:96" ht="16.5">
      <c r="A230" s="46"/>
      <c r="B230" s="46"/>
      <c r="C230" s="33"/>
      <c r="D230" s="46"/>
      <c r="E230" s="46"/>
      <c r="F230" s="33"/>
      <c r="G230" s="46"/>
      <c r="H230" s="46"/>
      <c r="I230" s="45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  <c r="CM230" s="46"/>
      <c r="CN230" s="46"/>
      <c r="CO230" s="46"/>
      <c r="CP230" s="46"/>
      <c r="CQ230" s="46"/>
      <c r="CR230" s="46"/>
    </row>
    <row r="231" spans="1:96" ht="16.5">
      <c r="A231" s="46"/>
      <c r="B231" s="46"/>
      <c r="C231" s="33"/>
      <c r="D231" s="46"/>
      <c r="E231" s="46"/>
      <c r="F231" s="33"/>
      <c r="G231" s="46"/>
      <c r="H231" s="46"/>
      <c r="I231" s="45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  <c r="CK231" s="46"/>
      <c r="CL231" s="46"/>
      <c r="CM231" s="46"/>
      <c r="CN231" s="46"/>
      <c r="CO231" s="46"/>
      <c r="CP231" s="46"/>
      <c r="CQ231" s="46"/>
      <c r="CR231" s="46"/>
    </row>
    <row r="232" spans="1:96" ht="16.5">
      <c r="A232" s="46"/>
      <c r="B232" s="46"/>
      <c r="C232" s="33"/>
      <c r="D232" s="46"/>
      <c r="E232" s="46"/>
      <c r="F232" s="33"/>
      <c r="G232" s="46"/>
      <c r="H232" s="46"/>
      <c r="I232" s="45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  <c r="CK232" s="46"/>
      <c r="CL232" s="46"/>
      <c r="CM232" s="46"/>
      <c r="CN232" s="46"/>
      <c r="CO232" s="46"/>
      <c r="CP232" s="46"/>
      <c r="CQ232" s="46"/>
      <c r="CR232" s="46"/>
    </row>
    <row r="233" spans="1:96" ht="16.5">
      <c r="A233" s="46"/>
      <c r="B233" s="46"/>
      <c r="C233" s="33"/>
      <c r="D233" s="46"/>
      <c r="E233" s="46"/>
      <c r="F233" s="33"/>
      <c r="G233" s="46"/>
      <c r="H233" s="46"/>
      <c r="I233" s="45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  <c r="CK233" s="46"/>
      <c r="CL233" s="46"/>
      <c r="CM233" s="46"/>
      <c r="CN233" s="46"/>
      <c r="CO233" s="46"/>
      <c r="CP233" s="46"/>
      <c r="CQ233" s="46"/>
      <c r="CR233" s="46"/>
    </row>
    <row r="234" spans="1:96" ht="16.5">
      <c r="A234" s="46"/>
      <c r="B234" s="46"/>
      <c r="C234" s="33"/>
      <c r="D234" s="46"/>
      <c r="E234" s="46"/>
      <c r="F234" s="33"/>
      <c r="G234" s="46"/>
      <c r="H234" s="46"/>
      <c r="I234" s="45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  <c r="CK234" s="46"/>
      <c r="CL234" s="46"/>
      <c r="CM234" s="46"/>
      <c r="CN234" s="46"/>
      <c r="CO234" s="46"/>
      <c r="CP234" s="46"/>
      <c r="CQ234" s="46"/>
      <c r="CR234" s="46"/>
    </row>
    <row r="235" spans="1:96" ht="16.5">
      <c r="A235" s="46"/>
      <c r="B235" s="46"/>
      <c r="C235" s="33"/>
      <c r="D235" s="46"/>
      <c r="E235" s="46"/>
      <c r="F235" s="33"/>
      <c r="G235" s="46"/>
      <c r="H235" s="46"/>
      <c r="I235" s="45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  <c r="CK235" s="46"/>
      <c r="CL235" s="46"/>
      <c r="CM235" s="46"/>
      <c r="CN235" s="46"/>
      <c r="CO235" s="46"/>
      <c r="CP235" s="46"/>
      <c r="CQ235" s="46"/>
      <c r="CR235" s="46"/>
    </row>
    <row r="236" spans="1:96" ht="16.5">
      <c r="A236" s="46"/>
      <c r="B236" s="46"/>
      <c r="C236" s="33"/>
      <c r="D236" s="46"/>
      <c r="E236" s="46"/>
      <c r="F236" s="33"/>
      <c r="G236" s="46"/>
      <c r="H236" s="46"/>
      <c r="I236" s="45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  <c r="CK236" s="46"/>
      <c r="CL236" s="46"/>
      <c r="CM236" s="46"/>
      <c r="CN236" s="46"/>
      <c r="CO236" s="46"/>
      <c r="CP236" s="46"/>
      <c r="CQ236" s="46"/>
      <c r="CR236" s="46"/>
    </row>
    <row r="237" spans="1:96" ht="16.5">
      <c r="A237" s="46"/>
      <c r="B237" s="46"/>
      <c r="C237" s="33"/>
      <c r="D237" s="46"/>
      <c r="E237" s="46"/>
      <c r="F237" s="33"/>
      <c r="G237" s="46"/>
      <c r="H237" s="46"/>
      <c r="I237" s="45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  <c r="CK237" s="46"/>
      <c r="CL237" s="46"/>
      <c r="CM237" s="46"/>
      <c r="CN237" s="46"/>
      <c r="CO237" s="46"/>
      <c r="CP237" s="46"/>
      <c r="CQ237" s="46"/>
      <c r="CR237" s="46"/>
    </row>
    <row r="238" spans="1:96" ht="16.5">
      <c r="A238" s="46"/>
      <c r="B238" s="46"/>
      <c r="C238" s="33"/>
      <c r="D238" s="46"/>
      <c r="E238" s="46"/>
      <c r="F238" s="33"/>
      <c r="G238" s="46"/>
      <c r="H238" s="46"/>
      <c r="I238" s="45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  <c r="CK238" s="46"/>
      <c r="CL238" s="46"/>
      <c r="CM238" s="46"/>
      <c r="CN238" s="46"/>
      <c r="CO238" s="46"/>
      <c r="CP238" s="46"/>
      <c r="CQ238" s="46"/>
      <c r="CR238" s="46"/>
    </row>
    <row r="239" spans="1:96" ht="16.5">
      <c r="A239" s="46"/>
      <c r="B239" s="46"/>
      <c r="C239" s="33"/>
      <c r="D239" s="46"/>
      <c r="E239" s="46"/>
      <c r="F239" s="33"/>
      <c r="G239" s="46"/>
      <c r="H239" s="46"/>
      <c r="I239" s="45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  <c r="CK239" s="46"/>
      <c r="CL239" s="46"/>
      <c r="CM239" s="46"/>
      <c r="CN239" s="46"/>
      <c r="CO239" s="46"/>
      <c r="CP239" s="46"/>
      <c r="CQ239" s="46"/>
      <c r="CR239" s="46"/>
    </row>
    <row r="240" spans="1:96" ht="16.5">
      <c r="A240" s="46"/>
      <c r="B240" s="46"/>
      <c r="C240" s="33"/>
      <c r="D240" s="46"/>
      <c r="E240" s="46"/>
      <c r="F240" s="33"/>
      <c r="G240" s="46"/>
      <c r="H240" s="46"/>
      <c r="I240" s="45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  <c r="CK240" s="46"/>
      <c r="CL240" s="46"/>
      <c r="CM240" s="46"/>
      <c r="CN240" s="46"/>
      <c r="CO240" s="46"/>
      <c r="CP240" s="46"/>
      <c r="CQ240" s="46"/>
      <c r="CR240" s="46"/>
    </row>
    <row r="241" spans="1:96" ht="16.5">
      <c r="A241" s="46"/>
      <c r="B241" s="46"/>
      <c r="C241" s="33"/>
      <c r="D241" s="46"/>
      <c r="E241" s="46"/>
      <c r="F241" s="33"/>
      <c r="G241" s="46"/>
      <c r="H241" s="46"/>
      <c r="I241" s="45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  <c r="CK241" s="46"/>
      <c r="CL241" s="46"/>
      <c r="CM241" s="46"/>
      <c r="CN241" s="46"/>
      <c r="CO241" s="46"/>
      <c r="CP241" s="46"/>
      <c r="CQ241" s="46"/>
      <c r="CR241" s="46"/>
    </row>
    <row r="242" spans="1:96" ht="16.5">
      <c r="A242" s="46"/>
      <c r="B242" s="46"/>
      <c r="C242" s="33"/>
      <c r="D242" s="46"/>
      <c r="E242" s="46"/>
      <c r="F242" s="33"/>
      <c r="G242" s="46"/>
      <c r="H242" s="46"/>
      <c r="I242" s="45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  <c r="CK242" s="46"/>
      <c r="CL242" s="46"/>
      <c r="CM242" s="46"/>
      <c r="CN242" s="46"/>
      <c r="CO242" s="46"/>
      <c r="CP242" s="46"/>
      <c r="CQ242" s="46"/>
      <c r="CR242" s="46"/>
    </row>
    <row r="243" spans="1:96" ht="16.5">
      <c r="A243" s="46"/>
      <c r="B243" s="46"/>
      <c r="C243" s="33"/>
      <c r="D243" s="46"/>
      <c r="E243" s="46"/>
      <c r="F243" s="33"/>
      <c r="G243" s="46"/>
      <c r="H243" s="46"/>
      <c r="I243" s="45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  <c r="CK243" s="46"/>
      <c r="CL243" s="46"/>
      <c r="CM243" s="46"/>
      <c r="CN243" s="46"/>
      <c r="CO243" s="46"/>
      <c r="CP243" s="46"/>
      <c r="CQ243" s="46"/>
      <c r="CR243" s="46"/>
    </row>
    <row r="244" spans="1:96" ht="16.5">
      <c r="A244" s="46"/>
      <c r="B244" s="46"/>
      <c r="C244" s="33"/>
      <c r="D244" s="46"/>
      <c r="E244" s="46"/>
      <c r="F244" s="33"/>
      <c r="G244" s="46"/>
      <c r="H244" s="46"/>
      <c r="I244" s="45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  <c r="CK244" s="46"/>
      <c r="CL244" s="46"/>
      <c r="CM244" s="46"/>
      <c r="CN244" s="46"/>
      <c r="CO244" s="46"/>
      <c r="CP244" s="46"/>
      <c r="CQ244" s="46"/>
      <c r="CR244" s="46"/>
    </row>
    <row r="245" spans="1:96" ht="16.5">
      <c r="A245" s="46"/>
      <c r="B245" s="46"/>
      <c r="C245" s="33"/>
      <c r="D245" s="46"/>
      <c r="E245" s="46"/>
      <c r="F245" s="33"/>
      <c r="G245" s="46"/>
      <c r="H245" s="46"/>
      <c r="I245" s="45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  <c r="CK245" s="46"/>
      <c r="CL245" s="46"/>
      <c r="CM245" s="46"/>
      <c r="CN245" s="46"/>
      <c r="CO245" s="46"/>
      <c r="CP245" s="46"/>
      <c r="CQ245" s="46"/>
      <c r="CR245" s="46"/>
    </row>
    <row r="246" spans="1:96" ht="16.5">
      <c r="A246" s="46"/>
      <c r="B246" s="46"/>
      <c r="C246" s="33"/>
      <c r="D246" s="46"/>
      <c r="E246" s="46"/>
      <c r="F246" s="33"/>
      <c r="G246" s="46"/>
      <c r="H246" s="46"/>
      <c r="I246" s="45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/>
      <c r="CP246" s="46"/>
      <c r="CQ246" s="46"/>
      <c r="CR246" s="46"/>
    </row>
    <row r="247" spans="1:96" ht="16.5">
      <c r="A247" s="46"/>
      <c r="B247" s="46"/>
      <c r="C247" s="33"/>
      <c r="D247" s="46"/>
      <c r="E247" s="46"/>
      <c r="F247" s="33"/>
      <c r="G247" s="46"/>
      <c r="H247" s="46"/>
      <c r="I247" s="45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</row>
    <row r="248" spans="1:96" ht="16.5">
      <c r="A248" s="46"/>
      <c r="B248" s="46"/>
      <c r="C248" s="33"/>
      <c r="D248" s="46"/>
      <c r="E248" s="46"/>
      <c r="F248" s="33"/>
      <c r="G248" s="46"/>
      <c r="H248" s="46"/>
      <c r="I248" s="45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  <c r="CK248" s="46"/>
      <c r="CL248" s="46"/>
      <c r="CM248" s="46"/>
      <c r="CN248" s="46"/>
      <c r="CO248" s="46"/>
      <c r="CP248" s="46"/>
      <c r="CQ248" s="46"/>
      <c r="CR248" s="46"/>
    </row>
    <row r="249" spans="1:96" ht="16.5">
      <c r="A249" s="46"/>
      <c r="B249" s="46"/>
      <c r="C249" s="33"/>
      <c r="D249" s="46"/>
      <c r="E249" s="46"/>
      <c r="F249" s="33"/>
      <c r="G249" s="46"/>
      <c r="H249" s="46"/>
      <c r="I249" s="45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</row>
    <row r="250" spans="1:96" ht="16.5">
      <c r="A250" s="46"/>
      <c r="B250" s="46"/>
      <c r="C250" s="33"/>
      <c r="D250" s="46"/>
      <c r="E250" s="46"/>
      <c r="F250" s="33"/>
      <c r="G250" s="46"/>
      <c r="H250" s="46"/>
      <c r="I250" s="45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</row>
    <row r="251" spans="1:96" ht="16.5">
      <c r="A251" s="46"/>
      <c r="B251" s="46"/>
      <c r="C251" s="33"/>
      <c r="D251" s="46"/>
      <c r="E251" s="46"/>
      <c r="F251" s="33"/>
      <c r="G251" s="46"/>
      <c r="H251" s="46"/>
      <c r="I251" s="45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</row>
    <row r="252" spans="1:96" ht="16.5">
      <c r="A252" s="46"/>
      <c r="B252" s="46"/>
      <c r="C252" s="33"/>
      <c r="D252" s="46"/>
      <c r="E252" s="46"/>
      <c r="F252" s="33"/>
      <c r="G252" s="46"/>
      <c r="H252" s="46"/>
      <c r="I252" s="45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</row>
    <row r="253" spans="1:96" ht="16.5">
      <c r="A253" s="46"/>
      <c r="B253" s="46"/>
      <c r="C253" s="33"/>
      <c r="D253" s="46"/>
      <c r="E253" s="46"/>
      <c r="F253" s="33"/>
      <c r="G253" s="46"/>
      <c r="H253" s="46"/>
      <c r="I253" s="45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</row>
    <row r="254" spans="1:96" ht="16.5">
      <c r="A254" s="46"/>
      <c r="B254" s="46"/>
      <c r="C254" s="33"/>
      <c r="D254" s="46"/>
      <c r="E254" s="46"/>
      <c r="F254" s="33"/>
      <c r="G254" s="46"/>
      <c r="H254" s="46"/>
      <c r="I254" s="45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</row>
    <row r="255" spans="1:96" ht="16.5">
      <c r="A255" s="46"/>
      <c r="B255" s="46"/>
      <c r="C255" s="33"/>
      <c r="D255" s="46"/>
      <c r="E255" s="46"/>
      <c r="F255" s="33"/>
      <c r="G255" s="46"/>
      <c r="H255" s="46"/>
      <c r="I255" s="45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</row>
    <row r="256" spans="1:96" ht="16.5">
      <c r="A256" s="46"/>
      <c r="B256" s="46"/>
      <c r="C256" s="33"/>
      <c r="D256" s="46"/>
      <c r="E256" s="46"/>
      <c r="F256" s="33"/>
      <c r="G256" s="46"/>
      <c r="H256" s="46"/>
      <c r="I256" s="45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</row>
    <row r="257" spans="1:96" ht="16.5">
      <c r="A257" s="46"/>
      <c r="B257" s="46"/>
      <c r="C257" s="33"/>
      <c r="D257" s="46"/>
      <c r="E257" s="46"/>
      <c r="F257" s="33"/>
      <c r="G257" s="46"/>
      <c r="H257" s="46"/>
      <c r="I257" s="45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</row>
    <row r="258" spans="1:96" ht="16.5">
      <c r="A258" s="46"/>
      <c r="B258" s="46"/>
      <c r="C258" s="33"/>
      <c r="D258" s="46"/>
      <c r="E258" s="46"/>
      <c r="F258" s="33"/>
      <c r="G258" s="46"/>
      <c r="H258" s="46"/>
      <c r="I258" s="45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</row>
    <row r="259" spans="1:96" ht="16.5">
      <c r="A259" s="46"/>
      <c r="B259" s="46"/>
      <c r="C259" s="33"/>
      <c r="D259" s="46"/>
      <c r="E259" s="46"/>
      <c r="F259" s="33"/>
      <c r="G259" s="46"/>
      <c r="H259" s="46"/>
      <c r="I259" s="45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</row>
    <row r="260" spans="1:96" ht="16.5">
      <c r="A260" s="46"/>
      <c r="B260" s="46"/>
      <c r="C260" s="33"/>
      <c r="D260" s="46"/>
      <c r="E260" s="46"/>
      <c r="F260" s="33"/>
      <c r="G260" s="46"/>
      <c r="H260" s="46"/>
      <c r="I260" s="45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  <c r="CM260" s="46"/>
      <c r="CN260" s="46"/>
      <c r="CO260" s="46"/>
      <c r="CP260" s="46"/>
      <c r="CQ260" s="46"/>
      <c r="CR260" s="46"/>
    </row>
    <row r="261" spans="1:96" ht="16.5">
      <c r="A261" s="46"/>
      <c r="B261" s="46"/>
      <c r="C261" s="33"/>
      <c r="D261" s="46"/>
      <c r="E261" s="46"/>
      <c r="F261" s="33"/>
      <c r="G261" s="46"/>
      <c r="H261" s="46"/>
      <c r="I261" s="45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</row>
    <row r="262" spans="1:96" ht="16.5">
      <c r="A262" s="46"/>
      <c r="B262" s="46"/>
      <c r="C262" s="33"/>
      <c r="D262" s="46"/>
      <c r="E262" s="46"/>
      <c r="F262" s="33"/>
      <c r="G262" s="46"/>
      <c r="H262" s="46"/>
      <c r="I262" s="45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  <c r="CM262" s="46"/>
      <c r="CN262" s="46"/>
      <c r="CO262" s="46"/>
      <c r="CP262" s="46"/>
      <c r="CQ262" s="46"/>
      <c r="CR262" s="46"/>
    </row>
    <row r="263" spans="1:96" ht="16.5">
      <c r="A263" s="46"/>
      <c r="B263" s="46"/>
      <c r="C263" s="33"/>
      <c r="D263" s="46"/>
      <c r="E263" s="46"/>
      <c r="F263" s="33"/>
      <c r="G263" s="46"/>
      <c r="H263" s="46"/>
      <c r="I263" s="45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  <c r="CM263" s="46"/>
      <c r="CN263" s="46"/>
      <c r="CO263" s="46"/>
      <c r="CP263" s="46"/>
      <c r="CQ263" s="46"/>
      <c r="CR263" s="46"/>
    </row>
    <row r="264" spans="1:96" ht="16.5">
      <c r="A264" s="46"/>
      <c r="B264" s="46"/>
      <c r="C264" s="33"/>
      <c r="D264" s="46"/>
      <c r="E264" s="46"/>
      <c r="F264" s="33"/>
      <c r="G264" s="46"/>
      <c r="H264" s="46"/>
      <c r="I264" s="45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  <c r="CM264" s="46"/>
      <c r="CN264" s="46"/>
      <c r="CO264" s="46"/>
      <c r="CP264" s="46"/>
      <c r="CQ264" s="46"/>
      <c r="CR264" s="46"/>
    </row>
    <row r="265" spans="1:96" ht="16.5">
      <c r="A265" s="46"/>
      <c r="B265" s="46"/>
      <c r="C265" s="33"/>
      <c r="D265" s="46"/>
      <c r="E265" s="46"/>
      <c r="F265" s="33"/>
      <c r="G265" s="46"/>
      <c r="H265" s="46"/>
      <c r="I265" s="45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</row>
    <row r="266" spans="1:96" ht="16.5">
      <c r="A266" s="46"/>
      <c r="B266" s="46"/>
      <c r="C266" s="33"/>
      <c r="D266" s="46"/>
      <c r="E266" s="46"/>
      <c r="F266" s="33"/>
      <c r="G266" s="46"/>
      <c r="H266" s="46"/>
      <c r="I266" s="45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  <c r="CK266" s="46"/>
      <c r="CL266" s="46"/>
      <c r="CM266" s="46"/>
      <c r="CN266" s="46"/>
      <c r="CO266" s="46"/>
      <c r="CP266" s="46"/>
      <c r="CQ266" s="46"/>
      <c r="CR266" s="46"/>
    </row>
    <row r="267" spans="1:96" ht="16.5">
      <c r="A267" s="46"/>
      <c r="B267" s="46"/>
      <c r="C267" s="33"/>
      <c r="D267" s="46"/>
      <c r="E267" s="46"/>
      <c r="F267" s="33"/>
      <c r="G267" s="46"/>
      <c r="H267" s="46"/>
      <c r="I267" s="45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  <c r="CK267" s="46"/>
      <c r="CL267" s="46"/>
      <c r="CM267" s="46"/>
      <c r="CN267" s="46"/>
      <c r="CO267" s="46"/>
      <c r="CP267" s="46"/>
      <c r="CQ267" s="46"/>
      <c r="CR267" s="46"/>
    </row>
    <row r="268" spans="1:96" ht="16.5">
      <c r="A268" s="46"/>
      <c r="B268" s="46"/>
      <c r="C268" s="33"/>
      <c r="D268" s="46"/>
      <c r="E268" s="46"/>
      <c r="F268" s="33"/>
      <c r="G268" s="46"/>
      <c r="H268" s="46"/>
      <c r="I268" s="45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  <c r="CM268" s="46"/>
      <c r="CN268" s="46"/>
      <c r="CO268" s="46"/>
      <c r="CP268" s="46"/>
      <c r="CQ268" s="46"/>
      <c r="CR268" s="46"/>
    </row>
    <row r="269" spans="1:96" ht="16.5">
      <c r="A269" s="46"/>
      <c r="B269" s="46"/>
      <c r="C269" s="33"/>
      <c r="D269" s="46"/>
      <c r="E269" s="46"/>
      <c r="F269" s="33"/>
      <c r="G269" s="46"/>
      <c r="H269" s="46"/>
      <c r="I269" s="45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  <c r="CK269" s="46"/>
      <c r="CL269" s="46"/>
      <c r="CM269" s="46"/>
      <c r="CN269" s="46"/>
      <c r="CO269" s="46"/>
      <c r="CP269" s="46"/>
      <c r="CQ269" s="46"/>
      <c r="CR269" s="46"/>
    </row>
    <row r="270" spans="1:96" ht="16.5">
      <c r="A270" s="46"/>
      <c r="B270" s="46"/>
      <c r="C270" s="33"/>
      <c r="D270" s="46"/>
      <c r="E270" s="46"/>
      <c r="F270" s="33"/>
      <c r="G270" s="46"/>
      <c r="H270" s="46"/>
      <c r="I270" s="45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  <c r="CM270" s="46"/>
      <c r="CN270" s="46"/>
      <c r="CO270" s="46"/>
      <c r="CP270" s="46"/>
      <c r="CQ270" s="46"/>
      <c r="CR270" s="46"/>
    </row>
    <row r="271" spans="1:96" ht="16.5">
      <c r="A271" s="46"/>
      <c r="B271" s="46"/>
      <c r="C271" s="33"/>
      <c r="D271" s="46"/>
      <c r="E271" s="46"/>
      <c r="F271" s="33"/>
      <c r="G271" s="46"/>
      <c r="H271" s="46"/>
      <c r="I271" s="45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  <c r="CK271" s="46"/>
      <c r="CL271" s="46"/>
      <c r="CM271" s="46"/>
      <c r="CN271" s="46"/>
      <c r="CO271" s="46"/>
      <c r="CP271" s="46"/>
      <c r="CQ271" s="46"/>
      <c r="CR271" s="46"/>
    </row>
    <row r="272" spans="1:96" ht="16.5">
      <c r="A272" s="46"/>
      <c r="B272" s="46"/>
      <c r="C272" s="33"/>
      <c r="D272" s="46"/>
      <c r="E272" s="46"/>
      <c r="F272" s="33"/>
      <c r="G272" s="46"/>
      <c r="H272" s="46"/>
      <c r="I272" s="45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  <c r="CK272" s="46"/>
      <c r="CL272" s="46"/>
      <c r="CM272" s="46"/>
      <c r="CN272" s="46"/>
      <c r="CO272" s="46"/>
      <c r="CP272" s="46"/>
      <c r="CQ272" s="46"/>
      <c r="CR272" s="46"/>
    </row>
    <row r="273" spans="1:96" ht="16.5">
      <c r="A273" s="46"/>
      <c r="B273" s="46"/>
      <c r="C273" s="33"/>
      <c r="D273" s="46"/>
      <c r="E273" s="46"/>
      <c r="F273" s="33"/>
      <c r="G273" s="46"/>
      <c r="H273" s="46"/>
      <c r="I273" s="45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  <c r="CK273" s="46"/>
      <c r="CL273" s="46"/>
      <c r="CM273" s="46"/>
      <c r="CN273" s="46"/>
      <c r="CO273" s="46"/>
      <c r="CP273" s="46"/>
      <c r="CQ273" s="46"/>
      <c r="CR273" s="46"/>
    </row>
    <row r="274" spans="1:96" ht="16.5">
      <c r="A274" s="46"/>
      <c r="B274" s="46"/>
      <c r="C274" s="33"/>
      <c r="D274" s="46"/>
      <c r="E274" s="46"/>
      <c r="F274" s="33"/>
      <c r="G274" s="46"/>
      <c r="H274" s="46"/>
      <c r="I274" s="45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  <c r="CK274" s="46"/>
      <c r="CL274" s="46"/>
      <c r="CM274" s="46"/>
      <c r="CN274" s="46"/>
      <c r="CO274" s="46"/>
      <c r="CP274" s="46"/>
      <c r="CQ274" s="46"/>
      <c r="CR274" s="46"/>
    </row>
    <row r="275" spans="1:96" ht="16.5">
      <c r="A275" s="46"/>
      <c r="B275" s="46"/>
      <c r="C275" s="33"/>
      <c r="D275" s="46"/>
      <c r="E275" s="46"/>
      <c r="F275" s="33"/>
      <c r="G275" s="46"/>
      <c r="H275" s="46"/>
      <c r="I275" s="45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  <c r="CK275" s="46"/>
      <c r="CL275" s="46"/>
      <c r="CM275" s="46"/>
      <c r="CN275" s="46"/>
      <c r="CO275" s="46"/>
      <c r="CP275" s="46"/>
      <c r="CQ275" s="46"/>
      <c r="CR275" s="46"/>
    </row>
    <row r="276" spans="1:96" ht="16.5">
      <c r="A276" s="46"/>
      <c r="B276" s="46"/>
      <c r="C276" s="33"/>
      <c r="D276" s="46"/>
      <c r="E276" s="46"/>
      <c r="F276" s="33"/>
      <c r="G276" s="46"/>
      <c r="H276" s="46"/>
      <c r="I276" s="45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  <c r="CK276" s="46"/>
      <c r="CL276" s="46"/>
      <c r="CM276" s="46"/>
      <c r="CN276" s="46"/>
      <c r="CO276" s="46"/>
      <c r="CP276" s="46"/>
      <c r="CQ276" s="46"/>
      <c r="CR276" s="46"/>
    </row>
    <row r="277" spans="1:96" ht="16.5">
      <c r="A277" s="46"/>
      <c r="B277" s="46"/>
      <c r="C277" s="33"/>
      <c r="D277" s="46"/>
      <c r="E277" s="46"/>
      <c r="F277" s="33"/>
      <c r="G277" s="46"/>
      <c r="H277" s="46"/>
      <c r="I277" s="45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  <c r="CK277" s="46"/>
      <c r="CL277" s="46"/>
      <c r="CM277" s="46"/>
      <c r="CN277" s="46"/>
      <c r="CO277" s="46"/>
      <c r="CP277" s="46"/>
      <c r="CQ277" s="46"/>
      <c r="CR277" s="46"/>
    </row>
    <row r="278" spans="1:96" ht="16.5">
      <c r="A278" s="46"/>
      <c r="B278" s="46"/>
      <c r="C278" s="33"/>
      <c r="D278" s="46"/>
      <c r="E278" s="46"/>
      <c r="F278" s="33"/>
      <c r="G278" s="46"/>
      <c r="H278" s="46"/>
      <c r="I278" s="45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  <c r="CK278" s="46"/>
      <c r="CL278" s="46"/>
      <c r="CM278" s="46"/>
      <c r="CN278" s="46"/>
      <c r="CO278" s="46"/>
      <c r="CP278" s="46"/>
      <c r="CQ278" s="46"/>
      <c r="CR278" s="46"/>
    </row>
    <row r="279" spans="1:96" ht="16.5">
      <c r="A279" s="46"/>
      <c r="B279" s="46"/>
      <c r="C279" s="33"/>
      <c r="D279" s="46"/>
      <c r="E279" s="46"/>
      <c r="F279" s="33"/>
      <c r="G279" s="46"/>
      <c r="H279" s="46"/>
      <c r="I279" s="45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  <c r="CK279" s="46"/>
      <c r="CL279" s="46"/>
      <c r="CM279" s="46"/>
      <c r="CN279" s="46"/>
      <c r="CO279" s="46"/>
      <c r="CP279" s="46"/>
      <c r="CQ279" s="46"/>
      <c r="CR279" s="46"/>
    </row>
    <row r="280" spans="1:96" ht="16.5">
      <c r="A280" s="46"/>
      <c r="B280" s="46"/>
      <c r="C280" s="33"/>
      <c r="D280" s="46"/>
      <c r="E280" s="46"/>
      <c r="F280" s="33"/>
      <c r="G280" s="46"/>
      <c r="H280" s="46"/>
      <c r="I280" s="45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  <c r="CK280" s="46"/>
      <c r="CL280" s="46"/>
      <c r="CM280" s="46"/>
      <c r="CN280" s="46"/>
      <c r="CO280" s="46"/>
      <c r="CP280" s="46"/>
      <c r="CQ280" s="46"/>
      <c r="CR280" s="46"/>
    </row>
    <row r="281" spans="1:96" ht="16.5">
      <c r="A281" s="46"/>
      <c r="B281" s="46"/>
      <c r="C281" s="33"/>
      <c r="D281" s="46"/>
      <c r="E281" s="46"/>
      <c r="F281" s="33"/>
      <c r="G281" s="46"/>
      <c r="H281" s="46"/>
      <c r="I281" s="45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  <c r="CK281" s="46"/>
      <c r="CL281" s="46"/>
      <c r="CM281" s="46"/>
      <c r="CN281" s="46"/>
      <c r="CO281" s="46"/>
      <c r="CP281" s="46"/>
      <c r="CQ281" s="46"/>
      <c r="CR281" s="46"/>
    </row>
    <row r="282" spans="1:96" ht="16.5">
      <c r="A282" s="46"/>
      <c r="B282" s="46"/>
      <c r="C282" s="33"/>
      <c r="D282" s="46"/>
      <c r="E282" s="46"/>
      <c r="F282" s="33"/>
      <c r="G282" s="46"/>
      <c r="H282" s="46"/>
      <c r="I282" s="45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  <c r="CK282" s="46"/>
      <c r="CL282" s="46"/>
      <c r="CM282" s="46"/>
      <c r="CN282" s="46"/>
      <c r="CO282" s="46"/>
      <c r="CP282" s="46"/>
      <c r="CQ282" s="46"/>
      <c r="CR282" s="46"/>
    </row>
    <row r="283" spans="1:96" ht="16.5">
      <c r="A283" s="46"/>
      <c r="B283" s="46"/>
      <c r="C283" s="33"/>
      <c r="D283" s="46"/>
      <c r="E283" s="46"/>
      <c r="F283" s="33"/>
      <c r="G283" s="46"/>
      <c r="H283" s="46"/>
      <c r="I283" s="45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  <c r="CK283" s="46"/>
      <c r="CL283" s="46"/>
      <c r="CM283" s="46"/>
      <c r="CN283" s="46"/>
      <c r="CO283" s="46"/>
      <c r="CP283" s="46"/>
      <c r="CQ283" s="46"/>
      <c r="CR283" s="46"/>
    </row>
    <row r="284" spans="1:96" ht="16.5">
      <c r="A284" s="46"/>
      <c r="B284" s="46"/>
      <c r="C284" s="33"/>
      <c r="D284" s="46"/>
      <c r="E284" s="46"/>
      <c r="F284" s="33"/>
      <c r="G284" s="46"/>
      <c r="H284" s="46"/>
      <c r="I284" s="45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  <c r="CK284" s="46"/>
      <c r="CL284" s="46"/>
      <c r="CM284" s="46"/>
      <c r="CN284" s="46"/>
      <c r="CO284" s="46"/>
      <c r="CP284" s="46"/>
      <c r="CQ284" s="46"/>
      <c r="CR284" s="46"/>
    </row>
    <row r="285" spans="1:96" ht="16.5">
      <c r="A285" s="46"/>
      <c r="B285" s="46"/>
      <c r="C285" s="33"/>
      <c r="D285" s="46"/>
      <c r="E285" s="46"/>
      <c r="F285" s="33"/>
      <c r="G285" s="46"/>
      <c r="H285" s="46"/>
      <c r="I285" s="45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  <c r="CK285" s="46"/>
      <c r="CL285" s="46"/>
      <c r="CM285" s="46"/>
      <c r="CN285" s="46"/>
      <c r="CO285" s="46"/>
      <c r="CP285" s="46"/>
      <c r="CQ285" s="46"/>
      <c r="CR285" s="46"/>
    </row>
    <row r="286" spans="1:96" ht="16.5">
      <c r="A286" s="46"/>
      <c r="B286" s="46"/>
      <c r="C286" s="33"/>
      <c r="D286" s="46"/>
      <c r="E286" s="46"/>
      <c r="F286" s="33"/>
      <c r="G286" s="46"/>
      <c r="H286" s="46"/>
      <c r="I286" s="45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/>
      <c r="CP286" s="46"/>
      <c r="CQ286" s="46"/>
      <c r="CR286" s="46"/>
    </row>
    <row r="287" spans="1:96" ht="16.5">
      <c r="A287" s="46"/>
      <c r="B287" s="46"/>
      <c r="C287" s="33"/>
      <c r="D287" s="46"/>
      <c r="E287" s="46"/>
      <c r="F287" s="33"/>
      <c r="G287" s="46"/>
      <c r="H287" s="46"/>
      <c r="I287" s="45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</row>
    <row r="288" spans="1:96" ht="16.5">
      <c r="A288" s="46"/>
      <c r="B288" s="46"/>
      <c r="C288" s="33"/>
      <c r="D288" s="46"/>
      <c r="E288" s="46"/>
      <c r="F288" s="33"/>
      <c r="G288" s="46"/>
      <c r="H288" s="46"/>
      <c r="I288" s="45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  <c r="CK288" s="46"/>
      <c r="CL288" s="46"/>
      <c r="CM288" s="46"/>
      <c r="CN288" s="46"/>
      <c r="CO288" s="46"/>
      <c r="CP288" s="46"/>
      <c r="CQ288" s="46"/>
      <c r="CR288" s="46"/>
    </row>
    <row r="289" spans="1:96" ht="16.5">
      <c r="A289" s="46"/>
      <c r="B289" s="46"/>
      <c r="C289" s="33"/>
      <c r="D289" s="46"/>
      <c r="E289" s="46"/>
      <c r="F289" s="33"/>
      <c r="G289" s="46"/>
      <c r="H289" s="46"/>
      <c r="I289" s="45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</row>
    <row r="290" spans="1:96" ht="16.5">
      <c r="A290" s="46"/>
      <c r="B290" s="46"/>
      <c r="C290" s="33"/>
      <c r="D290" s="46"/>
      <c r="E290" s="46"/>
      <c r="F290" s="33"/>
      <c r="G290" s="46"/>
      <c r="H290" s="46"/>
      <c r="I290" s="45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</row>
    <row r="291" spans="1:96" ht="16.5">
      <c r="A291" s="46"/>
      <c r="B291" s="46"/>
      <c r="C291" s="33"/>
      <c r="D291" s="46"/>
      <c r="E291" s="46"/>
      <c r="F291" s="33"/>
      <c r="G291" s="46"/>
      <c r="H291" s="46"/>
      <c r="I291" s="45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</row>
    <row r="292" spans="1:96" ht="16.5">
      <c r="A292" s="46"/>
      <c r="B292" s="46"/>
      <c r="C292" s="33"/>
      <c r="D292" s="46"/>
      <c r="E292" s="46"/>
      <c r="F292" s="33"/>
      <c r="G292" s="46"/>
      <c r="H292" s="46"/>
      <c r="I292" s="45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</row>
    <row r="293" spans="1:96" ht="16.5">
      <c r="A293" s="46"/>
      <c r="B293" s="46"/>
      <c r="C293" s="33"/>
      <c r="D293" s="46"/>
      <c r="E293" s="46"/>
      <c r="F293" s="33"/>
      <c r="G293" s="46"/>
      <c r="H293" s="46"/>
      <c r="I293" s="45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</row>
    <row r="294" spans="1:96" ht="16.5">
      <c r="A294" s="46"/>
      <c r="B294" s="46"/>
      <c r="C294" s="33"/>
      <c r="D294" s="46"/>
      <c r="E294" s="46"/>
      <c r="F294" s="33"/>
      <c r="G294" s="46"/>
      <c r="H294" s="46"/>
      <c r="I294" s="45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</row>
    <row r="295" spans="1:96" ht="16.5">
      <c r="A295" s="46"/>
      <c r="B295" s="46"/>
      <c r="C295" s="33"/>
      <c r="D295" s="46"/>
      <c r="E295" s="46"/>
      <c r="F295" s="33"/>
      <c r="G295" s="46"/>
      <c r="H295" s="46"/>
      <c r="I295" s="45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</row>
    <row r="296" spans="1:96" ht="16.5">
      <c r="A296" s="46"/>
      <c r="B296" s="46"/>
      <c r="C296" s="33"/>
      <c r="D296" s="46"/>
      <c r="E296" s="46"/>
      <c r="F296" s="33"/>
      <c r="G296" s="46"/>
      <c r="H296" s="46"/>
      <c r="I296" s="45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</row>
    <row r="297" spans="1:96" ht="16.5">
      <c r="A297" s="46"/>
      <c r="B297" s="46"/>
      <c r="C297" s="33"/>
      <c r="D297" s="46"/>
      <c r="E297" s="46"/>
      <c r="F297" s="33"/>
      <c r="G297" s="46"/>
      <c r="H297" s="46"/>
      <c r="I297" s="45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</row>
    <row r="298" spans="1:96" ht="16.5">
      <c r="A298" s="46"/>
      <c r="B298" s="46"/>
      <c r="C298" s="33"/>
      <c r="D298" s="46"/>
      <c r="E298" s="46"/>
      <c r="F298" s="33"/>
      <c r="G298" s="46"/>
      <c r="H298" s="46"/>
      <c r="I298" s="45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</row>
    <row r="299" spans="1:96" ht="16.5">
      <c r="A299" s="46"/>
      <c r="B299" s="46"/>
      <c r="C299" s="33"/>
      <c r="D299" s="46"/>
      <c r="E299" s="46"/>
      <c r="F299" s="33"/>
      <c r="G299" s="46"/>
      <c r="H299" s="46"/>
      <c r="I299" s="45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</row>
    <row r="300" spans="1:96" ht="16.5">
      <c r="A300" s="46"/>
      <c r="B300" s="46"/>
      <c r="C300" s="33"/>
      <c r="D300" s="46"/>
      <c r="E300" s="46"/>
      <c r="F300" s="33"/>
      <c r="G300" s="46"/>
      <c r="H300" s="46"/>
      <c r="I300" s="45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  <c r="CK300" s="46"/>
      <c r="CL300" s="46"/>
      <c r="CM300" s="46"/>
      <c r="CN300" s="46"/>
      <c r="CO300" s="46"/>
      <c r="CP300" s="46"/>
      <c r="CQ300" s="46"/>
      <c r="CR300" s="46"/>
    </row>
    <row r="301" spans="1:96" ht="16.5">
      <c r="A301" s="46"/>
      <c r="B301" s="46"/>
      <c r="C301" s="33"/>
      <c r="D301" s="46"/>
      <c r="E301" s="46"/>
      <c r="F301" s="33"/>
      <c r="G301" s="46"/>
      <c r="H301" s="46"/>
      <c r="I301" s="45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  <c r="CK301" s="46"/>
      <c r="CL301" s="46"/>
      <c r="CM301" s="46"/>
      <c r="CN301" s="46"/>
      <c r="CO301" s="46"/>
      <c r="CP301" s="46"/>
      <c r="CQ301" s="46"/>
      <c r="CR301" s="46"/>
    </row>
    <row r="302" spans="1:96" ht="16.5">
      <c r="A302" s="46"/>
      <c r="B302" s="46"/>
      <c r="C302" s="33"/>
      <c r="D302" s="46"/>
      <c r="E302" s="46"/>
      <c r="F302" s="33"/>
      <c r="G302" s="46"/>
      <c r="H302" s="46"/>
      <c r="I302" s="45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  <c r="CK302" s="46"/>
      <c r="CL302" s="46"/>
      <c r="CM302" s="46"/>
      <c r="CN302" s="46"/>
      <c r="CO302" s="46"/>
      <c r="CP302" s="46"/>
      <c r="CQ302" s="46"/>
      <c r="CR302" s="46"/>
    </row>
    <row r="303" spans="1:96" ht="16.5">
      <c r="A303" s="46"/>
      <c r="B303" s="46"/>
      <c r="C303" s="33"/>
      <c r="D303" s="46"/>
      <c r="E303" s="46"/>
      <c r="F303" s="33"/>
      <c r="G303" s="46"/>
      <c r="H303" s="46"/>
      <c r="I303" s="45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  <c r="CK303" s="46"/>
      <c r="CL303" s="46"/>
      <c r="CM303" s="46"/>
      <c r="CN303" s="46"/>
      <c r="CO303" s="46"/>
      <c r="CP303" s="46"/>
      <c r="CQ303" s="46"/>
      <c r="CR303" s="46"/>
    </row>
    <row r="304" spans="1:96" ht="16.5">
      <c r="A304" s="46"/>
      <c r="B304" s="46"/>
      <c r="C304" s="33"/>
      <c r="D304" s="46"/>
      <c r="E304" s="46"/>
      <c r="F304" s="33"/>
      <c r="G304" s="46"/>
      <c r="H304" s="46"/>
      <c r="I304" s="45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  <c r="CK304" s="46"/>
      <c r="CL304" s="46"/>
      <c r="CM304" s="46"/>
      <c r="CN304" s="46"/>
      <c r="CO304" s="46"/>
      <c r="CP304" s="46"/>
      <c r="CQ304" s="46"/>
      <c r="CR304" s="46"/>
    </row>
    <row r="305" spans="1:96" ht="16.5">
      <c r="A305" s="46"/>
      <c r="B305" s="46"/>
      <c r="C305" s="33"/>
      <c r="D305" s="46"/>
      <c r="E305" s="46"/>
      <c r="F305" s="33"/>
      <c r="G305" s="46"/>
      <c r="H305" s="46"/>
      <c r="I305" s="45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  <c r="CK305" s="46"/>
      <c r="CL305" s="46"/>
      <c r="CM305" s="46"/>
      <c r="CN305" s="46"/>
      <c r="CO305" s="46"/>
      <c r="CP305" s="46"/>
      <c r="CQ305" s="46"/>
      <c r="CR305" s="46"/>
    </row>
    <row r="306" spans="1:96" ht="16.5">
      <c r="A306" s="46"/>
      <c r="B306" s="46"/>
      <c r="C306" s="33"/>
      <c r="D306" s="46"/>
      <c r="E306" s="46"/>
      <c r="F306" s="33"/>
      <c r="G306" s="46"/>
      <c r="H306" s="46"/>
      <c r="I306" s="45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  <c r="CK306" s="46"/>
      <c r="CL306" s="46"/>
      <c r="CM306" s="46"/>
      <c r="CN306" s="46"/>
      <c r="CO306" s="46"/>
      <c r="CP306" s="46"/>
      <c r="CQ306" s="46"/>
      <c r="CR306" s="46"/>
    </row>
    <row r="307" spans="1:96" ht="16.5">
      <c r="A307" s="46"/>
      <c r="B307" s="46"/>
      <c r="C307" s="33"/>
      <c r="D307" s="46"/>
      <c r="E307" s="46"/>
      <c r="F307" s="33"/>
      <c r="G307" s="46"/>
      <c r="H307" s="46"/>
      <c r="I307" s="45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  <c r="CK307" s="46"/>
      <c r="CL307" s="46"/>
      <c r="CM307" s="46"/>
      <c r="CN307" s="46"/>
      <c r="CO307" s="46"/>
      <c r="CP307" s="46"/>
      <c r="CQ307" s="46"/>
      <c r="CR307" s="46"/>
    </row>
    <row r="308" spans="1:96" ht="16.5">
      <c r="A308" s="46"/>
      <c r="B308" s="46"/>
      <c r="C308" s="33"/>
      <c r="D308" s="46"/>
      <c r="E308" s="46"/>
      <c r="F308" s="33"/>
      <c r="G308" s="46"/>
      <c r="H308" s="46"/>
      <c r="I308" s="45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  <c r="CK308" s="46"/>
      <c r="CL308" s="46"/>
      <c r="CM308" s="46"/>
      <c r="CN308" s="46"/>
      <c r="CO308" s="46"/>
      <c r="CP308" s="46"/>
      <c r="CQ308" s="46"/>
      <c r="CR308" s="46"/>
    </row>
    <row r="309" spans="1:96" ht="16.5">
      <c r="A309" s="46"/>
      <c r="B309" s="46"/>
      <c r="C309" s="33"/>
      <c r="D309" s="46"/>
      <c r="E309" s="46"/>
      <c r="F309" s="33"/>
      <c r="G309" s="46"/>
      <c r="H309" s="46"/>
      <c r="I309" s="45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  <c r="CK309" s="46"/>
      <c r="CL309" s="46"/>
      <c r="CM309" s="46"/>
      <c r="CN309" s="46"/>
      <c r="CO309" s="46"/>
      <c r="CP309" s="46"/>
      <c r="CQ309" s="46"/>
      <c r="CR309" s="46"/>
    </row>
    <row r="310" spans="1:96" ht="16.5">
      <c r="A310" s="46"/>
      <c r="B310" s="46"/>
      <c r="C310" s="33"/>
      <c r="D310" s="46"/>
      <c r="E310" s="46"/>
      <c r="F310" s="33"/>
      <c r="G310" s="46"/>
      <c r="H310" s="46"/>
      <c r="I310" s="45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  <c r="CK310" s="46"/>
      <c r="CL310" s="46"/>
      <c r="CM310" s="46"/>
      <c r="CN310" s="46"/>
      <c r="CO310" s="46"/>
      <c r="CP310" s="46"/>
      <c r="CQ310" s="46"/>
      <c r="CR310" s="46"/>
    </row>
    <row r="311" spans="1:96" ht="16.5">
      <c r="A311" s="46"/>
      <c r="B311" s="46"/>
      <c r="C311" s="33"/>
      <c r="D311" s="46"/>
      <c r="E311" s="46"/>
      <c r="F311" s="33"/>
      <c r="G311" s="46"/>
      <c r="H311" s="46"/>
      <c r="I311" s="45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  <c r="CK311" s="46"/>
      <c r="CL311" s="46"/>
      <c r="CM311" s="46"/>
      <c r="CN311" s="46"/>
      <c r="CO311" s="46"/>
      <c r="CP311" s="46"/>
      <c r="CQ311" s="46"/>
      <c r="CR311" s="46"/>
    </row>
    <row r="312" spans="1:96" ht="16.5">
      <c r="A312" s="46"/>
      <c r="B312" s="46"/>
      <c r="C312" s="33"/>
      <c r="D312" s="46"/>
      <c r="E312" s="46"/>
      <c r="F312" s="33"/>
      <c r="G312" s="46"/>
      <c r="H312" s="46"/>
      <c r="I312" s="45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  <c r="CK312" s="46"/>
      <c r="CL312" s="46"/>
      <c r="CM312" s="46"/>
      <c r="CN312" s="46"/>
      <c r="CO312" s="46"/>
      <c r="CP312" s="46"/>
      <c r="CQ312" s="46"/>
      <c r="CR312" s="46"/>
    </row>
    <row r="313" spans="1:96" ht="16.5">
      <c r="A313" s="46"/>
      <c r="B313" s="46"/>
      <c r="C313" s="33"/>
      <c r="D313" s="46"/>
      <c r="E313" s="46"/>
      <c r="F313" s="33"/>
      <c r="G313" s="46"/>
      <c r="H313" s="46"/>
      <c r="I313" s="45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  <c r="CK313" s="46"/>
      <c r="CL313" s="46"/>
      <c r="CM313" s="46"/>
      <c r="CN313" s="46"/>
      <c r="CO313" s="46"/>
      <c r="CP313" s="46"/>
      <c r="CQ313" s="46"/>
      <c r="CR313" s="46"/>
    </row>
    <row r="314" spans="1:96" ht="16.5">
      <c r="A314" s="46"/>
      <c r="B314" s="46"/>
      <c r="C314" s="33"/>
      <c r="D314" s="46"/>
      <c r="E314" s="46"/>
      <c r="F314" s="33"/>
      <c r="G314" s="46"/>
      <c r="H314" s="46"/>
      <c r="I314" s="45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  <c r="CK314" s="46"/>
      <c r="CL314" s="46"/>
      <c r="CM314" s="46"/>
      <c r="CN314" s="46"/>
      <c r="CO314" s="46"/>
      <c r="CP314" s="46"/>
      <c r="CQ314" s="46"/>
      <c r="CR314" s="46"/>
    </row>
    <row r="315" spans="1:96" ht="16.5">
      <c r="A315" s="46"/>
      <c r="B315" s="46"/>
      <c r="C315" s="33"/>
      <c r="D315" s="46"/>
      <c r="E315" s="46"/>
      <c r="F315" s="33"/>
      <c r="G315" s="46"/>
      <c r="H315" s="46"/>
      <c r="I315" s="45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  <c r="CK315" s="46"/>
      <c r="CL315" s="46"/>
      <c r="CM315" s="46"/>
      <c r="CN315" s="46"/>
      <c r="CO315" s="46"/>
      <c r="CP315" s="46"/>
      <c r="CQ315" s="46"/>
      <c r="CR315" s="46"/>
    </row>
    <row r="316" spans="1:96" ht="16.5">
      <c r="A316" s="46"/>
      <c r="B316" s="46"/>
      <c r="C316" s="33"/>
      <c r="D316" s="46"/>
      <c r="E316" s="46"/>
      <c r="F316" s="33"/>
      <c r="G316" s="46"/>
      <c r="H316" s="46"/>
      <c r="I316" s="45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  <c r="CK316" s="46"/>
      <c r="CL316" s="46"/>
      <c r="CM316" s="46"/>
      <c r="CN316" s="46"/>
      <c r="CO316" s="46"/>
      <c r="CP316" s="46"/>
      <c r="CQ316" s="46"/>
      <c r="CR316" s="46"/>
    </row>
    <row r="317" spans="1:96" ht="16.5">
      <c r="A317" s="46"/>
      <c r="B317" s="46"/>
      <c r="C317" s="33"/>
      <c r="D317" s="46"/>
      <c r="E317" s="46"/>
      <c r="F317" s="33"/>
      <c r="G317" s="46"/>
      <c r="H317" s="46"/>
      <c r="I317" s="45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  <c r="CK317" s="46"/>
      <c r="CL317" s="46"/>
      <c r="CM317" s="46"/>
      <c r="CN317" s="46"/>
      <c r="CO317" s="46"/>
      <c r="CP317" s="46"/>
      <c r="CQ317" s="46"/>
      <c r="CR317" s="46"/>
    </row>
    <row r="318" spans="1:96" ht="16.5">
      <c r="A318" s="46"/>
      <c r="B318" s="46"/>
      <c r="C318" s="33"/>
      <c r="D318" s="46"/>
      <c r="E318" s="46"/>
      <c r="F318" s="33"/>
      <c r="G318" s="46"/>
      <c r="H318" s="46"/>
      <c r="I318" s="45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  <c r="CK318" s="46"/>
      <c r="CL318" s="46"/>
      <c r="CM318" s="46"/>
      <c r="CN318" s="46"/>
      <c r="CO318" s="46"/>
      <c r="CP318" s="46"/>
      <c r="CQ318" s="46"/>
      <c r="CR318" s="46"/>
    </row>
    <row r="319" spans="1:96" ht="16.5">
      <c r="A319" s="46"/>
      <c r="B319" s="46"/>
      <c r="C319" s="33"/>
      <c r="D319" s="46"/>
      <c r="E319" s="46"/>
      <c r="F319" s="33"/>
      <c r="G319" s="46"/>
      <c r="H319" s="46"/>
      <c r="I319" s="45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  <c r="CK319" s="46"/>
      <c r="CL319" s="46"/>
      <c r="CM319" s="46"/>
      <c r="CN319" s="46"/>
      <c r="CO319" s="46"/>
      <c r="CP319" s="46"/>
      <c r="CQ319" s="46"/>
      <c r="CR319" s="46"/>
    </row>
    <row r="320" spans="1:96" ht="16.5">
      <c r="A320" s="46"/>
      <c r="B320" s="46"/>
      <c r="C320" s="33"/>
      <c r="D320" s="46"/>
      <c r="E320" s="46"/>
      <c r="F320" s="33"/>
      <c r="G320" s="46"/>
      <c r="H320" s="46"/>
      <c r="I320" s="45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  <c r="CK320" s="46"/>
      <c r="CL320" s="46"/>
      <c r="CM320" s="46"/>
      <c r="CN320" s="46"/>
      <c r="CO320" s="46"/>
      <c r="CP320" s="46"/>
      <c r="CQ320" s="46"/>
      <c r="CR320" s="46"/>
    </row>
    <row r="321" spans="1:96" ht="16.5">
      <c r="A321" s="46"/>
      <c r="B321" s="46"/>
      <c r="C321" s="33"/>
      <c r="D321" s="46"/>
      <c r="E321" s="46"/>
      <c r="F321" s="33"/>
      <c r="G321" s="46"/>
      <c r="H321" s="46"/>
      <c r="I321" s="45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  <c r="CK321" s="46"/>
      <c r="CL321" s="46"/>
      <c r="CM321" s="46"/>
      <c r="CN321" s="46"/>
      <c r="CO321" s="46"/>
      <c r="CP321" s="46"/>
      <c r="CQ321" s="46"/>
      <c r="CR321" s="46"/>
    </row>
    <row r="322" spans="1:96" ht="16.5">
      <c r="A322" s="46"/>
      <c r="B322" s="46"/>
      <c r="C322" s="33"/>
      <c r="D322" s="46"/>
      <c r="E322" s="46"/>
      <c r="F322" s="33"/>
      <c r="G322" s="46"/>
      <c r="H322" s="46"/>
      <c r="I322" s="45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  <c r="CK322" s="46"/>
      <c r="CL322" s="46"/>
      <c r="CM322" s="46"/>
      <c r="CN322" s="46"/>
      <c r="CO322" s="46"/>
      <c r="CP322" s="46"/>
      <c r="CQ322" s="46"/>
      <c r="CR322" s="46"/>
    </row>
    <row r="323" spans="1:96" ht="16.5">
      <c r="A323" s="46"/>
      <c r="B323" s="46"/>
      <c r="C323" s="33"/>
      <c r="D323" s="46"/>
      <c r="E323" s="46"/>
      <c r="F323" s="33"/>
      <c r="G323" s="46"/>
      <c r="H323" s="46"/>
      <c r="I323" s="45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  <c r="CK323" s="46"/>
      <c r="CL323" s="46"/>
      <c r="CM323" s="46"/>
      <c r="CN323" s="46"/>
      <c r="CO323" s="46"/>
      <c r="CP323" s="46"/>
      <c r="CQ323" s="46"/>
      <c r="CR323" s="46"/>
    </row>
    <row r="324" spans="1:96" ht="16.5">
      <c r="A324" s="46"/>
      <c r="B324" s="46"/>
      <c r="C324" s="33"/>
      <c r="D324" s="46"/>
      <c r="E324" s="46"/>
      <c r="F324" s="33"/>
      <c r="G324" s="46"/>
      <c r="H324" s="46"/>
      <c r="I324" s="45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  <c r="CK324" s="46"/>
      <c r="CL324" s="46"/>
      <c r="CM324" s="46"/>
      <c r="CN324" s="46"/>
      <c r="CO324" s="46"/>
      <c r="CP324" s="46"/>
      <c r="CQ324" s="46"/>
      <c r="CR324" s="46"/>
    </row>
    <row r="325" spans="1:96" ht="16.5">
      <c r="A325" s="46"/>
      <c r="B325" s="46"/>
      <c r="C325" s="33"/>
      <c r="D325" s="46"/>
      <c r="E325" s="46"/>
      <c r="F325" s="33"/>
      <c r="G325" s="46"/>
      <c r="H325" s="46"/>
      <c r="I325" s="45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  <c r="CK325" s="46"/>
      <c r="CL325" s="46"/>
      <c r="CM325" s="46"/>
      <c r="CN325" s="46"/>
      <c r="CO325" s="46"/>
      <c r="CP325" s="46"/>
      <c r="CQ325" s="46"/>
      <c r="CR325" s="46"/>
    </row>
    <row r="326" spans="1:96" ht="16.5">
      <c r="A326" s="46"/>
      <c r="B326" s="46"/>
      <c r="C326" s="33"/>
      <c r="D326" s="46"/>
      <c r="E326" s="46"/>
      <c r="F326" s="33"/>
      <c r="G326" s="46"/>
      <c r="H326" s="46"/>
      <c r="I326" s="45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/>
      <c r="CP326" s="46"/>
      <c r="CQ326" s="46"/>
      <c r="CR326" s="46"/>
    </row>
    <row r="327" spans="1:96" ht="16.5">
      <c r="A327" s="46"/>
      <c r="B327" s="46"/>
      <c r="C327" s="33"/>
      <c r="D327" s="46"/>
      <c r="E327" s="46"/>
      <c r="F327" s="33"/>
      <c r="G327" s="46"/>
      <c r="H327" s="46"/>
      <c r="I327" s="45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</row>
    <row r="328" spans="1:96" ht="16.5">
      <c r="A328" s="46"/>
      <c r="B328" s="46"/>
      <c r="C328" s="33"/>
      <c r="D328" s="46"/>
      <c r="E328" s="46"/>
      <c r="F328" s="33"/>
      <c r="G328" s="46"/>
      <c r="H328" s="46"/>
      <c r="I328" s="45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  <c r="CK328" s="46"/>
      <c r="CL328" s="46"/>
      <c r="CM328" s="46"/>
      <c r="CN328" s="46"/>
      <c r="CO328" s="46"/>
      <c r="CP328" s="46"/>
      <c r="CQ328" s="46"/>
      <c r="CR328" s="46"/>
    </row>
    <row r="329" spans="1:96" ht="16.5">
      <c r="A329" s="46"/>
      <c r="B329" s="46"/>
      <c r="C329" s="33"/>
      <c r="D329" s="46"/>
      <c r="E329" s="46"/>
      <c r="F329" s="33"/>
      <c r="G329" s="46"/>
      <c r="H329" s="46"/>
      <c r="I329" s="45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</row>
    <row r="330" spans="1:96" ht="16.5">
      <c r="A330" s="46"/>
      <c r="B330" s="46"/>
      <c r="C330" s="33"/>
      <c r="D330" s="46"/>
      <c r="E330" s="46"/>
      <c r="F330" s="33"/>
      <c r="G330" s="46"/>
      <c r="H330" s="46"/>
      <c r="I330" s="45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</row>
    <row r="331" spans="1:96" ht="16.5">
      <c r="A331" s="46"/>
      <c r="B331" s="46"/>
      <c r="C331" s="33"/>
      <c r="D331" s="46"/>
      <c r="E331" s="46"/>
      <c r="F331" s="33"/>
      <c r="G331" s="46"/>
      <c r="H331" s="46"/>
      <c r="I331" s="45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</row>
    <row r="332" spans="1:96" ht="16.5">
      <c r="A332" s="46"/>
      <c r="B332" s="46"/>
      <c r="C332" s="33"/>
      <c r="D332" s="46"/>
      <c r="E332" s="46"/>
      <c r="F332" s="33"/>
      <c r="G332" s="46"/>
      <c r="H332" s="46"/>
      <c r="I332" s="45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</row>
    <row r="333" spans="1:96" ht="16.5">
      <c r="A333" s="46"/>
      <c r="B333" s="46"/>
      <c r="C333" s="33"/>
      <c r="D333" s="46"/>
      <c r="E333" s="46"/>
      <c r="F333" s="33"/>
      <c r="G333" s="46"/>
      <c r="H333" s="46"/>
      <c r="I333" s="45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</row>
    <row r="334" spans="1:96" ht="16.5">
      <c r="A334" s="46"/>
      <c r="B334" s="46"/>
      <c r="C334" s="33"/>
      <c r="D334" s="46"/>
      <c r="E334" s="46"/>
      <c r="F334" s="33"/>
      <c r="G334" s="46"/>
      <c r="H334" s="46"/>
      <c r="I334" s="45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</row>
    <row r="335" spans="1:96" ht="16.5">
      <c r="A335" s="46"/>
      <c r="B335" s="46"/>
      <c r="C335" s="33"/>
      <c r="D335" s="46"/>
      <c r="E335" s="46"/>
      <c r="F335" s="33"/>
      <c r="G335" s="46"/>
      <c r="H335" s="46"/>
      <c r="I335" s="45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</row>
    <row r="336" spans="1:96" ht="16.5">
      <c r="A336" s="46"/>
      <c r="B336" s="46"/>
      <c r="C336" s="33"/>
      <c r="D336" s="46"/>
      <c r="E336" s="46"/>
      <c r="F336" s="33"/>
      <c r="G336" s="46"/>
      <c r="H336" s="46"/>
      <c r="I336" s="45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</row>
    <row r="337" spans="1:96" ht="16.5">
      <c r="A337" s="46"/>
      <c r="B337" s="46"/>
      <c r="C337" s="33"/>
      <c r="D337" s="46"/>
      <c r="E337" s="46"/>
      <c r="F337" s="33"/>
      <c r="G337" s="46"/>
      <c r="H337" s="46"/>
      <c r="I337" s="45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</row>
    <row r="338" spans="1:96" ht="16.5">
      <c r="A338" s="46"/>
      <c r="B338" s="46"/>
      <c r="C338" s="33"/>
      <c r="D338" s="46"/>
      <c r="E338" s="46"/>
      <c r="F338" s="33"/>
      <c r="G338" s="46"/>
      <c r="H338" s="46"/>
      <c r="I338" s="45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</row>
    <row r="339" spans="1:96" ht="16.5">
      <c r="A339" s="46"/>
      <c r="B339" s="46"/>
      <c r="C339" s="33"/>
      <c r="D339" s="46"/>
      <c r="E339" s="46"/>
      <c r="F339" s="33"/>
      <c r="G339" s="46"/>
      <c r="H339" s="46"/>
      <c r="I339" s="45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</row>
    <row r="340" spans="1:96" ht="16.5">
      <c r="A340" s="46"/>
      <c r="B340" s="46"/>
      <c r="C340" s="33"/>
      <c r="D340" s="46"/>
      <c r="E340" s="46"/>
      <c r="F340" s="33"/>
      <c r="G340" s="46"/>
      <c r="H340" s="46"/>
      <c r="I340" s="45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  <c r="CK340" s="46"/>
      <c r="CL340" s="46"/>
      <c r="CM340" s="46"/>
      <c r="CN340" s="46"/>
      <c r="CO340" s="46"/>
      <c r="CP340" s="46"/>
      <c r="CQ340" s="46"/>
      <c r="CR340" s="46"/>
    </row>
    <row r="341" spans="1:96" ht="16.5">
      <c r="A341" s="46"/>
      <c r="B341" s="46"/>
      <c r="C341" s="33"/>
      <c r="D341" s="46"/>
      <c r="E341" s="46"/>
      <c r="F341" s="33"/>
      <c r="G341" s="46"/>
      <c r="H341" s="46"/>
      <c r="I341" s="45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  <c r="CK341" s="46"/>
      <c r="CL341" s="46"/>
      <c r="CM341" s="46"/>
      <c r="CN341" s="46"/>
      <c r="CO341" s="46"/>
      <c r="CP341" s="46"/>
      <c r="CQ341" s="46"/>
      <c r="CR341" s="46"/>
    </row>
    <row r="342" spans="1:96" ht="16.5">
      <c r="A342" s="46"/>
      <c r="B342" s="46"/>
      <c r="C342" s="33"/>
      <c r="D342" s="46"/>
      <c r="E342" s="46"/>
      <c r="F342" s="33"/>
      <c r="G342" s="46"/>
      <c r="H342" s="46"/>
      <c r="I342" s="45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  <c r="CK342" s="46"/>
      <c r="CL342" s="46"/>
      <c r="CM342" s="46"/>
      <c r="CN342" s="46"/>
      <c r="CO342" s="46"/>
      <c r="CP342" s="46"/>
      <c r="CQ342" s="46"/>
      <c r="CR342" s="46"/>
    </row>
    <row r="343" spans="1:96" ht="16.5">
      <c r="A343" s="46"/>
      <c r="B343" s="46"/>
      <c r="C343" s="33"/>
      <c r="D343" s="46"/>
      <c r="E343" s="46"/>
      <c r="F343" s="33"/>
      <c r="G343" s="46"/>
      <c r="H343" s="46"/>
      <c r="I343" s="45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  <c r="CK343" s="46"/>
      <c r="CL343" s="46"/>
      <c r="CM343" s="46"/>
      <c r="CN343" s="46"/>
      <c r="CO343" s="46"/>
      <c r="CP343" s="46"/>
      <c r="CQ343" s="46"/>
      <c r="CR343" s="46"/>
    </row>
    <row r="344" spans="1:96" ht="16.5">
      <c r="A344" s="46"/>
      <c r="B344" s="46"/>
      <c r="C344" s="33"/>
      <c r="D344" s="46"/>
      <c r="E344" s="46"/>
      <c r="F344" s="33"/>
      <c r="G344" s="46"/>
      <c r="H344" s="46"/>
      <c r="I344" s="45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  <c r="CK344" s="46"/>
      <c r="CL344" s="46"/>
      <c r="CM344" s="46"/>
      <c r="CN344" s="46"/>
      <c r="CO344" s="46"/>
      <c r="CP344" s="46"/>
      <c r="CQ344" s="46"/>
      <c r="CR344" s="46"/>
    </row>
    <row r="345" spans="1:96" ht="16.5">
      <c r="A345" s="46"/>
      <c r="B345" s="46"/>
      <c r="C345" s="33"/>
      <c r="D345" s="46"/>
      <c r="E345" s="46"/>
      <c r="F345" s="33"/>
      <c r="G345" s="46"/>
      <c r="H345" s="46"/>
      <c r="I345" s="45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  <c r="CK345" s="46"/>
      <c r="CL345" s="46"/>
      <c r="CM345" s="46"/>
      <c r="CN345" s="46"/>
      <c r="CO345" s="46"/>
      <c r="CP345" s="46"/>
      <c r="CQ345" s="46"/>
      <c r="CR345" s="46"/>
    </row>
    <row r="346" spans="1:96" ht="16.5">
      <c r="A346" s="46"/>
      <c r="B346" s="46"/>
      <c r="C346" s="33"/>
      <c r="D346" s="46"/>
      <c r="E346" s="46"/>
      <c r="F346" s="33"/>
      <c r="G346" s="46"/>
      <c r="H346" s="46"/>
      <c r="I346" s="45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  <c r="CK346" s="46"/>
      <c r="CL346" s="46"/>
      <c r="CM346" s="46"/>
      <c r="CN346" s="46"/>
      <c r="CO346" s="46"/>
      <c r="CP346" s="46"/>
      <c r="CQ346" s="46"/>
      <c r="CR346" s="46"/>
    </row>
    <row r="347" spans="1:96" ht="16.5">
      <c r="A347" s="46"/>
      <c r="B347" s="46"/>
      <c r="C347" s="33"/>
      <c r="D347" s="46"/>
      <c r="E347" s="46"/>
      <c r="F347" s="33"/>
      <c r="G347" s="46"/>
      <c r="H347" s="46"/>
      <c r="I347" s="45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  <c r="CK347" s="46"/>
      <c r="CL347" s="46"/>
      <c r="CM347" s="46"/>
      <c r="CN347" s="46"/>
      <c r="CO347" s="46"/>
      <c r="CP347" s="46"/>
      <c r="CQ347" s="46"/>
      <c r="CR347" s="46"/>
    </row>
    <row r="348" spans="1:96" ht="16.5">
      <c r="A348" s="46"/>
      <c r="B348" s="46"/>
      <c r="C348" s="33"/>
      <c r="D348" s="46"/>
      <c r="E348" s="46"/>
      <c r="F348" s="33"/>
      <c r="G348" s="46"/>
      <c r="H348" s="46"/>
      <c r="I348" s="45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  <c r="CK348" s="46"/>
      <c r="CL348" s="46"/>
      <c r="CM348" s="46"/>
      <c r="CN348" s="46"/>
      <c r="CO348" s="46"/>
      <c r="CP348" s="46"/>
      <c r="CQ348" s="46"/>
      <c r="CR348" s="46"/>
    </row>
    <row r="349" spans="1:96" ht="16.5">
      <c r="A349" s="46"/>
      <c r="B349" s="46"/>
      <c r="C349" s="33"/>
      <c r="D349" s="46"/>
      <c r="E349" s="46"/>
      <c r="F349" s="33"/>
      <c r="G349" s="46"/>
      <c r="H349" s="46"/>
      <c r="I349" s="45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  <c r="CK349" s="46"/>
      <c r="CL349" s="46"/>
      <c r="CM349" s="46"/>
      <c r="CN349" s="46"/>
      <c r="CO349" s="46"/>
      <c r="CP349" s="46"/>
      <c r="CQ349" s="46"/>
      <c r="CR349" s="46"/>
    </row>
    <row r="350" spans="1:96" ht="16.5">
      <c r="A350" s="46"/>
      <c r="B350" s="46"/>
      <c r="C350" s="33"/>
      <c r="D350" s="46"/>
      <c r="E350" s="46"/>
      <c r="F350" s="33"/>
      <c r="G350" s="46"/>
      <c r="H350" s="46"/>
      <c r="I350" s="45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  <c r="CK350" s="46"/>
      <c r="CL350" s="46"/>
      <c r="CM350" s="46"/>
      <c r="CN350" s="46"/>
      <c r="CO350" s="46"/>
      <c r="CP350" s="46"/>
      <c r="CQ350" s="46"/>
      <c r="CR350" s="46"/>
    </row>
    <row r="351" spans="1:96" ht="16.5">
      <c r="A351" s="46"/>
      <c r="B351" s="46"/>
      <c r="C351" s="33"/>
      <c r="D351" s="46"/>
      <c r="E351" s="46"/>
      <c r="F351" s="33"/>
      <c r="G351" s="46"/>
      <c r="H351" s="46"/>
      <c r="I351" s="45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  <c r="CK351" s="46"/>
      <c r="CL351" s="46"/>
      <c r="CM351" s="46"/>
      <c r="CN351" s="46"/>
      <c r="CO351" s="46"/>
      <c r="CP351" s="46"/>
      <c r="CQ351" s="46"/>
      <c r="CR351" s="46"/>
    </row>
    <row r="352" spans="1:96" ht="16.5">
      <c r="A352" s="46"/>
      <c r="B352" s="46"/>
      <c r="C352" s="33"/>
      <c r="D352" s="46"/>
      <c r="E352" s="46"/>
      <c r="F352" s="33"/>
      <c r="G352" s="46"/>
      <c r="H352" s="46"/>
      <c r="I352" s="45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  <c r="CK352" s="46"/>
      <c r="CL352" s="46"/>
      <c r="CM352" s="46"/>
      <c r="CN352" s="46"/>
      <c r="CO352" s="46"/>
      <c r="CP352" s="46"/>
      <c r="CQ352" s="46"/>
      <c r="CR352" s="46"/>
    </row>
    <row r="353" spans="1:96" ht="16.5">
      <c r="A353" s="46"/>
      <c r="B353" s="46"/>
      <c r="C353" s="33"/>
      <c r="D353" s="46"/>
      <c r="E353" s="46"/>
      <c r="F353" s="33"/>
      <c r="G353" s="46"/>
      <c r="H353" s="46"/>
      <c r="I353" s="45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  <c r="CK353" s="46"/>
      <c r="CL353" s="46"/>
      <c r="CM353" s="46"/>
      <c r="CN353" s="46"/>
      <c r="CO353" s="46"/>
      <c r="CP353" s="46"/>
      <c r="CQ353" s="46"/>
      <c r="CR353" s="46"/>
    </row>
    <row r="354" spans="1:96" ht="16.5">
      <c r="A354" s="46"/>
      <c r="B354" s="46"/>
      <c r="C354" s="33"/>
      <c r="D354" s="46"/>
      <c r="E354" s="46"/>
      <c r="F354" s="33"/>
      <c r="G354" s="46"/>
      <c r="H354" s="46"/>
      <c r="I354" s="45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  <c r="CK354" s="46"/>
      <c r="CL354" s="46"/>
      <c r="CM354" s="46"/>
      <c r="CN354" s="46"/>
      <c r="CO354" s="46"/>
      <c r="CP354" s="46"/>
      <c r="CQ354" s="46"/>
      <c r="CR354" s="46"/>
    </row>
    <row r="355" spans="1:96" ht="16.5">
      <c r="A355" s="46"/>
      <c r="B355" s="46"/>
      <c r="C355" s="33"/>
      <c r="D355" s="46"/>
      <c r="E355" s="46"/>
      <c r="F355" s="33"/>
      <c r="G355" s="46"/>
      <c r="H355" s="46"/>
      <c r="I355" s="45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  <c r="CK355" s="46"/>
      <c r="CL355" s="46"/>
      <c r="CM355" s="46"/>
      <c r="CN355" s="46"/>
      <c r="CO355" s="46"/>
      <c r="CP355" s="46"/>
      <c r="CQ355" s="46"/>
      <c r="CR355" s="46"/>
    </row>
    <row r="356" spans="1:96" ht="16.5">
      <c r="A356" s="46"/>
      <c r="B356" s="46"/>
      <c r="C356" s="33"/>
      <c r="D356" s="46"/>
      <c r="E356" s="46"/>
      <c r="F356" s="33"/>
      <c r="G356" s="46"/>
      <c r="H356" s="46"/>
      <c r="I356" s="45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  <c r="CK356" s="46"/>
      <c r="CL356" s="46"/>
      <c r="CM356" s="46"/>
      <c r="CN356" s="46"/>
      <c r="CO356" s="46"/>
      <c r="CP356" s="46"/>
      <c r="CQ356" s="46"/>
      <c r="CR356" s="46"/>
    </row>
    <row r="357" spans="1:96" ht="16.5">
      <c r="A357" s="46"/>
      <c r="B357" s="46"/>
      <c r="C357" s="33"/>
      <c r="D357" s="46"/>
      <c r="E357" s="46"/>
      <c r="F357" s="33"/>
      <c r="G357" s="46"/>
      <c r="H357" s="46"/>
      <c r="I357" s="45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  <c r="CK357" s="46"/>
      <c r="CL357" s="46"/>
      <c r="CM357" s="46"/>
      <c r="CN357" s="46"/>
      <c r="CO357" s="46"/>
      <c r="CP357" s="46"/>
      <c r="CQ357" s="46"/>
      <c r="CR357" s="46"/>
    </row>
    <row r="358" spans="1:96" ht="16.5">
      <c r="A358" s="46"/>
      <c r="B358" s="46"/>
      <c r="C358" s="33"/>
      <c r="D358" s="46"/>
      <c r="E358" s="46"/>
      <c r="F358" s="33"/>
      <c r="G358" s="46"/>
      <c r="H358" s="46"/>
      <c r="I358" s="45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  <c r="CM358" s="46"/>
      <c r="CN358" s="46"/>
      <c r="CO358" s="46"/>
      <c r="CP358" s="46"/>
      <c r="CQ358" s="46"/>
      <c r="CR358" s="46"/>
    </row>
    <row r="359" spans="1:96" ht="16.5">
      <c r="A359" s="46"/>
      <c r="B359" s="46"/>
      <c r="C359" s="33"/>
      <c r="D359" s="46"/>
      <c r="E359" s="46"/>
      <c r="F359" s="33"/>
      <c r="G359" s="46"/>
      <c r="H359" s="46"/>
      <c r="I359" s="45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  <c r="CK359" s="46"/>
      <c r="CL359" s="46"/>
      <c r="CM359" s="46"/>
      <c r="CN359" s="46"/>
      <c r="CO359" s="46"/>
      <c r="CP359" s="46"/>
      <c r="CQ359" s="46"/>
      <c r="CR359" s="46"/>
    </row>
    <row r="360" spans="1:96" ht="16.5">
      <c r="A360" s="46"/>
      <c r="B360" s="46"/>
      <c r="C360" s="33"/>
      <c r="D360" s="46"/>
      <c r="E360" s="46"/>
      <c r="F360" s="33"/>
      <c r="G360" s="46"/>
      <c r="H360" s="46"/>
      <c r="I360" s="45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  <c r="CK360" s="46"/>
      <c r="CL360" s="46"/>
      <c r="CM360" s="46"/>
      <c r="CN360" s="46"/>
      <c r="CO360" s="46"/>
      <c r="CP360" s="46"/>
      <c r="CQ360" s="46"/>
      <c r="CR360" s="46"/>
    </row>
    <row r="361" spans="1:96" ht="16.5">
      <c r="A361" s="46"/>
      <c r="B361" s="46"/>
      <c r="C361" s="33"/>
      <c r="D361" s="46"/>
      <c r="E361" s="46"/>
      <c r="F361" s="33"/>
      <c r="G361" s="46"/>
      <c r="H361" s="46"/>
      <c r="I361" s="45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  <c r="CK361" s="46"/>
      <c r="CL361" s="46"/>
      <c r="CM361" s="46"/>
      <c r="CN361" s="46"/>
      <c r="CO361" s="46"/>
      <c r="CP361" s="46"/>
      <c r="CQ361" s="46"/>
      <c r="CR361" s="46"/>
    </row>
    <row r="362" spans="1:96" ht="16.5">
      <c r="A362" s="46"/>
      <c r="B362" s="46"/>
      <c r="C362" s="33"/>
      <c r="D362" s="46"/>
      <c r="E362" s="46"/>
      <c r="F362" s="33"/>
      <c r="G362" s="46"/>
      <c r="H362" s="46"/>
      <c r="I362" s="45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  <c r="CK362" s="46"/>
      <c r="CL362" s="46"/>
      <c r="CM362" s="46"/>
      <c r="CN362" s="46"/>
      <c r="CO362" s="46"/>
      <c r="CP362" s="46"/>
      <c r="CQ362" s="46"/>
      <c r="CR362" s="46"/>
    </row>
    <row r="363" spans="1:96" ht="16.5">
      <c r="A363" s="46"/>
      <c r="B363" s="46"/>
      <c r="C363" s="33"/>
      <c r="D363" s="46"/>
      <c r="E363" s="46"/>
      <c r="F363" s="33"/>
      <c r="G363" s="46"/>
      <c r="H363" s="46"/>
      <c r="I363" s="45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  <c r="CM363" s="46"/>
      <c r="CN363" s="46"/>
      <c r="CO363" s="46"/>
      <c r="CP363" s="46"/>
      <c r="CQ363" s="46"/>
      <c r="CR363" s="46"/>
    </row>
    <row r="364" spans="1:96" ht="16.5">
      <c r="A364" s="46"/>
      <c r="B364" s="46"/>
      <c r="C364" s="33"/>
      <c r="D364" s="46"/>
      <c r="E364" s="46"/>
      <c r="F364" s="33"/>
      <c r="G364" s="46"/>
      <c r="H364" s="46"/>
      <c r="I364" s="45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  <c r="CK364" s="46"/>
      <c r="CL364" s="46"/>
      <c r="CM364" s="46"/>
      <c r="CN364" s="46"/>
      <c r="CO364" s="46"/>
      <c r="CP364" s="46"/>
      <c r="CQ364" s="46"/>
      <c r="CR364" s="46"/>
    </row>
    <row r="365" spans="1:96" ht="16.5">
      <c r="A365" s="46"/>
      <c r="B365" s="46"/>
      <c r="C365" s="33"/>
      <c r="D365" s="46"/>
      <c r="E365" s="46"/>
      <c r="F365" s="33"/>
      <c r="G365" s="46"/>
      <c r="H365" s="46"/>
      <c r="I365" s="45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  <c r="CK365" s="46"/>
      <c r="CL365" s="46"/>
      <c r="CM365" s="46"/>
      <c r="CN365" s="46"/>
      <c r="CO365" s="46"/>
      <c r="CP365" s="46"/>
      <c r="CQ365" s="46"/>
      <c r="CR365" s="46"/>
    </row>
    <row r="366" spans="1:96" ht="16.5">
      <c r="A366" s="46"/>
      <c r="B366" s="46"/>
      <c r="C366" s="33"/>
      <c r="D366" s="46"/>
      <c r="E366" s="46"/>
      <c r="F366" s="33"/>
      <c r="G366" s="46"/>
      <c r="H366" s="46"/>
      <c r="I366" s="45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/>
      <c r="CP366" s="46"/>
      <c r="CQ366" s="46"/>
      <c r="CR366" s="46"/>
    </row>
    <row r="367" spans="1:96" ht="16.5">
      <c r="A367" s="46"/>
      <c r="B367" s="46"/>
      <c r="C367" s="33"/>
      <c r="D367" s="46"/>
      <c r="E367" s="46"/>
      <c r="F367" s="33"/>
      <c r="G367" s="46"/>
      <c r="H367" s="46"/>
      <c r="I367" s="45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</row>
    <row r="368" spans="1:96" ht="16.5">
      <c r="A368" s="46"/>
      <c r="B368" s="46"/>
      <c r="C368" s="33"/>
      <c r="D368" s="46"/>
      <c r="E368" s="46"/>
      <c r="F368" s="33"/>
      <c r="G368" s="46"/>
      <c r="H368" s="46"/>
      <c r="I368" s="45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  <c r="CK368" s="46"/>
      <c r="CL368" s="46"/>
      <c r="CM368" s="46"/>
      <c r="CN368" s="46"/>
      <c r="CO368" s="46"/>
      <c r="CP368" s="46"/>
      <c r="CQ368" s="46"/>
      <c r="CR368" s="46"/>
    </row>
    <row r="369" spans="1:96" ht="16.5">
      <c r="A369" s="46"/>
      <c r="B369" s="46"/>
      <c r="C369" s="33"/>
      <c r="D369" s="46"/>
      <c r="E369" s="46"/>
      <c r="F369" s="33"/>
      <c r="G369" s="46"/>
      <c r="H369" s="46"/>
      <c r="I369" s="45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</row>
    <row r="370" spans="1:96" ht="16.5">
      <c r="A370" s="46"/>
      <c r="B370" s="46"/>
      <c r="C370" s="33"/>
      <c r="D370" s="46"/>
      <c r="E370" s="46"/>
      <c r="F370" s="33"/>
      <c r="G370" s="46"/>
      <c r="H370" s="46"/>
      <c r="I370" s="45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</row>
    <row r="371" spans="1:96" ht="16.5">
      <c r="A371" s="46"/>
      <c r="B371" s="46"/>
      <c r="C371" s="33"/>
      <c r="D371" s="46"/>
      <c r="E371" s="46"/>
      <c r="F371" s="33"/>
      <c r="G371" s="46"/>
      <c r="H371" s="46"/>
      <c r="I371" s="45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</row>
    <row r="372" spans="1:96" ht="16.5">
      <c r="A372" s="46"/>
      <c r="B372" s="46"/>
      <c r="C372" s="33"/>
      <c r="D372" s="46"/>
      <c r="E372" s="46"/>
      <c r="F372" s="33"/>
      <c r="G372" s="46"/>
      <c r="H372" s="46"/>
      <c r="I372" s="45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</row>
    <row r="373" spans="1:96" ht="16.5">
      <c r="A373" s="46"/>
      <c r="B373" s="46"/>
      <c r="C373" s="33"/>
      <c r="D373" s="46"/>
      <c r="E373" s="46"/>
      <c r="F373" s="33"/>
      <c r="G373" s="46"/>
      <c r="H373" s="46"/>
      <c r="I373" s="45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</row>
    <row r="374" spans="1:96" ht="16.5">
      <c r="A374" s="46"/>
      <c r="B374" s="46"/>
      <c r="C374" s="33"/>
      <c r="D374" s="46"/>
      <c r="E374" s="46"/>
      <c r="F374" s="33"/>
      <c r="G374" s="46"/>
      <c r="H374" s="46"/>
      <c r="I374" s="45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</row>
    <row r="375" spans="1:96" ht="16.5">
      <c r="A375" s="46"/>
      <c r="B375" s="46"/>
      <c r="C375" s="33"/>
      <c r="D375" s="46"/>
      <c r="E375" s="46"/>
      <c r="F375" s="33"/>
      <c r="G375" s="46"/>
      <c r="H375" s="46"/>
      <c r="I375" s="45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</row>
    <row r="376" spans="1:96" ht="16.5">
      <c r="A376" s="46"/>
      <c r="B376" s="46"/>
      <c r="C376" s="33"/>
      <c r="D376" s="46"/>
      <c r="E376" s="46"/>
      <c r="F376" s="33"/>
      <c r="G376" s="46"/>
      <c r="H376" s="46"/>
      <c r="I376" s="45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</row>
    <row r="377" spans="1:96" ht="16.5">
      <c r="A377" s="46"/>
      <c r="B377" s="46"/>
      <c r="C377" s="33"/>
      <c r="D377" s="46"/>
      <c r="E377" s="46"/>
      <c r="F377" s="33"/>
      <c r="G377" s="46"/>
      <c r="H377" s="46"/>
      <c r="I377" s="45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</row>
    <row r="378" spans="1:96" ht="16.5">
      <c r="A378" s="46"/>
      <c r="B378" s="46"/>
      <c r="C378" s="33"/>
      <c r="D378" s="46"/>
      <c r="E378" s="46"/>
      <c r="F378" s="33"/>
      <c r="G378" s="46"/>
      <c r="H378" s="46"/>
      <c r="I378" s="45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</row>
    <row r="379" spans="1:96" ht="16.5">
      <c r="A379" s="46"/>
      <c r="B379" s="46"/>
      <c r="C379" s="33"/>
      <c r="D379" s="46"/>
      <c r="E379" s="46"/>
      <c r="F379" s="33"/>
      <c r="G379" s="46"/>
      <c r="H379" s="46"/>
      <c r="I379" s="45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</row>
    <row r="380" spans="1:96" ht="16.5">
      <c r="A380" s="46"/>
      <c r="B380" s="46"/>
      <c r="C380" s="33"/>
      <c r="D380" s="46"/>
      <c r="E380" s="46"/>
      <c r="F380" s="33"/>
      <c r="G380" s="46"/>
      <c r="H380" s="46"/>
      <c r="I380" s="45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  <c r="CK380" s="46"/>
      <c r="CL380" s="46"/>
      <c r="CM380" s="46"/>
      <c r="CN380" s="46"/>
      <c r="CO380" s="46"/>
      <c r="CP380" s="46"/>
      <c r="CQ380" s="46"/>
      <c r="CR380" s="46"/>
    </row>
    <row r="381" spans="1:96" ht="16.5">
      <c r="A381" s="46"/>
      <c r="B381" s="46"/>
      <c r="C381" s="33"/>
      <c r="D381" s="46"/>
      <c r="E381" s="46"/>
      <c r="F381" s="33"/>
      <c r="G381" s="46"/>
      <c r="H381" s="46"/>
      <c r="I381" s="45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  <c r="CK381" s="46"/>
      <c r="CL381" s="46"/>
      <c r="CM381" s="46"/>
      <c r="CN381" s="46"/>
      <c r="CO381" s="46"/>
      <c r="CP381" s="46"/>
      <c r="CQ381" s="46"/>
      <c r="CR381" s="46"/>
    </row>
    <row r="382" spans="1:96" ht="16.5">
      <c r="A382" s="46"/>
      <c r="B382" s="46"/>
      <c r="C382" s="33"/>
      <c r="D382" s="46"/>
      <c r="E382" s="46"/>
      <c r="F382" s="33"/>
      <c r="G382" s="46"/>
      <c r="H382" s="46"/>
      <c r="I382" s="45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  <c r="CK382" s="46"/>
      <c r="CL382" s="46"/>
      <c r="CM382" s="46"/>
      <c r="CN382" s="46"/>
      <c r="CO382" s="46"/>
      <c r="CP382" s="46"/>
      <c r="CQ382" s="46"/>
      <c r="CR382" s="46"/>
    </row>
    <row r="383" spans="1:96" ht="16.5">
      <c r="A383" s="46"/>
      <c r="B383" s="46"/>
      <c r="C383" s="33"/>
      <c r="D383" s="46"/>
      <c r="E383" s="46"/>
      <c r="F383" s="33"/>
      <c r="G383" s="46"/>
      <c r="H383" s="46"/>
      <c r="I383" s="45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  <c r="CK383" s="46"/>
      <c r="CL383" s="46"/>
      <c r="CM383" s="46"/>
      <c r="CN383" s="46"/>
      <c r="CO383" s="46"/>
      <c r="CP383" s="46"/>
      <c r="CQ383" s="46"/>
      <c r="CR383" s="46"/>
    </row>
    <row r="384" spans="1:96" ht="16.5">
      <c r="A384" s="46"/>
      <c r="B384" s="46"/>
      <c r="C384" s="33"/>
      <c r="D384" s="46"/>
      <c r="E384" s="46"/>
      <c r="F384" s="33"/>
      <c r="G384" s="46"/>
      <c r="H384" s="46"/>
      <c r="I384" s="45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  <c r="CK384" s="46"/>
      <c r="CL384" s="46"/>
      <c r="CM384" s="46"/>
      <c r="CN384" s="46"/>
      <c r="CO384" s="46"/>
      <c r="CP384" s="46"/>
      <c r="CQ384" s="46"/>
      <c r="CR384" s="46"/>
    </row>
    <row r="385" spans="1:96" ht="16.5">
      <c r="A385" s="46"/>
      <c r="B385" s="46"/>
      <c r="C385" s="33"/>
      <c r="D385" s="46"/>
      <c r="E385" s="46"/>
      <c r="F385" s="33"/>
      <c r="G385" s="46"/>
      <c r="H385" s="46"/>
      <c r="I385" s="45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  <c r="CK385" s="46"/>
      <c r="CL385" s="46"/>
      <c r="CM385" s="46"/>
      <c r="CN385" s="46"/>
      <c r="CO385" s="46"/>
      <c r="CP385" s="46"/>
      <c r="CQ385" s="46"/>
      <c r="CR385" s="46"/>
    </row>
    <row r="386" spans="1:96" ht="16.5">
      <c r="A386" s="46"/>
      <c r="B386" s="46"/>
      <c r="C386" s="33"/>
      <c r="D386" s="46"/>
      <c r="E386" s="46"/>
      <c r="F386" s="33"/>
      <c r="G386" s="46"/>
      <c r="H386" s="46"/>
      <c r="I386" s="45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  <c r="CK386" s="46"/>
      <c r="CL386" s="46"/>
      <c r="CM386" s="46"/>
      <c r="CN386" s="46"/>
      <c r="CO386" s="46"/>
      <c r="CP386" s="46"/>
      <c r="CQ386" s="46"/>
      <c r="CR386" s="46"/>
    </row>
    <row r="387" spans="1:96" ht="16.5">
      <c r="A387" s="46"/>
      <c r="B387" s="46"/>
      <c r="C387" s="33"/>
      <c r="D387" s="46"/>
      <c r="E387" s="46"/>
      <c r="F387" s="33"/>
      <c r="G387" s="46"/>
      <c r="H387" s="46"/>
      <c r="I387" s="45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  <c r="CK387" s="46"/>
      <c r="CL387" s="46"/>
      <c r="CM387" s="46"/>
      <c r="CN387" s="46"/>
      <c r="CO387" s="46"/>
      <c r="CP387" s="46"/>
      <c r="CQ387" s="46"/>
      <c r="CR387" s="46"/>
    </row>
    <row r="388" spans="1:96" ht="16.5">
      <c r="A388" s="46"/>
      <c r="B388" s="46"/>
      <c r="C388" s="33"/>
      <c r="D388" s="46"/>
      <c r="E388" s="46"/>
      <c r="F388" s="33"/>
      <c r="G388" s="46"/>
      <c r="H388" s="46"/>
      <c r="I388" s="45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  <c r="CK388" s="46"/>
      <c r="CL388" s="46"/>
      <c r="CM388" s="46"/>
      <c r="CN388" s="46"/>
      <c r="CO388" s="46"/>
      <c r="CP388" s="46"/>
      <c r="CQ388" s="46"/>
      <c r="CR388" s="46"/>
    </row>
    <row r="389" spans="1:96" ht="16.5">
      <c r="A389" s="46"/>
      <c r="B389" s="46"/>
      <c r="C389" s="33"/>
      <c r="D389" s="46"/>
      <c r="E389" s="46"/>
      <c r="F389" s="33"/>
      <c r="G389" s="46"/>
      <c r="H389" s="46"/>
      <c r="I389" s="45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  <c r="CK389" s="46"/>
      <c r="CL389" s="46"/>
      <c r="CM389" s="46"/>
      <c r="CN389" s="46"/>
      <c r="CO389" s="46"/>
      <c r="CP389" s="46"/>
      <c r="CQ389" s="46"/>
      <c r="CR389" s="46"/>
    </row>
    <row r="390" spans="1:96" ht="16.5">
      <c r="A390" s="46"/>
      <c r="B390" s="46"/>
      <c r="C390" s="33"/>
      <c r="D390" s="46"/>
      <c r="E390" s="46"/>
      <c r="F390" s="33"/>
      <c r="G390" s="46"/>
      <c r="H390" s="46"/>
      <c r="I390" s="45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  <c r="CK390" s="46"/>
      <c r="CL390" s="46"/>
      <c r="CM390" s="46"/>
      <c r="CN390" s="46"/>
      <c r="CO390" s="46"/>
      <c r="CP390" s="46"/>
      <c r="CQ390" s="46"/>
      <c r="CR390" s="46"/>
    </row>
    <row r="391" spans="1:96" ht="16.5">
      <c r="A391" s="46"/>
      <c r="B391" s="46"/>
      <c r="C391" s="33"/>
      <c r="D391" s="46"/>
      <c r="E391" s="46"/>
      <c r="F391" s="33"/>
      <c r="G391" s="46"/>
      <c r="H391" s="46"/>
      <c r="I391" s="45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  <c r="CK391" s="46"/>
      <c r="CL391" s="46"/>
      <c r="CM391" s="46"/>
      <c r="CN391" s="46"/>
      <c r="CO391" s="46"/>
      <c r="CP391" s="46"/>
      <c r="CQ391" s="46"/>
      <c r="CR391" s="46"/>
    </row>
    <row r="392" spans="1:96" ht="16.5">
      <c r="A392" s="46"/>
      <c r="B392" s="46"/>
      <c r="C392" s="33"/>
      <c r="D392" s="46"/>
      <c r="E392" s="46"/>
      <c r="F392" s="33"/>
      <c r="G392" s="46"/>
      <c r="H392" s="46"/>
      <c r="I392" s="45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  <c r="CK392" s="46"/>
      <c r="CL392" s="46"/>
      <c r="CM392" s="46"/>
      <c r="CN392" s="46"/>
      <c r="CO392" s="46"/>
      <c r="CP392" s="46"/>
      <c r="CQ392" s="46"/>
      <c r="CR392" s="46"/>
    </row>
    <row r="393" spans="1:96" ht="16.5">
      <c r="A393" s="46"/>
      <c r="B393" s="46"/>
      <c r="C393" s="33"/>
      <c r="D393" s="46"/>
      <c r="E393" s="46"/>
      <c r="F393" s="33"/>
      <c r="G393" s="46"/>
      <c r="H393" s="46"/>
      <c r="I393" s="45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  <c r="CK393" s="46"/>
      <c r="CL393" s="46"/>
      <c r="CM393" s="46"/>
      <c r="CN393" s="46"/>
      <c r="CO393" s="46"/>
      <c r="CP393" s="46"/>
      <c r="CQ393" s="46"/>
      <c r="CR393" s="46"/>
    </row>
    <row r="394" spans="1:96" ht="16.5">
      <c r="A394" s="46"/>
      <c r="B394" s="46"/>
      <c r="C394" s="33"/>
      <c r="D394" s="46"/>
      <c r="E394" s="46"/>
      <c r="F394" s="33"/>
      <c r="G394" s="46"/>
      <c r="H394" s="46"/>
      <c r="I394" s="45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  <c r="CK394" s="46"/>
      <c r="CL394" s="46"/>
      <c r="CM394" s="46"/>
      <c r="CN394" s="46"/>
      <c r="CO394" s="46"/>
      <c r="CP394" s="46"/>
      <c r="CQ394" s="46"/>
      <c r="CR394" s="46"/>
    </row>
    <row r="395" spans="1:96" ht="16.5">
      <c r="A395" s="46"/>
      <c r="B395" s="46"/>
      <c r="C395" s="33"/>
      <c r="D395" s="46"/>
      <c r="E395" s="46"/>
      <c r="F395" s="33"/>
      <c r="G395" s="46"/>
      <c r="H395" s="46"/>
      <c r="I395" s="45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  <c r="CK395" s="46"/>
      <c r="CL395" s="46"/>
      <c r="CM395" s="46"/>
      <c r="CN395" s="46"/>
      <c r="CO395" s="46"/>
      <c r="CP395" s="46"/>
      <c r="CQ395" s="46"/>
      <c r="CR395" s="46"/>
    </row>
    <row r="396" spans="1:96" ht="16.5">
      <c r="A396" s="46"/>
      <c r="B396" s="46"/>
      <c r="C396" s="33"/>
      <c r="D396" s="46"/>
      <c r="E396" s="46"/>
      <c r="F396" s="33"/>
      <c r="G396" s="46"/>
      <c r="H396" s="46"/>
      <c r="I396" s="45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  <c r="CK396" s="46"/>
      <c r="CL396" s="46"/>
      <c r="CM396" s="46"/>
      <c r="CN396" s="46"/>
      <c r="CO396" s="46"/>
      <c r="CP396" s="46"/>
      <c r="CQ396" s="46"/>
      <c r="CR396" s="46"/>
    </row>
    <row r="397" spans="1:96" ht="16.5">
      <c r="A397" s="46"/>
      <c r="B397" s="46"/>
      <c r="C397" s="33"/>
      <c r="D397" s="46"/>
      <c r="E397" s="46"/>
      <c r="F397" s="33"/>
      <c r="G397" s="46"/>
      <c r="H397" s="46"/>
      <c r="I397" s="45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  <c r="CK397" s="46"/>
      <c r="CL397" s="46"/>
      <c r="CM397" s="46"/>
      <c r="CN397" s="46"/>
      <c r="CO397" s="46"/>
      <c r="CP397" s="46"/>
      <c r="CQ397" s="46"/>
      <c r="CR397" s="46"/>
    </row>
    <row r="398" spans="1:96" ht="16.5">
      <c r="A398" s="46"/>
      <c r="B398" s="46"/>
      <c r="C398" s="33"/>
      <c r="D398" s="46"/>
      <c r="E398" s="46"/>
      <c r="F398" s="33"/>
      <c r="G398" s="46"/>
      <c r="H398" s="46"/>
      <c r="I398" s="45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  <c r="CK398" s="46"/>
      <c r="CL398" s="46"/>
      <c r="CM398" s="46"/>
      <c r="CN398" s="46"/>
      <c r="CO398" s="46"/>
      <c r="CP398" s="46"/>
      <c r="CQ398" s="46"/>
      <c r="CR398" s="46"/>
    </row>
    <row r="399" spans="1:96" ht="16.5">
      <c r="A399" s="46"/>
      <c r="B399" s="46"/>
      <c r="C399" s="33"/>
      <c r="D399" s="46"/>
      <c r="E399" s="46"/>
      <c r="F399" s="33"/>
      <c r="G399" s="46"/>
      <c r="H399" s="46"/>
      <c r="I399" s="45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  <c r="CK399" s="46"/>
      <c r="CL399" s="46"/>
      <c r="CM399" s="46"/>
      <c r="CN399" s="46"/>
      <c r="CO399" s="46"/>
      <c r="CP399" s="46"/>
      <c r="CQ399" s="46"/>
      <c r="CR399" s="46"/>
    </row>
    <row r="400" spans="1:96" ht="16.5">
      <c r="A400" s="46"/>
      <c r="B400" s="46"/>
      <c r="C400" s="33"/>
      <c r="D400" s="46"/>
      <c r="E400" s="46"/>
      <c r="F400" s="33"/>
      <c r="G400" s="46"/>
      <c r="H400" s="46"/>
      <c r="I400" s="45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  <c r="CK400" s="46"/>
      <c r="CL400" s="46"/>
      <c r="CM400" s="46"/>
      <c r="CN400" s="46"/>
      <c r="CO400" s="46"/>
      <c r="CP400" s="46"/>
      <c r="CQ400" s="46"/>
      <c r="CR400" s="46"/>
    </row>
    <row r="401" spans="1:96" ht="16.5">
      <c r="A401" s="46"/>
      <c r="B401" s="46"/>
      <c r="C401" s="33"/>
      <c r="D401" s="46"/>
      <c r="E401" s="46"/>
      <c r="F401" s="33"/>
      <c r="G401" s="46"/>
      <c r="H401" s="46"/>
      <c r="I401" s="45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  <c r="CK401" s="46"/>
      <c r="CL401" s="46"/>
      <c r="CM401" s="46"/>
      <c r="CN401" s="46"/>
      <c r="CO401" s="46"/>
      <c r="CP401" s="46"/>
      <c r="CQ401" s="46"/>
      <c r="CR401" s="46"/>
    </row>
    <row r="402" spans="1:96" ht="16.5">
      <c r="A402" s="46"/>
      <c r="B402" s="46"/>
      <c r="C402" s="33"/>
      <c r="D402" s="46"/>
      <c r="E402" s="46"/>
      <c r="F402" s="33"/>
      <c r="G402" s="46"/>
      <c r="H402" s="46"/>
      <c r="I402" s="45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  <c r="CK402" s="46"/>
      <c r="CL402" s="46"/>
      <c r="CM402" s="46"/>
      <c r="CN402" s="46"/>
      <c r="CO402" s="46"/>
      <c r="CP402" s="46"/>
      <c r="CQ402" s="46"/>
      <c r="CR402" s="46"/>
    </row>
    <row r="403" spans="1:96" ht="16.5">
      <c r="A403" s="46"/>
      <c r="B403" s="46"/>
      <c r="C403" s="33"/>
      <c r="D403" s="46"/>
      <c r="E403" s="46"/>
      <c r="F403" s="33"/>
      <c r="G403" s="46"/>
      <c r="H403" s="46"/>
      <c r="I403" s="45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  <c r="CK403" s="46"/>
      <c r="CL403" s="46"/>
      <c r="CM403" s="46"/>
      <c r="CN403" s="46"/>
      <c r="CO403" s="46"/>
      <c r="CP403" s="46"/>
      <c r="CQ403" s="46"/>
      <c r="CR403" s="46"/>
    </row>
    <row r="404" spans="1:96" ht="16.5">
      <c r="A404" s="46"/>
      <c r="B404" s="46"/>
      <c r="C404" s="33"/>
      <c r="D404" s="46"/>
      <c r="E404" s="46"/>
      <c r="F404" s="33"/>
      <c r="G404" s="46"/>
      <c r="H404" s="46"/>
      <c r="I404" s="45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  <c r="CK404" s="46"/>
      <c r="CL404" s="46"/>
      <c r="CM404" s="46"/>
      <c r="CN404" s="46"/>
      <c r="CO404" s="46"/>
      <c r="CP404" s="46"/>
      <c r="CQ404" s="46"/>
      <c r="CR404" s="46"/>
    </row>
    <row r="405" spans="1:96" ht="16.5">
      <c r="A405" s="46"/>
      <c r="B405" s="46"/>
      <c r="C405" s="33"/>
      <c r="D405" s="46"/>
      <c r="E405" s="46"/>
      <c r="F405" s="33"/>
      <c r="G405" s="46"/>
      <c r="H405" s="46"/>
      <c r="I405" s="45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  <c r="CK405" s="46"/>
      <c r="CL405" s="46"/>
      <c r="CM405" s="46"/>
      <c r="CN405" s="46"/>
      <c r="CO405" s="46"/>
      <c r="CP405" s="46"/>
      <c r="CQ405" s="46"/>
      <c r="CR405" s="46"/>
    </row>
    <row r="406" spans="1:96" ht="16.5">
      <c r="A406" s="46"/>
      <c r="B406" s="46"/>
      <c r="C406" s="33"/>
      <c r="D406" s="46"/>
      <c r="E406" s="46"/>
      <c r="F406" s="33"/>
      <c r="G406" s="46"/>
      <c r="H406" s="46"/>
      <c r="I406" s="45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/>
      <c r="CP406" s="46"/>
      <c r="CQ406" s="46"/>
      <c r="CR406" s="46"/>
    </row>
    <row r="407" spans="1:96" ht="16.5">
      <c r="A407" s="46"/>
      <c r="B407" s="46"/>
      <c r="C407" s="33"/>
      <c r="D407" s="46"/>
      <c r="E407" s="46"/>
      <c r="F407" s="33"/>
      <c r="G407" s="46"/>
      <c r="H407" s="46"/>
      <c r="I407" s="45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</row>
    <row r="408" spans="1:96" ht="16.5">
      <c r="A408" s="46"/>
      <c r="B408" s="46"/>
      <c r="C408" s="33"/>
      <c r="D408" s="46"/>
      <c r="E408" s="46"/>
      <c r="F408" s="33"/>
      <c r="G408" s="46"/>
      <c r="H408" s="46"/>
      <c r="I408" s="45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  <c r="CK408" s="46"/>
      <c r="CL408" s="46"/>
      <c r="CM408" s="46"/>
      <c r="CN408" s="46"/>
      <c r="CO408" s="46"/>
      <c r="CP408" s="46"/>
      <c r="CQ408" s="46"/>
      <c r="CR408" s="46"/>
    </row>
    <row r="409" spans="1:96" ht="16.5">
      <c r="A409" s="46"/>
      <c r="B409" s="46"/>
      <c r="C409" s="33"/>
      <c r="D409" s="46"/>
      <c r="E409" s="46"/>
      <c r="F409" s="33"/>
      <c r="G409" s="46"/>
      <c r="H409" s="46"/>
      <c r="I409" s="45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</row>
    <row r="410" spans="1:96" ht="16.5">
      <c r="A410" s="46"/>
      <c r="B410" s="46"/>
      <c r="C410" s="33"/>
      <c r="D410" s="46"/>
      <c r="E410" s="46"/>
      <c r="F410" s="33"/>
      <c r="G410" s="46"/>
      <c r="H410" s="46"/>
      <c r="I410" s="45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</row>
    <row r="411" spans="1:96" ht="16.5">
      <c r="A411" s="46"/>
      <c r="B411" s="46"/>
      <c r="C411" s="33"/>
      <c r="D411" s="46"/>
      <c r="E411" s="46"/>
      <c r="F411" s="33"/>
      <c r="G411" s="46"/>
      <c r="H411" s="46"/>
      <c r="I411" s="45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</row>
    <row r="412" spans="1:96" ht="16.5">
      <c r="A412" s="46"/>
      <c r="B412" s="46"/>
      <c r="C412" s="33"/>
      <c r="D412" s="46"/>
      <c r="E412" s="46"/>
      <c r="F412" s="33"/>
      <c r="G412" s="46"/>
      <c r="H412" s="46"/>
      <c r="I412" s="45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</row>
    <row r="413" spans="1:96" ht="16.5">
      <c r="A413" s="46"/>
      <c r="B413" s="46"/>
      <c r="C413" s="33"/>
      <c r="D413" s="46"/>
      <c r="E413" s="46"/>
      <c r="F413" s="33"/>
      <c r="G413" s="46"/>
      <c r="H413" s="46"/>
      <c r="I413" s="45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</row>
    <row r="414" spans="1:96" ht="16.5">
      <c r="A414" s="46"/>
      <c r="B414" s="46"/>
      <c r="C414" s="33"/>
      <c r="D414" s="46"/>
      <c r="E414" s="46"/>
      <c r="F414" s="33"/>
      <c r="G414" s="46"/>
      <c r="H414" s="46"/>
      <c r="I414" s="45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</row>
    <row r="415" spans="1:96" ht="16.5">
      <c r="A415" s="46"/>
      <c r="B415" s="46"/>
      <c r="C415" s="33"/>
      <c r="D415" s="46"/>
      <c r="E415" s="46"/>
      <c r="F415" s="33"/>
      <c r="G415" s="46"/>
      <c r="H415" s="46"/>
      <c r="I415" s="45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</row>
    <row r="416" spans="1:96" ht="16.5">
      <c r="A416" s="46"/>
      <c r="B416" s="46"/>
      <c r="C416" s="33"/>
      <c r="D416" s="46"/>
      <c r="E416" s="46"/>
      <c r="F416" s="33"/>
      <c r="G416" s="46"/>
      <c r="H416" s="46"/>
      <c r="I416" s="45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</row>
    <row r="417" spans="1:96" ht="16.5">
      <c r="A417" s="46"/>
      <c r="B417" s="46"/>
      <c r="C417" s="33"/>
      <c r="D417" s="46"/>
      <c r="E417" s="46"/>
      <c r="F417" s="33"/>
      <c r="G417" s="46"/>
      <c r="H417" s="46"/>
      <c r="I417" s="45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</row>
    <row r="418" spans="1:96" ht="16.5">
      <c r="A418" s="46"/>
      <c r="B418" s="46"/>
      <c r="C418" s="33"/>
      <c r="D418" s="46"/>
      <c r="E418" s="46"/>
      <c r="F418" s="33"/>
      <c r="G418" s="46"/>
      <c r="H418" s="46"/>
      <c r="I418" s="45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</row>
    <row r="419" spans="1:96" ht="16.5">
      <c r="A419" s="46"/>
      <c r="B419" s="46"/>
      <c r="C419" s="33"/>
      <c r="D419" s="46"/>
      <c r="E419" s="46"/>
      <c r="F419" s="33"/>
      <c r="G419" s="46"/>
      <c r="H419" s="46"/>
      <c r="I419" s="45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</row>
    <row r="420" spans="1:96" ht="16.5">
      <c r="A420" s="46"/>
      <c r="B420" s="46"/>
      <c r="C420" s="33"/>
      <c r="D420" s="46"/>
      <c r="E420" s="46"/>
      <c r="F420" s="33"/>
      <c r="G420" s="46"/>
      <c r="H420" s="46"/>
      <c r="I420" s="45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  <c r="CK420" s="46"/>
      <c r="CL420" s="46"/>
      <c r="CM420" s="46"/>
      <c r="CN420" s="46"/>
      <c r="CO420" s="46"/>
      <c r="CP420" s="46"/>
      <c r="CQ420" s="46"/>
      <c r="CR420" s="46"/>
    </row>
    <row r="421" spans="1:96" ht="16.5">
      <c r="A421" s="46"/>
      <c r="B421" s="46"/>
      <c r="C421" s="33"/>
      <c r="D421" s="46"/>
      <c r="E421" s="46"/>
      <c r="F421" s="33"/>
      <c r="G421" s="46"/>
      <c r="H421" s="46"/>
      <c r="I421" s="45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  <c r="CK421" s="46"/>
      <c r="CL421" s="46"/>
      <c r="CM421" s="46"/>
      <c r="CN421" s="46"/>
      <c r="CO421" s="46"/>
      <c r="CP421" s="46"/>
      <c r="CQ421" s="46"/>
      <c r="CR421" s="46"/>
    </row>
    <row r="422" spans="1:96" ht="16.5">
      <c r="A422" s="46"/>
      <c r="B422" s="46"/>
      <c r="C422" s="33"/>
      <c r="D422" s="46"/>
      <c r="E422" s="46"/>
      <c r="F422" s="33"/>
      <c r="G422" s="46"/>
      <c r="H422" s="46"/>
      <c r="I422" s="45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  <c r="CK422" s="46"/>
      <c r="CL422" s="46"/>
      <c r="CM422" s="46"/>
      <c r="CN422" s="46"/>
      <c r="CO422" s="46"/>
      <c r="CP422" s="46"/>
      <c r="CQ422" s="46"/>
      <c r="CR422" s="46"/>
    </row>
    <row r="423" spans="1:96" ht="16.5">
      <c r="A423" s="46"/>
      <c r="B423" s="46"/>
      <c r="C423" s="33"/>
      <c r="D423" s="46"/>
      <c r="E423" s="46"/>
      <c r="F423" s="33"/>
      <c r="G423" s="46"/>
      <c r="H423" s="46"/>
      <c r="I423" s="45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  <c r="CK423" s="46"/>
      <c r="CL423" s="46"/>
      <c r="CM423" s="46"/>
      <c r="CN423" s="46"/>
      <c r="CO423" s="46"/>
      <c r="CP423" s="46"/>
      <c r="CQ423" s="46"/>
      <c r="CR423" s="46"/>
    </row>
    <row r="424" spans="1:96" ht="16.5">
      <c r="A424" s="46"/>
      <c r="B424" s="46"/>
      <c r="C424" s="33"/>
      <c r="D424" s="46"/>
      <c r="E424" s="46"/>
      <c r="F424" s="33"/>
      <c r="G424" s="46"/>
      <c r="H424" s="46"/>
      <c r="I424" s="45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  <c r="CK424" s="46"/>
      <c r="CL424" s="46"/>
      <c r="CM424" s="46"/>
      <c r="CN424" s="46"/>
      <c r="CO424" s="46"/>
      <c r="CP424" s="46"/>
      <c r="CQ424" s="46"/>
      <c r="CR424" s="46"/>
    </row>
    <row r="425" spans="1:96" ht="16.5">
      <c r="A425" s="46"/>
      <c r="B425" s="46"/>
      <c r="C425" s="33"/>
      <c r="D425" s="46"/>
      <c r="E425" s="46"/>
      <c r="F425" s="33"/>
      <c r="G425" s="46"/>
      <c r="H425" s="46"/>
      <c r="I425" s="45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  <c r="CK425" s="46"/>
      <c r="CL425" s="46"/>
      <c r="CM425" s="46"/>
      <c r="CN425" s="46"/>
      <c r="CO425" s="46"/>
      <c r="CP425" s="46"/>
      <c r="CQ425" s="46"/>
      <c r="CR425" s="46"/>
    </row>
    <row r="426" spans="1:96" ht="16.5">
      <c r="A426" s="46"/>
      <c r="B426" s="46"/>
      <c r="C426" s="33"/>
      <c r="D426" s="46"/>
      <c r="E426" s="46"/>
      <c r="F426" s="33"/>
      <c r="G426" s="46"/>
      <c r="H426" s="46"/>
      <c r="I426" s="45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  <c r="CK426" s="46"/>
      <c r="CL426" s="46"/>
      <c r="CM426" s="46"/>
      <c r="CN426" s="46"/>
      <c r="CO426" s="46"/>
      <c r="CP426" s="46"/>
      <c r="CQ426" s="46"/>
      <c r="CR426" s="46"/>
    </row>
    <row r="427" spans="1:96" ht="16.5">
      <c r="A427" s="46"/>
      <c r="B427" s="46"/>
      <c r="C427" s="33"/>
      <c r="D427" s="46"/>
      <c r="E427" s="46"/>
      <c r="F427" s="33"/>
      <c r="G427" s="46"/>
      <c r="H427" s="46"/>
      <c r="I427" s="45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  <c r="CK427" s="46"/>
      <c r="CL427" s="46"/>
      <c r="CM427" s="46"/>
      <c r="CN427" s="46"/>
      <c r="CO427" s="46"/>
      <c r="CP427" s="46"/>
      <c r="CQ427" s="46"/>
      <c r="CR427" s="46"/>
    </row>
    <row r="428" spans="1:96" ht="16.5">
      <c r="A428" s="46"/>
      <c r="B428" s="46"/>
      <c r="C428" s="33"/>
      <c r="D428" s="46"/>
      <c r="E428" s="46"/>
      <c r="F428" s="33"/>
      <c r="G428" s="46"/>
      <c r="H428" s="46"/>
      <c r="I428" s="45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  <c r="CK428" s="46"/>
      <c r="CL428" s="46"/>
      <c r="CM428" s="46"/>
      <c r="CN428" s="46"/>
      <c r="CO428" s="46"/>
      <c r="CP428" s="46"/>
      <c r="CQ428" s="46"/>
      <c r="CR428" s="46"/>
    </row>
    <row r="429" spans="1:96" ht="16.5">
      <c r="A429" s="46"/>
      <c r="B429" s="46"/>
      <c r="C429" s="33"/>
      <c r="D429" s="46"/>
      <c r="E429" s="46"/>
      <c r="F429" s="33"/>
      <c r="G429" s="46"/>
      <c r="H429" s="46"/>
      <c r="I429" s="45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  <c r="CK429" s="46"/>
      <c r="CL429" s="46"/>
      <c r="CM429" s="46"/>
      <c r="CN429" s="46"/>
      <c r="CO429" s="46"/>
      <c r="CP429" s="46"/>
      <c r="CQ429" s="46"/>
      <c r="CR429" s="46"/>
    </row>
    <row r="430" spans="1:96" ht="16.5">
      <c r="A430" s="46"/>
      <c r="B430" s="46"/>
      <c r="C430" s="33"/>
      <c r="D430" s="46"/>
      <c r="E430" s="46"/>
      <c r="F430" s="33"/>
      <c r="G430" s="46"/>
      <c r="H430" s="46"/>
      <c r="I430" s="45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  <c r="CK430" s="46"/>
      <c r="CL430" s="46"/>
      <c r="CM430" s="46"/>
      <c r="CN430" s="46"/>
      <c r="CO430" s="46"/>
      <c r="CP430" s="46"/>
      <c r="CQ430" s="46"/>
      <c r="CR430" s="46"/>
    </row>
    <row r="431" spans="1:96" ht="16.5">
      <c r="A431" s="46"/>
      <c r="B431" s="46"/>
      <c r="C431" s="33"/>
      <c r="D431" s="46"/>
      <c r="E431" s="46"/>
      <c r="F431" s="33"/>
      <c r="G431" s="46"/>
      <c r="H431" s="46"/>
      <c r="I431" s="45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  <c r="CK431" s="46"/>
      <c r="CL431" s="46"/>
      <c r="CM431" s="46"/>
      <c r="CN431" s="46"/>
      <c r="CO431" s="46"/>
      <c r="CP431" s="46"/>
      <c r="CQ431" s="46"/>
      <c r="CR431" s="46"/>
    </row>
    <row r="432" spans="1:96" ht="16.5">
      <c r="A432" s="46"/>
      <c r="B432" s="46"/>
      <c r="C432" s="33"/>
      <c r="D432" s="46"/>
      <c r="E432" s="46"/>
      <c r="F432" s="33"/>
      <c r="G432" s="46"/>
      <c r="H432" s="46"/>
      <c r="I432" s="45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  <c r="CK432" s="46"/>
      <c r="CL432" s="46"/>
      <c r="CM432" s="46"/>
      <c r="CN432" s="46"/>
      <c r="CO432" s="46"/>
      <c r="CP432" s="46"/>
      <c r="CQ432" s="46"/>
      <c r="CR432" s="46"/>
    </row>
    <row r="433" spans="1:96" ht="16.5">
      <c r="A433" s="46"/>
      <c r="B433" s="46"/>
      <c r="C433" s="33"/>
      <c r="D433" s="46"/>
      <c r="E433" s="46"/>
      <c r="F433" s="33"/>
      <c r="G433" s="46"/>
      <c r="H433" s="46"/>
      <c r="I433" s="45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  <c r="CK433" s="46"/>
      <c r="CL433" s="46"/>
      <c r="CM433" s="46"/>
      <c r="CN433" s="46"/>
      <c r="CO433" s="46"/>
      <c r="CP433" s="46"/>
      <c r="CQ433" s="46"/>
      <c r="CR433" s="46"/>
    </row>
    <row r="434" spans="1:96" ht="16.5">
      <c r="A434" s="46"/>
      <c r="B434" s="46"/>
      <c r="C434" s="33"/>
      <c r="D434" s="46"/>
      <c r="E434" s="46"/>
      <c r="F434" s="33"/>
      <c r="G434" s="46"/>
      <c r="H434" s="46"/>
      <c r="I434" s="45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  <c r="CK434" s="46"/>
      <c r="CL434" s="46"/>
      <c r="CM434" s="46"/>
      <c r="CN434" s="46"/>
      <c r="CO434" s="46"/>
      <c r="CP434" s="46"/>
      <c r="CQ434" s="46"/>
      <c r="CR434" s="46"/>
    </row>
    <row r="435" spans="1:96" ht="16.5">
      <c r="A435" s="46"/>
      <c r="B435" s="46"/>
      <c r="C435" s="33"/>
      <c r="D435" s="46"/>
      <c r="E435" s="46"/>
      <c r="F435" s="33"/>
      <c r="G435" s="46"/>
      <c r="H435" s="46"/>
      <c r="I435" s="45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  <c r="CK435" s="46"/>
      <c r="CL435" s="46"/>
      <c r="CM435" s="46"/>
      <c r="CN435" s="46"/>
      <c r="CO435" s="46"/>
      <c r="CP435" s="46"/>
      <c r="CQ435" s="46"/>
      <c r="CR435" s="46"/>
    </row>
    <row r="436" spans="1:96" ht="16.5">
      <c r="A436" s="46"/>
      <c r="B436" s="46"/>
      <c r="C436" s="33"/>
      <c r="D436" s="46"/>
      <c r="E436" s="46"/>
      <c r="F436" s="33"/>
      <c r="G436" s="46"/>
      <c r="H436" s="46"/>
      <c r="I436" s="45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  <c r="CK436" s="46"/>
      <c r="CL436" s="46"/>
      <c r="CM436" s="46"/>
      <c r="CN436" s="46"/>
      <c r="CO436" s="46"/>
      <c r="CP436" s="46"/>
      <c r="CQ436" s="46"/>
      <c r="CR436" s="46"/>
    </row>
    <row r="437" spans="1:96" ht="16.5">
      <c r="A437" s="46"/>
      <c r="B437" s="46"/>
      <c r="C437" s="33"/>
      <c r="D437" s="46"/>
      <c r="E437" s="46"/>
      <c r="F437" s="33"/>
      <c r="G437" s="46"/>
      <c r="H437" s="46"/>
      <c r="I437" s="45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  <c r="CK437" s="46"/>
      <c r="CL437" s="46"/>
      <c r="CM437" s="46"/>
      <c r="CN437" s="46"/>
      <c r="CO437" s="46"/>
      <c r="CP437" s="46"/>
      <c r="CQ437" s="46"/>
      <c r="CR437" s="46"/>
    </row>
    <row r="438" spans="1:96" ht="16.5">
      <c r="A438" s="46"/>
      <c r="B438" s="46"/>
      <c r="C438" s="33"/>
      <c r="D438" s="46"/>
      <c r="E438" s="46"/>
      <c r="F438" s="33"/>
      <c r="G438" s="46"/>
      <c r="H438" s="46"/>
      <c r="I438" s="45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  <c r="CK438" s="46"/>
      <c r="CL438" s="46"/>
      <c r="CM438" s="46"/>
      <c r="CN438" s="46"/>
      <c r="CO438" s="46"/>
      <c r="CP438" s="46"/>
      <c r="CQ438" s="46"/>
      <c r="CR438" s="46"/>
    </row>
    <row r="439" spans="1:96" ht="16.5">
      <c r="A439" s="46"/>
      <c r="B439" s="46"/>
      <c r="C439" s="33"/>
      <c r="D439" s="46"/>
      <c r="E439" s="46"/>
      <c r="F439" s="33"/>
      <c r="G439" s="46"/>
      <c r="H439" s="46"/>
      <c r="I439" s="45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  <c r="CK439" s="46"/>
      <c r="CL439" s="46"/>
      <c r="CM439" s="46"/>
      <c r="CN439" s="46"/>
      <c r="CO439" s="46"/>
      <c r="CP439" s="46"/>
      <c r="CQ439" s="46"/>
      <c r="CR439" s="46"/>
    </row>
    <row r="440" spans="1:96" ht="16.5">
      <c r="A440" s="46"/>
      <c r="B440" s="46"/>
      <c r="C440" s="33"/>
      <c r="D440" s="46"/>
      <c r="E440" s="46"/>
      <c r="F440" s="33"/>
      <c r="G440" s="46"/>
      <c r="H440" s="46"/>
      <c r="I440" s="45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  <c r="CK440" s="46"/>
      <c r="CL440" s="46"/>
      <c r="CM440" s="46"/>
      <c r="CN440" s="46"/>
      <c r="CO440" s="46"/>
      <c r="CP440" s="46"/>
      <c r="CQ440" s="46"/>
      <c r="CR440" s="46"/>
    </row>
    <row r="441" spans="1:96" ht="16.5">
      <c r="A441" s="46"/>
      <c r="B441" s="46"/>
      <c r="C441" s="33"/>
      <c r="D441" s="46"/>
      <c r="E441" s="46"/>
      <c r="F441" s="33"/>
      <c r="G441" s="46"/>
      <c r="H441" s="46"/>
      <c r="I441" s="45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  <c r="CK441" s="46"/>
      <c r="CL441" s="46"/>
      <c r="CM441" s="46"/>
      <c r="CN441" s="46"/>
      <c r="CO441" s="46"/>
      <c r="CP441" s="46"/>
      <c r="CQ441" s="46"/>
      <c r="CR441" s="46"/>
    </row>
    <row r="442" spans="1:96" ht="16.5">
      <c r="A442" s="46"/>
      <c r="B442" s="46"/>
      <c r="C442" s="33"/>
      <c r="D442" s="46"/>
      <c r="E442" s="46"/>
      <c r="F442" s="33"/>
      <c r="G442" s="46"/>
      <c r="H442" s="46"/>
      <c r="I442" s="45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  <c r="CK442" s="46"/>
      <c r="CL442" s="46"/>
      <c r="CM442" s="46"/>
      <c r="CN442" s="46"/>
      <c r="CO442" s="46"/>
      <c r="CP442" s="46"/>
      <c r="CQ442" s="46"/>
      <c r="CR442" s="46"/>
    </row>
    <row r="443" spans="1:96" ht="16.5">
      <c r="A443" s="46"/>
      <c r="B443" s="46"/>
      <c r="C443" s="33"/>
      <c r="D443" s="46"/>
      <c r="E443" s="46"/>
      <c r="F443" s="33"/>
      <c r="G443" s="46"/>
      <c r="H443" s="46"/>
      <c r="I443" s="45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  <c r="CK443" s="46"/>
      <c r="CL443" s="46"/>
      <c r="CM443" s="46"/>
      <c r="CN443" s="46"/>
      <c r="CO443" s="46"/>
      <c r="CP443" s="46"/>
      <c r="CQ443" s="46"/>
      <c r="CR443" s="46"/>
    </row>
    <row r="444" spans="1:96" ht="16.5">
      <c r="A444" s="46"/>
      <c r="B444" s="46"/>
      <c r="C444" s="33"/>
      <c r="D444" s="46"/>
      <c r="E444" s="46"/>
      <c r="F444" s="33"/>
      <c r="G444" s="46"/>
      <c r="H444" s="46"/>
      <c r="I444" s="45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  <c r="CK444" s="46"/>
      <c r="CL444" s="46"/>
      <c r="CM444" s="46"/>
      <c r="CN444" s="46"/>
      <c r="CO444" s="46"/>
      <c r="CP444" s="46"/>
      <c r="CQ444" s="46"/>
      <c r="CR444" s="46"/>
    </row>
    <row r="445" spans="1:96" ht="16.5">
      <c r="A445" s="46"/>
      <c r="B445" s="46"/>
      <c r="C445" s="33"/>
      <c r="D445" s="46"/>
      <c r="E445" s="46"/>
      <c r="F445" s="33"/>
      <c r="G445" s="46"/>
      <c r="H445" s="46"/>
      <c r="I445" s="45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  <c r="CK445" s="46"/>
      <c r="CL445" s="46"/>
      <c r="CM445" s="46"/>
      <c r="CN445" s="46"/>
      <c r="CO445" s="46"/>
      <c r="CP445" s="46"/>
      <c r="CQ445" s="46"/>
      <c r="CR445" s="46"/>
    </row>
    <row r="446" spans="1:96" ht="16.5">
      <c r="A446" s="46"/>
      <c r="B446" s="46"/>
      <c r="C446" s="33"/>
      <c r="D446" s="46"/>
      <c r="E446" s="46"/>
      <c r="F446" s="33"/>
      <c r="G446" s="46"/>
      <c r="H446" s="46"/>
      <c r="I446" s="45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/>
      <c r="CP446" s="46"/>
      <c r="CQ446" s="46"/>
      <c r="CR446" s="46"/>
    </row>
    <row r="447" spans="1:96" ht="16.5">
      <c r="A447" s="46"/>
      <c r="B447" s="46"/>
      <c r="C447" s="33"/>
      <c r="D447" s="46"/>
      <c r="E447" s="46"/>
      <c r="F447" s="33"/>
      <c r="G447" s="46"/>
      <c r="H447" s="46"/>
      <c r="I447" s="45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</row>
    <row r="448" spans="1:96" ht="16.5">
      <c r="A448" s="46"/>
      <c r="B448" s="46"/>
      <c r="C448" s="33"/>
      <c r="D448" s="46"/>
      <c r="E448" s="46"/>
      <c r="F448" s="33"/>
      <c r="G448" s="46"/>
      <c r="H448" s="46"/>
      <c r="I448" s="45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  <c r="CK448" s="46"/>
      <c r="CL448" s="46"/>
      <c r="CM448" s="46"/>
      <c r="CN448" s="46"/>
      <c r="CO448" s="46"/>
      <c r="CP448" s="46"/>
      <c r="CQ448" s="46"/>
      <c r="CR448" s="46"/>
    </row>
    <row r="449" spans="1:96" ht="16.5">
      <c r="A449" s="46"/>
      <c r="B449" s="46"/>
      <c r="C449" s="33"/>
      <c r="D449" s="46"/>
      <c r="E449" s="46"/>
      <c r="F449" s="33"/>
      <c r="G449" s="46"/>
      <c r="H449" s="46"/>
      <c r="I449" s="45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</row>
    <row r="450" spans="1:96" ht="16.5">
      <c r="A450" s="46"/>
      <c r="B450" s="46"/>
      <c r="C450" s="33"/>
      <c r="D450" s="46"/>
      <c r="E450" s="46"/>
      <c r="F450" s="33"/>
      <c r="G450" s="46"/>
      <c r="H450" s="46"/>
      <c r="I450" s="45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</row>
    <row r="451" spans="1:96" ht="16.5">
      <c r="A451" s="46"/>
      <c r="B451" s="46"/>
      <c r="C451" s="33"/>
      <c r="D451" s="46"/>
      <c r="E451" s="46"/>
      <c r="F451" s="33"/>
      <c r="G451" s="46"/>
      <c r="H451" s="46"/>
      <c r="I451" s="45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</row>
    <row r="452" spans="1:96" ht="16.5">
      <c r="A452" s="46"/>
      <c r="B452" s="46"/>
      <c r="C452" s="33"/>
      <c r="D452" s="46"/>
      <c r="E452" s="46"/>
      <c r="F452" s="33"/>
      <c r="G452" s="46"/>
      <c r="H452" s="46"/>
      <c r="I452" s="45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</row>
    <row r="453" spans="1:96" ht="16.5">
      <c r="A453" s="46"/>
      <c r="B453" s="46"/>
      <c r="C453" s="33"/>
      <c r="D453" s="46"/>
      <c r="E453" s="46"/>
      <c r="F453" s="33"/>
      <c r="G453" s="46"/>
      <c r="H453" s="46"/>
      <c r="I453" s="45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</row>
    <row r="454" spans="1:96" ht="16.5">
      <c r="A454" s="46"/>
      <c r="B454" s="46"/>
      <c r="C454" s="33"/>
      <c r="D454" s="46"/>
      <c r="E454" s="46"/>
      <c r="F454" s="33"/>
      <c r="G454" s="46"/>
      <c r="H454" s="46"/>
      <c r="I454" s="45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</row>
    <row r="455" spans="1:96" ht="16.5">
      <c r="A455" s="46"/>
      <c r="B455" s="46"/>
      <c r="C455" s="33"/>
      <c r="D455" s="46"/>
      <c r="E455" s="46"/>
      <c r="F455" s="33"/>
      <c r="G455" s="46"/>
      <c r="H455" s="46"/>
      <c r="I455" s="45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</row>
    <row r="456" spans="1:96" ht="16.5">
      <c r="A456" s="46"/>
      <c r="B456" s="46"/>
      <c r="C456" s="33"/>
      <c r="D456" s="46"/>
      <c r="E456" s="46"/>
      <c r="F456" s="33"/>
      <c r="G456" s="46"/>
      <c r="H456" s="46"/>
      <c r="I456" s="45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</row>
    <row r="457" spans="1:96" ht="16.5">
      <c r="A457" s="46"/>
      <c r="B457" s="46"/>
      <c r="C457" s="33"/>
      <c r="D457" s="46"/>
      <c r="E457" s="46"/>
      <c r="F457" s="33"/>
      <c r="G457" s="46"/>
      <c r="H457" s="46"/>
      <c r="I457" s="45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</row>
    <row r="458" spans="1:96" ht="16.5">
      <c r="A458" s="46"/>
      <c r="B458" s="46"/>
      <c r="C458" s="33"/>
      <c r="D458" s="46"/>
      <c r="E458" s="46"/>
      <c r="F458" s="33"/>
      <c r="G458" s="46"/>
      <c r="H458" s="46"/>
      <c r="I458" s="45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</row>
    <row r="459" spans="1:96" ht="16.5">
      <c r="A459" s="46"/>
      <c r="B459" s="46"/>
      <c r="C459" s="33"/>
      <c r="D459" s="46"/>
      <c r="E459" s="46"/>
      <c r="F459" s="33"/>
      <c r="G459" s="46"/>
      <c r="H459" s="46"/>
      <c r="I459" s="45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</row>
    <row r="460" spans="1:96" ht="16.5">
      <c r="A460" s="46"/>
      <c r="B460" s="46"/>
      <c r="C460" s="33"/>
      <c r="D460" s="46"/>
      <c r="E460" s="46"/>
      <c r="F460" s="33"/>
      <c r="G460" s="46"/>
      <c r="H460" s="46"/>
      <c r="I460" s="45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  <c r="CK460" s="46"/>
      <c r="CL460" s="46"/>
      <c r="CM460" s="46"/>
      <c r="CN460" s="46"/>
      <c r="CO460" s="46"/>
      <c r="CP460" s="46"/>
      <c r="CQ460" s="46"/>
      <c r="CR460" s="46"/>
    </row>
    <row r="461" spans="1:96" ht="16.5">
      <c r="A461" s="46"/>
      <c r="B461" s="46"/>
      <c r="C461" s="33"/>
      <c r="D461" s="46"/>
      <c r="E461" s="46"/>
      <c r="F461" s="33"/>
      <c r="G461" s="46"/>
      <c r="H461" s="46"/>
      <c r="I461" s="45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  <c r="CK461" s="46"/>
      <c r="CL461" s="46"/>
      <c r="CM461" s="46"/>
      <c r="CN461" s="46"/>
      <c r="CO461" s="46"/>
      <c r="CP461" s="46"/>
      <c r="CQ461" s="46"/>
      <c r="CR461" s="46"/>
    </row>
    <row r="462" spans="1:96" ht="16.5">
      <c r="A462" s="46"/>
      <c r="B462" s="46"/>
      <c r="C462" s="33"/>
      <c r="D462" s="46"/>
      <c r="E462" s="46"/>
      <c r="F462" s="33"/>
      <c r="G462" s="46"/>
      <c r="H462" s="46"/>
      <c r="I462" s="45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  <c r="CK462" s="46"/>
      <c r="CL462" s="46"/>
      <c r="CM462" s="46"/>
      <c r="CN462" s="46"/>
      <c r="CO462" s="46"/>
      <c r="CP462" s="46"/>
      <c r="CQ462" s="46"/>
      <c r="CR462" s="46"/>
    </row>
    <row r="463" spans="1:96" ht="16.5">
      <c r="A463" s="46"/>
      <c r="B463" s="46"/>
      <c r="C463" s="33"/>
      <c r="D463" s="46"/>
      <c r="E463" s="46"/>
      <c r="F463" s="33"/>
      <c r="G463" s="46"/>
      <c r="H463" s="46"/>
      <c r="I463" s="45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  <c r="CK463" s="46"/>
      <c r="CL463" s="46"/>
      <c r="CM463" s="46"/>
      <c r="CN463" s="46"/>
      <c r="CO463" s="46"/>
      <c r="CP463" s="46"/>
      <c r="CQ463" s="46"/>
      <c r="CR463" s="46"/>
    </row>
    <row r="464" spans="1:96" ht="16.5">
      <c r="A464" s="46"/>
      <c r="B464" s="46"/>
      <c r="C464" s="33"/>
      <c r="D464" s="46"/>
      <c r="E464" s="46"/>
      <c r="F464" s="33"/>
      <c r="G464" s="46"/>
      <c r="H464" s="46"/>
      <c r="I464" s="45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  <c r="CK464" s="46"/>
      <c r="CL464" s="46"/>
      <c r="CM464" s="46"/>
      <c r="CN464" s="46"/>
      <c r="CO464" s="46"/>
      <c r="CP464" s="46"/>
      <c r="CQ464" s="46"/>
      <c r="CR464" s="46"/>
    </row>
    <row r="465" spans="1:96" ht="16.5">
      <c r="A465" s="46"/>
      <c r="B465" s="46"/>
      <c r="C465" s="33"/>
      <c r="D465" s="46"/>
      <c r="E465" s="46"/>
      <c r="F465" s="33"/>
      <c r="G465" s="46"/>
      <c r="H465" s="46"/>
      <c r="I465" s="45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  <c r="CK465" s="46"/>
      <c r="CL465" s="46"/>
      <c r="CM465" s="46"/>
      <c r="CN465" s="46"/>
      <c r="CO465" s="46"/>
      <c r="CP465" s="46"/>
      <c r="CQ465" s="46"/>
      <c r="CR465" s="46"/>
    </row>
    <row r="466" spans="1:96" ht="16.5">
      <c r="A466" s="46"/>
      <c r="B466" s="46"/>
      <c r="C466" s="33"/>
      <c r="D466" s="46"/>
      <c r="E466" s="46"/>
      <c r="F466" s="33"/>
      <c r="G466" s="46"/>
      <c r="H466" s="46"/>
      <c r="I466" s="45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  <c r="CK466" s="46"/>
      <c r="CL466" s="46"/>
      <c r="CM466" s="46"/>
      <c r="CN466" s="46"/>
      <c r="CO466" s="46"/>
      <c r="CP466" s="46"/>
      <c r="CQ466" s="46"/>
      <c r="CR466" s="46"/>
    </row>
    <row r="467" spans="1:96" ht="16.5">
      <c r="A467" s="46"/>
      <c r="B467" s="46"/>
      <c r="C467" s="33"/>
      <c r="D467" s="46"/>
      <c r="E467" s="46"/>
      <c r="F467" s="33"/>
      <c r="G467" s="46"/>
      <c r="H467" s="46"/>
      <c r="I467" s="45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  <c r="CK467" s="46"/>
      <c r="CL467" s="46"/>
      <c r="CM467" s="46"/>
      <c r="CN467" s="46"/>
      <c r="CO467" s="46"/>
      <c r="CP467" s="46"/>
      <c r="CQ467" s="46"/>
      <c r="CR467" s="46"/>
    </row>
    <row r="468" spans="1:96" ht="16.5">
      <c r="A468" s="46"/>
      <c r="B468" s="46"/>
      <c r="C468" s="33"/>
      <c r="D468" s="46"/>
      <c r="E468" s="46"/>
      <c r="F468" s="33"/>
      <c r="G468" s="46"/>
      <c r="H468" s="46"/>
      <c r="I468" s="45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  <c r="CK468" s="46"/>
      <c r="CL468" s="46"/>
      <c r="CM468" s="46"/>
      <c r="CN468" s="46"/>
      <c r="CO468" s="46"/>
      <c r="CP468" s="46"/>
      <c r="CQ468" s="46"/>
      <c r="CR468" s="46"/>
    </row>
    <row r="469" spans="1:96" ht="16.5">
      <c r="A469" s="46"/>
      <c r="B469" s="46"/>
      <c r="C469" s="33"/>
      <c r="D469" s="46"/>
      <c r="E469" s="46"/>
      <c r="F469" s="33"/>
      <c r="G469" s="46"/>
      <c r="H469" s="46"/>
      <c r="I469" s="45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  <c r="CK469" s="46"/>
      <c r="CL469" s="46"/>
      <c r="CM469" s="46"/>
      <c r="CN469" s="46"/>
      <c r="CO469" s="46"/>
      <c r="CP469" s="46"/>
      <c r="CQ469" s="46"/>
      <c r="CR469" s="46"/>
    </row>
    <row r="470" spans="1:96" ht="16.5">
      <c r="A470" s="46"/>
      <c r="B470" s="46"/>
      <c r="C470" s="33"/>
      <c r="D470" s="46"/>
      <c r="E470" s="46"/>
      <c r="F470" s="33"/>
      <c r="G470" s="46"/>
      <c r="H470" s="46"/>
      <c r="I470" s="45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  <c r="CK470" s="46"/>
      <c r="CL470" s="46"/>
      <c r="CM470" s="46"/>
      <c r="CN470" s="46"/>
      <c r="CO470" s="46"/>
      <c r="CP470" s="46"/>
      <c r="CQ470" s="46"/>
      <c r="CR470" s="46"/>
    </row>
    <row r="471" spans="1:96" ht="16.5">
      <c r="A471" s="46"/>
      <c r="B471" s="46"/>
      <c r="C471" s="33"/>
      <c r="D471" s="46"/>
      <c r="E471" s="46"/>
      <c r="F471" s="33"/>
      <c r="G471" s="46"/>
      <c r="H471" s="46"/>
      <c r="I471" s="45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  <c r="CK471" s="46"/>
      <c r="CL471" s="46"/>
      <c r="CM471" s="46"/>
      <c r="CN471" s="46"/>
      <c r="CO471" s="46"/>
      <c r="CP471" s="46"/>
      <c r="CQ471" s="46"/>
      <c r="CR471" s="46"/>
    </row>
    <row r="472" spans="1:96" ht="16.5">
      <c r="A472" s="46"/>
      <c r="B472" s="46"/>
      <c r="C472" s="33"/>
      <c r="D472" s="46"/>
      <c r="E472" s="46"/>
      <c r="F472" s="33"/>
      <c r="G472" s="46"/>
      <c r="H472" s="46"/>
      <c r="I472" s="45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  <c r="CK472" s="46"/>
      <c r="CL472" s="46"/>
      <c r="CM472" s="46"/>
      <c r="CN472" s="46"/>
      <c r="CO472" s="46"/>
      <c r="CP472" s="46"/>
      <c r="CQ472" s="46"/>
      <c r="CR472" s="46"/>
    </row>
    <row r="473" spans="1:96" ht="16.5">
      <c r="A473" s="46"/>
      <c r="B473" s="46"/>
      <c r="C473" s="33"/>
      <c r="D473" s="46"/>
      <c r="E473" s="46"/>
      <c r="F473" s="33"/>
      <c r="G473" s="46"/>
      <c r="H473" s="46"/>
      <c r="I473" s="45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  <c r="CK473" s="46"/>
      <c r="CL473" s="46"/>
      <c r="CM473" s="46"/>
      <c r="CN473" s="46"/>
      <c r="CO473" s="46"/>
      <c r="CP473" s="46"/>
      <c r="CQ473" s="46"/>
      <c r="CR473" s="46"/>
    </row>
    <row r="474" spans="1:96" ht="16.5">
      <c r="A474" s="46"/>
      <c r="B474" s="46"/>
      <c r="C474" s="33"/>
      <c r="D474" s="46"/>
      <c r="E474" s="46"/>
      <c r="F474" s="33"/>
      <c r="G474" s="46"/>
      <c r="H474" s="46"/>
      <c r="I474" s="45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  <c r="CK474" s="46"/>
      <c r="CL474" s="46"/>
      <c r="CM474" s="46"/>
      <c r="CN474" s="46"/>
      <c r="CO474" s="46"/>
      <c r="CP474" s="46"/>
      <c r="CQ474" s="46"/>
      <c r="CR474" s="46"/>
    </row>
    <row r="475" spans="1:96" ht="16.5">
      <c r="A475" s="46"/>
      <c r="B475" s="46"/>
      <c r="C475" s="33"/>
      <c r="D475" s="46"/>
      <c r="E475" s="46"/>
      <c r="F475" s="33"/>
      <c r="G475" s="46"/>
      <c r="H475" s="46"/>
      <c r="I475" s="45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  <c r="CK475" s="46"/>
      <c r="CL475" s="46"/>
      <c r="CM475" s="46"/>
      <c r="CN475" s="46"/>
      <c r="CO475" s="46"/>
      <c r="CP475" s="46"/>
      <c r="CQ475" s="46"/>
      <c r="CR475" s="46"/>
    </row>
    <row r="476" spans="1:96" ht="16.5">
      <c r="A476" s="46"/>
      <c r="B476" s="46"/>
      <c r="C476" s="33"/>
      <c r="D476" s="46"/>
      <c r="E476" s="46"/>
      <c r="F476" s="33"/>
      <c r="G476" s="46"/>
      <c r="H476" s="46"/>
      <c r="I476" s="45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  <c r="CK476" s="46"/>
      <c r="CL476" s="46"/>
      <c r="CM476" s="46"/>
      <c r="CN476" s="46"/>
      <c r="CO476" s="46"/>
      <c r="CP476" s="46"/>
      <c r="CQ476" s="46"/>
      <c r="CR476" s="46"/>
    </row>
    <row r="477" spans="1:96" ht="16.5">
      <c r="A477" s="46"/>
      <c r="B477" s="46"/>
      <c r="C477" s="33"/>
      <c r="D477" s="46"/>
      <c r="E477" s="46"/>
      <c r="F477" s="33"/>
      <c r="G477" s="46"/>
      <c r="H477" s="46"/>
      <c r="I477" s="45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  <c r="CK477" s="46"/>
      <c r="CL477" s="46"/>
      <c r="CM477" s="46"/>
      <c r="CN477" s="46"/>
      <c r="CO477" s="46"/>
      <c r="CP477" s="46"/>
      <c r="CQ477" s="46"/>
      <c r="CR477" s="46"/>
    </row>
    <row r="478" spans="1:96" ht="16.5">
      <c r="A478" s="46"/>
      <c r="B478" s="46"/>
      <c r="C478" s="33"/>
      <c r="D478" s="46"/>
      <c r="E478" s="46"/>
      <c r="F478" s="33"/>
      <c r="G478" s="46"/>
      <c r="H478" s="46"/>
      <c r="I478" s="45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  <c r="CK478" s="46"/>
      <c r="CL478" s="46"/>
      <c r="CM478" s="46"/>
      <c r="CN478" s="46"/>
      <c r="CO478" s="46"/>
      <c r="CP478" s="46"/>
      <c r="CQ478" s="46"/>
      <c r="CR478" s="46"/>
    </row>
    <row r="479" spans="1:96" ht="16.5">
      <c r="A479" s="46"/>
      <c r="B479" s="46"/>
      <c r="C479" s="33"/>
      <c r="D479" s="46"/>
      <c r="E479" s="46"/>
      <c r="F479" s="33"/>
      <c r="G479" s="46"/>
      <c r="H479" s="46"/>
      <c r="I479" s="45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  <c r="CK479" s="46"/>
      <c r="CL479" s="46"/>
      <c r="CM479" s="46"/>
      <c r="CN479" s="46"/>
      <c r="CO479" s="46"/>
      <c r="CP479" s="46"/>
      <c r="CQ479" s="46"/>
      <c r="CR479" s="46"/>
    </row>
    <row r="480" spans="1:96" ht="16.5">
      <c r="A480" s="46"/>
      <c r="B480" s="46"/>
      <c r="C480" s="33"/>
      <c r="D480" s="46"/>
      <c r="E480" s="46"/>
      <c r="F480" s="33"/>
      <c r="G480" s="46"/>
      <c r="H480" s="46"/>
      <c r="I480" s="45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  <c r="CK480" s="46"/>
      <c r="CL480" s="46"/>
      <c r="CM480" s="46"/>
      <c r="CN480" s="46"/>
      <c r="CO480" s="46"/>
      <c r="CP480" s="46"/>
      <c r="CQ480" s="46"/>
      <c r="CR480" s="46"/>
    </row>
    <row r="481" spans="1:96" ht="16.5">
      <c r="A481" s="46"/>
      <c r="B481" s="46"/>
      <c r="C481" s="33"/>
      <c r="D481" s="46"/>
      <c r="E481" s="46"/>
      <c r="F481" s="33"/>
      <c r="G481" s="46"/>
      <c r="H481" s="46"/>
      <c r="I481" s="45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  <c r="CK481" s="46"/>
      <c r="CL481" s="46"/>
      <c r="CM481" s="46"/>
      <c r="CN481" s="46"/>
      <c r="CO481" s="46"/>
      <c r="CP481" s="46"/>
      <c r="CQ481" s="46"/>
      <c r="CR481" s="46"/>
    </row>
    <row r="482" spans="1:96" ht="16.5">
      <c r="A482" s="46"/>
      <c r="B482" s="46"/>
      <c r="C482" s="33"/>
      <c r="D482" s="46"/>
      <c r="E482" s="46"/>
      <c r="F482" s="33"/>
      <c r="G482" s="46"/>
      <c r="H482" s="46"/>
      <c r="I482" s="45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  <c r="CK482" s="46"/>
      <c r="CL482" s="46"/>
      <c r="CM482" s="46"/>
      <c r="CN482" s="46"/>
      <c r="CO482" s="46"/>
      <c r="CP482" s="46"/>
      <c r="CQ482" s="46"/>
      <c r="CR482" s="46"/>
    </row>
    <row r="483" spans="1:96" ht="16.5">
      <c r="A483" s="46"/>
      <c r="B483" s="46"/>
      <c r="C483" s="33"/>
      <c r="D483" s="46"/>
      <c r="E483" s="46"/>
      <c r="F483" s="33"/>
      <c r="G483" s="46"/>
      <c r="H483" s="46"/>
      <c r="I483" s="45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  <c r="CK483" s="46"/>
      <c r="CL483" s="46"/>
      <c r="CM483" s="46"/>
      <c r="CN483" s="46"/>
      <c r="CO483" s="46"/>
      <c r="CP483" s="46"/>
      <c r="CQ483" s="46"/>
      <c r="CR483" s="46"/>
    </row>
    <row r="484" spans="1:96" ht="16.5">
      <c r="A484" s="46"/>
      <c r="B484" s="46"/>
      <c r="C484" s="33"/>
      <c r="D484" s="46"/>
      <c r="E484" s="46"/>
      <c r="F484" s="33"/>
      <c r="G484" s="46"/>
      <c r="H484" s="46"/>
      <c r="I484" s="45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  <c r="CK484" s="46"/>
      <c r="CL484" s="46"/>
      <c r="CM484" s="46"/>
      <c r="CN484" s="46"/>
      <c r="CO484" s="46"/>
      <c r="CP484" s="46"/>
      <c r="CQ484" s="46"/>
      <c r="CR484" s="46"/>
    </row>
    <row r="485" spans="1:96" ht="16.5">
      <c r="A485" s="46"/>
      <c r="B485" s="46"/>
      <c r="C485" s="33"/>
      <c r="D485" s="46"/>
      <c r="E485" s="46"/>
      <c r="F485" s="33"/>
      <c r="G485" s="46"/>
      <c r="H485" s="46"/>
      <c r="I485" s="45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  <c r="CK485" s="46"/>
      <c r="CL485" s="46"/>
      <c r="CM485" s="46"/>
      <c r="CN485" s="46"/>
      <c r="CO485" s="46"/>
      <c r="CP485" s="46"/>
      <c r="CQ485" s="46"/>
      <c r="CR485" s="46"/>
    </row>
    <row r="486" spans="1:96" ht="16.5">
      <c r="A486" s="46"/>
      <c r="B486" s="46"/>
      <c r="C486" s="33"/>
      <c r="D486" s="46"/>
      <c r="E486" s="46"/>
      <c r="F486" s="33"/>
      <c r="G486" s="46"/>
      <c r="H486" s="46"/>
      <c r="I486" s="45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/>
      <c r="CP486" s="46"/>
      <c r="CQ486" s="46"/>
      <c r="CR486" s="46"/>
    </row>
    <row r="487" spans="1:96" ht="16.5">
      <c r="A487" s="46"/>
      <c r="B487" s="46"/>
      <c r="C487" s="33"/>
      <c r="D487" s="46"/>
      <c r="E487" s="46"/>
      <c r="F487" s="33"/>
      <c r="G487" s="46"/>
      <c r="H487" s="46"/>
      <c r="I487" s="45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</row>
    <row r="488" spans="1:96" ht="16.5">
      <c r="A488" s="46"/>
      <c r="B488" s="46"/>
      <c r="C488" s="33"/>
      <c r="D488" s="46"/>
      <c r="E488" s="46"/>
      <c r="F488" s="33"/>
      <c r="G488" s="46"/>
      <c r="H488" s="46"/>
      <c r="I488" s="45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  <c r="CK488" s="46"/>
      <c r="CL488" s="46"/>
      <c r="CM488" s="46"/>
      <c r="CN488" s="46"/>
      <c r="CO488" s="46"/>
      <c r="CP488" s="46"/>
      <c r="CQ488" s="46"/>
      <c r="CR488" s="46"/>
    </row>
    <row r="489" spans="1:96" ht="16.5">
      <c r="A489" s="46"/>
      <c r="B489" s="46"/>
      <c r="C489" s="33"/>
      <c r="D489" s="46"/>
      <c r="E489" s="46"/>
      <c r="F489" s="33"/>
      <c r="G489" s="46"/>
      <c r="H489" s="46"/>
      <c r="I489" s="45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</row>
    <row r="490" spans="1:96" ht="16.5">
      <c r="A490" s="46"/>
      <c r="B490" s="46"/>
      <c r="C490" s="33"/>
      <c r="D490" s="46"/>
      <c r="E490" s="46"/>
      <c r="F490" s="33"/>
      <c r="G490" s="46"/>
      <c r="H490" s="46"/>
      <c r="I490" s="45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</row>
    <row r="491" spans="1:96" ht="16.5">
      <c r="A491" s="46"/>
      <c r="B491" s="46"/>
      <c r="C491" s="33"/>
      <c r="D491" s="46"/>
      <c r="E491" s="46"/>
      <c r="F491" s="33"/>
      <c r="G491" s="46"/>
      <c r="H491" s="46"/>
      <c r="I491" s="45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</row>
    <row r="492" spans="1:96" ht="16.5">
      <c r="A492" s="46"/>
      <c r="B492" s="46"/>
      <c r="C492" s="33"/>
      <c r="D492" s="46"/>
      <c r="E492" s="46"/>
      <c r="F492" s="33"/>
      <c r="G492" s="46"/>
      <c r="H492" s="46"/>
      <c r="I492" s="45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</row>
    <row r="493" spans="1:96" ht="16.5">
      <c r="A493" s="46"/>
      <c r="B493" s="46"/>
      <c r="C493" s="33"/>
      <c r="D493" s="46"/>
      <c r="E493" s="46"/>
      <c r="F493" s="33"/>
      <c r="G493" s="46"/>
      <c r="H493" s="46"/>
      <c r="I493" s="45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</row>
    <row r="494" spans="1:96" ht="16.5">
      <c r="A494" s="46"/>
      <c r="B494" s="46"/>
      <c r="C494" s="33"/>
      <c r="D494" s="46"/>
      <c r="E494" s="46"/>
      <c r="F494" s="33"/>
      <c r="G494" s="46"/>
      <c r="H494" s="46"/>
      <c r="I494" s="45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</row>
    <row r="495" spans="1:96" ht="16.5">
      <c r="A495" s="46"/>
      <c r="B495" s="46"/>
      <c r="C495" s="33"/>
      <c r="D495" s="46"/>
      <c r="E495" s="46"/>
      <c r="F495" s="33"/>
      <c r="G495" s="46"/>
      <c r="H495" s="46"/>
      <c r="I495" s="45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</row>
    <row r="496" spans="1:96" ht="16.5">
      <c r="A496" s="46"/>
      <c r="B496" s="46"/>
      <c r="C496" s="33"/>
      <c r="D496" s="46"/>
      <c r="E496" s="46"/>
      <c r="F496" s="33"/>
      <c r="G496" s="46"/>
      <c r="H496" s="46"/>
      <c r="I496" s="45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</row>
    <row r="497" spans="1:96" ht="16.5">
      <c r="A497" s="46"/>
      <c r="B497" s="46"/>
      <c r="C497" s="33"/>
      <c r="D497" s="46"/>
      <c r="E497" s="46"/>
      <c r="F497" s="33"/>
      <c r="G497" s="46"/>
      <c r="H497" s="46"/>
      <c r="I497" s="45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</row>
    <row r="498" spans="1:96" ht="16.5">
      <c r="A498" s="46"/>
      <c r="B498" s="46"/>
      <c r="C498" s="33"/>
      <c r="D498" s="46"/>
      <c r="E498" s="46"/>
      <c r="F498" s="33"/>
      <c r="G498" s="46"/>
      <c r="H498" s="46"/>
      <c r="I498" s="45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</row>
    <row r="499" spans="1:96" ht="16.5">
      <c r="A499" s="46"/>
      <c r="B499" s="46"/>
      <c r="C499" s="33"/>
      <c r="D499" s="46"/>
      <c r="E499" s="46"/>
      <c r="F499" s="33"/>
      <c r="G499" s="46"/>
      <c r="H499" s="46"/>
      <c r="I499" s="45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</row>
    <row r="500" spans="1:96" ht="16.5">
      <c r="A500" s="46"/>
      <c r="B500" s="46"/>
      <c r="C500" s="33"/>
      <c r="D500" s="46"/>
      <c r="E500" s="46"/>
      <c r="F500" s="33"/>
      <c r="G500" s="46"/>
      <c r="H500" s="46"/>
      <c r="I500" s="45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  <c r="CK500" s="46"/>
      <c r="CL500" s="46"/>
      <c r="CM500" s="46"/>
      <c r="CN500" s="46"/>
      <c r="CO500" s="46"/>
      <c r="CP500" s="46"/>
      <c r="CQ500" s="46"/>
      <c r="CR500" s="46"/>
    </row>
    <row r="501" spans="1:96" ht="16.5">
      <c r="A501" s="46"/>
      <c r="B501" s="46"/>
      <c r="C501" s="33"/>
      <c r="D501" s="46"/>
      <c r="E501" s="46"/>
      <c r="F501" s="33"/>
      <c r="G501" s="46"/>
      <c r="H501" s="46"/>
      <c r="I501" s="45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  <c r="CK501" s="46"/>
      <c r="CL501" s="46"/>
      <c r="CM501" s="46"/>
      <c r="CN501" s="46"/>
      <c r="CO501" s="46"/>
      <c r="CP501" s="46"/>
      <c r="CQ501" s="46"/>
      <c r="CR501" s="46"/>
    </row>
    <row r="502" spans="1:96" ht="16.5">
      <c r="A502" s="46"/>
      <c r="B502" s="46"/>
      <c r="C502" s="33"/>
      <c r="D502" s="46"/>
      <c r="E502" s="46"/>
      <c r="F502" s="33"/>
      <c r="G502" s="46"/>
      <c r="H502" s="46"/>
      <c r="I502" s="45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  <c r="CK502" s="46"/>
      <c r="CL502" s="46"/>
      <c r="CM502" s="46"/>
      <c r="CN502" s="46"/>
      <c r="CO502" s="46"/>
      <c r="CP502" s="46"/>
      <c r="CQ502" s="46"/>
      <c r="CR502" s="46"/>
    </row>
    <row r="503" spans="1:96" ht="16.5">
      <c r="A503" s="46"/>
      <c r="B503" s="46"/>
      <c r="C503" s="33"/>
      <c r="D503" s="46"/>
      <c r="E503" s="46"/>
      <c r="F503" s="33"/>
      <c r="G503" s="46"/>
      <c r="H503" s="46"/>
      <c r="I503" s="45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  <c r="CK503" s="46"/>
      <c r="CL503" s="46"/>
      <c r="CM503" s="46"/>
      <c r="CN503" s="46"/>
      <c r="CO503" s="46"/>
      <c r="CP503" s="46"/>
      <c r="CQ503" s="46"/>
      <c r="CR503" s="46"/>
    </row>
    <row r="504" spans="1:96" ht="16.5">
      <c r="A504" s="46"/>
      <c r="B504" s="46"/>
      <c r="C504" s="33"/>
      <c r="D504" s="46"/>
      <c r="E504" s="46"/>
      <c r="F504" s="33"/>
      <c r="G504" s="46"/>
      <c r="H504" s="46"/>
      <c r="I504" s="45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  <c r="CK504" s="46"/>
      <c r="CL504" s="46"/>
      <c r="CM504" s="46"/>
      <c r="CN504" s="46"/>
      <c r="CO504" s="46"/>
      <c r="CP504" s="46"/>
      <c r="CQ504" s="46"/>
      <c r="CR504" s="46"/>
    </row>
    <row r="505" spans="1:96" ht="16.5">
      <c r="A505" s="46"/>
      <c r="B505" s="46"/>
      <c r="C505" s="33"/>
      <c r="D505" s="46"/>
      <c r="E505" s="46"/>
      <c r="F505" s="33"/>
      <c r="G505" s="46"/>
      <c r="H505" s="46"/>
      <c r="I505" s="45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  <c r="CK505" s="46"/>
      <c r="CL505" s="46"/>
      <c r="CM505" s="46"/>
      <c r="CN505" s="46"/>
      <c r="CO505" s="46"/>
      <c r="CP505" s="46"/>
      <c r="CQ505" s="46"/>
      <c r="CR505" s="46"/>
    </row>
    <row r="506" spans="1:96" ht="16.5">
      <c r="A506" s="46"/>
      <c r="B506" s="46"/>
      <c r="C506" s="33"/>
      <c r="D506" s="46"/>
      <c r="E506" s="46"/>
      <c r="F506" s="33"/>
      <c r="G506" s="46"/>
      <c r="H506" s="46"/>
      <c r="I506" s="45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  <c r="CK506" s="46"/>
      <c r="CL506" s="46"/>
      <c r="CM506" s="46"/>
      <c r="CN506" s="46"/>
      <c r="CO506" s="46"/>
      <c r="CP506" s="46"/>
      <c r="CQ506" s="46"/>
      <c r="CR506" s="46"/>
    </row>
    <row r="507" spans="1:96" ht="16.5">
      <c r="A507" s="46"/>
      <c r="B507" s="46"/>
      <c r="C507" s="33"/>
      <c r="D507" s="46"/>
      <c r="E507" s="46"/>
      <c r="F507" s="33"/>
      <c r="G507" s="46"/>
      <c r="H507" s="46"/>
      <c r="I507" s="45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  <c r="CK507" s="46"/>
      <c r="CL507" s="46"/>
      <c r="CM507" s="46"/>
      <c r="CN507" s="46"/>
      <c r="CO507" s="46"/>
      <c r="CP507" s="46"/>
      <c r="CQ507" s="46"/>
      <c r="CR507" s="46"/>
    </row>
    <row r="508" spans="1:96" ht="16.5">
      <c r="A508" s="46"/>
      <c r="B508" s="46"/>
      <c r="C508" s="33"/>
      <c r="D508" s="46"/>
      <c r="E508" s="46"/>
      <c r="F508" s="33"/>
      <c r="G508" s="46"/>
      <c r="H508" s="46"/>
      <c r="I508" s="45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  <c r="CK508" s="46"/>
      <c r="CL508" s="46"/>
      <c r="CM508" s="46"/>
      <c r="CN508" s="46"/>
      <c r="CO508" s="46"/>
      <c r="CP508" s="46"/>
      <c r="CQ508" s="46"/>
      <c r="CR508" s="46"/>
    </row>
    <row r="509" spans="1:96" ht="16.5">
      <c r="A509" s="46"/>
      <c r="B509" s="46"/>
      <c r="C509" s="33"/>
      <c r="D509" s="46"/>
      <c r="E509" s="46"/>
      <c r="F509" s="33"/>
      <c r="G509" s="46"/>
      <c r="H509" s="46"/>
      <c r="I509" s="45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  <c r="CK509" s="46"/>
      <c r="CL509" s="46"/>
      <c r="CM509" s="46"/>
      <c r="CN509" s="46"/>
      <c r="CO509" s="46"/>
      <c r="CP509" s="46"/>
      <c r="CQ509" s="46"/>
      <c r="CR509" s="46"/>
    </row>
    <row r="510" spans="1:96" ht="16.5">
      <c r="A510" s="46"/>
      <c r="B510" s="46"/>
      <c r="C510" s="33"/>
      <c r="D510" s="46"/>
      <c r="E510" s="46"/>
      <c r="F510" s="33"/>
      <c r="G510" s="46"/>
      <c r="H510" s="46"/>
      <c r="I510" s="45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  <c r="CK510" s="46"/>
      <c r="CL510" s="46"/>
      <c r="CM510" s="46"/>
      <c r="CN510" s="46"/>
      <c r="CO510" s="46"/>
      <c r="CP510" s="46"/>
      <c r="CQ510" s="46"/>
      <c r="CR510" s="46"/>
    </row>
    <row r="511" spans="1:96" ht="16.5">
      <c r="A511" s="46"/>
      <c r="B511" s="46"/>
      <c r="C511" s="33"/>
      <c r="D511" s="46"/>
      <c r="E511" s="46"/>
      <c r="F511" s="33"/>
      <c r="G511" s="46"/>
      <c r="H511" s="46"/>
      <c r="I511" s="45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  <c r="CK511" s="46"/>
      <c r="CL511" s="46"/>
      <c r="CM511" s="46"/>
      <c r="CN511" s="46"/>
      <c r="CO511" s="46"/>
      <c r="CP511" s="46"/>
      <c r="CQ511" s="46"/>
      <c r="CR511" s="46"/>
    </row>
    <row r="512" spans="1:96" ht="16.5">
      <c r="A512" s="46"/>
      <c r="B512" s="46"/>
      <c r="C512" s="33"/>
      <c r="D512" s="46"/>
      <c r="E512" s="46"/>
      <c r="F512" s="33"/>
      <c r="G512" s="46"/>
      <c r="H512" s="46"/>
      <c r="I512" s="45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  <c r="CK512" s="46"/>
      <c r="CL512" s="46"/>
      <c r="CM512" s="46"/>
      <c r="CN512" s="46"/>
      <c r="CO512" s="46"/>
      <c r="CP512" s="46"/>
      <c r="CQ512" s="46"/>
      <c r="CR512" s="46"/>
    </row>
    <row r="513" spans="1:96" ht="16.5">
      <c r="A513" s="46"/>
      <c r="B513" s="46"/>
      <c r="C513" s="33"/>
      <c r="D513" s="46"/>
      <c r="E513" s="46"/>
      <c r="F513" s="33"/>
      <c r="G513" s="46"/>
      <c r="H513" s="46"/>
      <c r="I513" s="45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  <c r="CK513" s="46"/>
      <c r="CL513" s="46"/>
      <c r="CM513" s="46"/>
      <c r="CN513" s="46"/>
      <c r="CO513" s="46"/>
      <c r="CP513" s="46"/>
      <c r="CQ513" s="46"/>
      <c r="CR513" s="46"/>
    </row>
    <row r="514" spans="1:96" ht="16.5">
      <c r="A514" s="46"/>
      <c r="B514" s="46"/>
      <c r="C514" s="33"/>
      <c r="D514" s="46"/>
      <c r="E514" s="46"/>
      <c r="F514" s="33"/>
      <c r="G514" s="46"/>
      <c r="H514" s="46"/>
      <c r="I514" s="45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  <c r="CK514" s="46"/>
      <c r="CL514" s="46"/>
      <c r="CM514" s="46"/>
      <c r="CN514" s="46"/>
      <c r="CO514" s="46"/>
      <c r="CP514" s="46"/>
      <c r="CQ514" s="46"/>
      <c r="CR514" s="46"/>
    </row>
    <row r="515" spans="1:96" ht="16.5">
      <c r="A515" s="46"/>
      <c r="B515" s="46"/>
      <c r="C515" s="33"/>
      <c r="D515" s="46"/>
      <c r="E515" s="46"/>
      <c r="F515" s="33"/>
      <c r="G515" s="46"/>
      <c r="H515" s="46"/>
      <c r="I515" s="45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  <c r="CK515" s="46"/>
      <c r="CL515" s="46"/>
      <c r="CM515" s="46"/>
      <c r="CN515" s="46"/>
      <c r="CO515" s="46"/>
      <c r="CP515" s="46"/>
      <c r="CQ515" s="46"/>
      <c r="CR515" s="46"/>
    </row>
    <row r="516" spans="1:96" ht="16.5">
      <c r="A516" s="46"/>
      <c r="B516" s="46"/>
      <c r="C516" s="33"/>
      <c r="D516" s="46"/>
      <c r="E516" s="46"/>
      <c r="F516" s="33"/>
      <c r="G516" s="46"/>
      <c r="H516" s="46"/>
      <c r="I516" s="45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  <c r="CK516" s="46"/>
      <c r="CL516" s="46"/>
      <c r="CM516" s="46"/>
      <c r="CN516" s="46"/>
      <c r="CO516" s="46"/>
      <c r="CP516" s="46"/>
      <c r="CQ516" s="46"/>
      <c r="CR516" s="46"/>
    </row>
    <row r="517" spans="1:96" ht="16.5">
      <c r="A517" s="46"/>
      <c r="B517" s="46"/>
      <c r="C517" s="33"/>
      <c r="D517" s="46"/>
      <c r="E517" s="46"/>
      <c r="F517" s="33"/>
      <c r="G517" s="46"/>
      <c r="H517" s="46"/>
      <c r="I517" s="45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  <c r="CK517" s="46"/>
      <c r="CL517" s="46"/>
      <c r="CM517" s="46"/>
      <c r="CN517" s="46"/>
      <c r="CO517" s="46"/>
      <c r="CP517" s="46"/>
      <c r="CQ517" s="46"/>
      <c r="CR517" s="46"/>
    </row>
    <row r="518" spans="1:96" ht="16.5">
      <c r="A518" s="46"/>
      <c r="B518" s="46"/>
      <c r="C518" s="33"/>
      <c r="D518" s="46"/>
      <c r="E518" s="46"/>
      <c r="F518" s="33"/>
      <c r="G518" s="46"/>
      <c r="H518" s="46"/>
      <c r="I518" s="45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  <c r="CK518" s="46"/>
      <c r="CL518" s="46"/>
      <c r="CM518" s="46"/>
      <c r="CN518" s="46"/>
      <c r="CO518" s="46"/>
      <c r="CP518" s="46"/>
      <c r="CQ518" s="46"/>
      <c r="CR518" s="46"/>
    </row>
    <row r="519" spans="1:96" ht="16.5">
      <c r="A519" s="46"/>
      <c r="B519" s="46"/>
      <c r="C519" s="33"/>
      <c r="D519" s="46"/>
      <c r="E519" s="46"/>
      <c r="F519" s="33"/>
      <c r="G519" s="46"/>
      <c r="H519" s="46"/>
      <c r="I519" s="45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  <c r="CK519" s="46"/>
      <c r="CL519" s="46"/>
      <c r="CM519" s="46"/>
      <c r="CN519" s="46"/>
      <c r="CO519" s="46"/>
      <c r="CP519" s="46"/>
      <c r="CQ519" s="46"/>
      <c r="CR519" s="46"/>
    </row>
    <row r="520" spans="1:96" ht="16.5">
      <c r="A520" s="46"/>
      <c r="B520" s="46"/>
      <c r="C520" s="33"/>
      <c r="D520" s="46"/>
      <c r="E520" s="46"/>
      <c r="F520" s="33"/>
      <c r="G520" s="46"/>
      <c r="H520" s="46"/>
      <c r="I520" s="45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  <c r="CK520" s="46"/>
      <c r="CL520" s="46"/>
      <c r="CM520" s="46"/>
      <c r="CN520" s="46"/>
      <c r="CO520" s="46"/>
      <c r="CP520" s="46"/>
      <c r="CQ520" s="46"/>
      <c r="CR520" s="46"/>
    </row>
    <row r="521" spans="1:96" ht="16.5">
      <c r="A521" s="46"/>
      <c r="B521" s="46"/>
      <c r="C521" s="33"/>
      <c r="D521" s="46"/>
      <c r="E521" s="46"/>
      <c r="F521" s="33"/>
      <c r="G521" s="46"/>
      <c r="H521" s="46"/>
      <c r="I521" s="45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  <c r="CK521" s="46"/>
      <c r="CL521" s="46"/>
      <c r="CM521" s="46"/>
      <c r="CN521" s="46"/>
      <c r="CO521" s="46"/>
      <c r="CP521" s="46"/>
      <c r="CQ521" s="46"/>
      <c r="CR521" s="46"/>
    </row>
    <row r="522" spans="1:96" ht="16.5">
      <c r="A522" s="46"/>
      <c r="B522" s="46"/>
      <c r="C522" s="33"/>
      <c r="D522" s="46"/>
      <c r="E522" s="46"/>
      <c r="F522" s="33"/>
      <c r="G522" s="46"/>
      <c r="H522" s="46"/>
      <c r="I522" s="45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  <c r="CK522" s="46"/>
      <c r="CL522" s="46"/>
      <c r="CM522" s="46"/>
      <c r="CN522" s="46"/>
      <c r="CO522" s="46"/>
      <c r="CP522" s="46"/>
      <c r="CQ522" s="46"/>
      <c r="CR522" s="46"/>
    </row>
    <row r="523" spans="1:96" ht="16.5">
      <c r="A523" s="46"/>
      <c r="B523" s="46"/>
      <c r="C523" s="33"/>
      <c r="D523" s="46"/>
      <c r="E523" s="46"/>
      <c r="F523" s="33"/>
      <c r="G523" s="46"/>
      <c r="H523" s="46"/>
      <c r="I523" s="45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  <c r="CK523" s="46"/>
      <c r="CL523" s="46"/>
      <c r="CM523" s="46"/>
      <c r="CN523" s="46"/>
      <c r="CO523" s="46"/>
      <c r="CP523" s="46"/>
      <c r="CQ523" s="46"/>
      <c r="CR523" s="46"/>
    </row>
    <row r="524" spans="1:96" ht="16.5">
      <c r="A524" s="46"/>
      <c r="B524" s="46"/>
      <c r="C524" s="33"/>
      <c r="D524" s="46"/>
      <c r="E524" s="46"/>
      <c r="F524" s="33"/>
      <c r="G524" s="46"/>
      <c r="H524" s="46"/>
      <c r="I524" s="45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  <c r="CK524" s="46"/>
      <c r="CL524" s="46"/>
      <c r="CM524" s="46"/>
      <c r="CN524" s="46"/>
      <c r="CO524" s="46"/>
      <c r="CP524" s="46"/>
      <c r="CQ524" s="46"/>
      <c r="CR524" s="46"/>
    </row>
    <row r="525" spans="1:96" ht="16.5">
      <c r="A525" s="46"/>
      <c r="B525" s="46"/>
      <c r="C525" s="33"/>
      <c r="D525" s="46"/>
      <c r="E525" s="46"/>
      <c r="F525" s="33"/>
      <c r="G525" s="46"/>
      <c r="H525" s="46"/>
      <c r="I525" s="45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  <c r="CK525" s="46"/>
      <c r="CL525" s="46"/>
      <c r="CM525" s="46"/>
      <c r="CN525" s="46"/>
      <c r="CO525" s="46"/>
      <c r="CP525" s="46"/>
      <c r="CQ525" s="46"/>
      <c r="CR525" s="46"/>
    </row>
    <row r="526" spans="1:96" ht="16.5">
      <c r="A526" s="46"/>
      <c r="B526" s="46"/>
      <c r="C526" s="33"/>
      <c r="D526" s="46"/>
      <c r="E526" s="46"/>
      <c r="F526" s="33"/>
      <c r="G526" s="46"/>
      <c r="H526" s="46"/>
      <c r="I526" s="45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/>
      <c r="CP526" s="46"/>
      <c r="CQ526" s="46"/>
      <c r="CR526" s="46"/>
    </row>
    <row r="527" spans="1:96" ht="16.5">
      <c r="A527" s="46"/>
      <c r="B527" s="46"/>
      <c r="C527" s="33"/>
      <c r="D527" s="46"/>
      <c r="E527" s="46"/>
      <c r="F527" s="33"/>
      <c r="G527" s="46"/>
      <c r="H527" s="46"/>
      <c r="I527" s="45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</row>
    <row r="528" spans="1:96" ht="16.5">
      <c r="A528" s="46"/>
      <c r="B528" s="46"/>
      <c r="C528" s="33"/>
      <c r="D528" s="46"/>
      <c r="E528" s="46"/>
      <c r="F528" s="33"/>
      <c r="G528" s="46"/>
      <c r="H528" s="46"/>
      <c r="I528" s="45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  <c r="CK528" s="46"/>
      <c r="CL528" s="46"/>
      <c r="CM528" s="46"/>
      <c r="CN528" s="46"/>
      <c r="CO528" s="46"/>
      <c r="CP528" s="46"/>
      <c r="CQ528" s="46"/>
      <c r="CR528" s="46"/>
    </row>
    <row r="529" spans="1:96" ht="16.5">
      <c r="A529" s="46"/>
      <c r="B529" s="46"/>
      <c r="C529" s="33"/>
      <c r="D529" s="46"/>
      <c r="E529" s="46"/>
      <c r="F529" s="33"/>
      <c r="G529" s="46"/>
      <c r="H529" s="46"/>
      <c r="I529" s="45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</row>
    <row r="530" spans="1:96" ht="16.5">
      <c r="A530" s="46"/>
      <c r="B530" s="46"/>
      <c r="C530" s="33"/>
      <c r="D530" s="46"/>
      <c r="E530" s="46"/>
      <c r="F530" s="33"/>
      <c r="G530" s="46"/>
      <c r="H530" s="46"/>
      <c r="I530" s="45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</row>
    <row r="531" spans="1:96" ht="16.5">
      <c r="A531" s="46"/>
      <c r="B531" s="46"/>
      <c r="C531" s="33"/>
      <c r="D531" s="46"/>
      <c r="E531" s="46"/>
      <c r="F531" s="33"/>
      <c r="G531" s="46"/>
      <c r="H531" s="46"/>
      <c r="I531" s="45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</row>
    <row r="532" spans="1:96" ht="16.5">
      <c r="A532" s="46"/>
      <c r="B532" s="46"/>
      <c r="C532" s="33"/>
      <c r="D532" s="46"/>
      <c r="E532" s="46"/>
      <c r="F532" s="33"/>
      <c r="G532" s="46"/>
      <c r="H532" s="46"/>
      <c r="I532" s="45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</row>
    <row r="533" spans="1:96" ht="16.5">
      <c r="A533" s="46"/>
      <c r="B533" s="46"/>
      <c r="C533" s="33"/>
      <c r="D533" s="46"/>
      <c r="E533" s="46"/>
      <c r="F533" s="33"/>
      <c r="G533" s="46"/>
      <c r="H533" s="46"/>
      <c r="I533" s="45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</row>
    <row r="534" spans="1:96" ht="16.5">
      <c r="A534" s="46"/>
      <c r="B534" s="46"/>
      <c r="C534" s="33"/>
      <c r="D534" s="46"/>
      <c r="E534" s="46"/>
      <c r="F534" s="33"/>
      <c r="G534" s="46"/>
      <c r="H534" s="46"/>
      <c r="I534" s="45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</row>
    <row r="535" spans="1:96" ht="16.5">
      <c r="A535" s="46"/>
      <c r="B535" s="46"/>
      <c r="C535" s="33"/>
      <c r="D535" s="46"/>
      <c r="E535" s="46"/>
      <c r="F535" s="33"/>
      <c r="G535" s="46"/>
      <c r="H535" s="46"/>
      <c r="I535" s="45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</row>
    <row r="536" spans="1:96" ht="16.5">
      <c r="A536" s="46"/>
      <c r="B536" s="46"/>
      <c r="C536" s="33"/>
      <c r="D536" s="46"/>
      <c r="E536" s="46"/>
      <c r="F536" s="33"/>
      <c r="G536" s="46"/>
      <c r="H536" s="46"/>
      <c r="I536" s="45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</row>
    <row r="537" spans="1:96" ht="16.5">
      <c r="A537" s="46"/>
      <c r="B537" s="46"/>
      <c r="C537" s="33"/>
      <c r="D537" s="46"/>
      <c r="E537" s="46"/>
      <c r="F537" s="33"/>
      <c r="G537" s="46"/>
      <c r="H537" s="46"/>
      <c r="I537" s="45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</row>
    <row r="538" spans="1:96" ht="16.5">
      <c r="A538" s="46"/>
      <c r="B538" s="46"/>
      <c r="C538" s="33"/>
      <c r="D538" s="46"/>
      <c r="E538" s="46"/>
      <c r="F538" s="33"/>
      <c r="G538" s="46"/>
      <c r="H538" s="46"/>
      <c r="I538" s="45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</row>
    <row r="539" spans="1:96" ht="16.5">
      <c r="A539" s="46"/>
      <c r="B539" s="46"/>
      <c r="C539" s="33"/>
      <c r="D539" s="46"/>
      <c r="E539" s="46"/>
      <c r="F539" s="33"/>
      <c r="G539" s="46"/>
      <c r="H539" s="46"/>
      <c r="I539" s="45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</row>
    <row r="540" spans="1:96" ht="16.5">
      <c r="A540" s="46"/>
      <c r="B540" s="46"/>
      <c r="C540" s="33"/>
      <c r="D540" s="46"/>
      <c r="E540" s="46"/>
      <c r="F540" s="33"/>
      <c r="G540" s="46"/>
      <c r="H540" s="46"/>
      <c r="I540" s="45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  <c r="CK540" s="46"/>
      <c r="CL540" s="46"/>
      <c r="CM540" s="46"/>
      <c r="CN540" s="46"/>
      <c r="CO540" s="46"/>
      <c r="CP540" s="46"/>
      <c r="CQ540" s="46"/>
      <c r="CR540" s="46"/>
    </row>
    <row r="541" spans="1:96" ht="16.5">
      <c r="A541" s="46"/>
      <c r="B541" s="46"/>
      <c r="C541" s="33"/>
      <c r="D541" s="46"/>
      <c r="E541" s="46"/>
      <c r="F541" s="33"/>
      <c r="G541" s="46"/>
      <c r="H541" s="46"/>
      <c r="I541" s="45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  <c r="CK541" s="46"/>
      <c r="CL541" s="46"/>
      <c r="CM541" s="46"/>
      <c r="CN541" s="46"/>
      <c r="CO541" s="46"/>
      <c r="CP541" s="46"/>
      <c r="CQ541" s="46"/>
      <c r="CR541" s="46"/>
    </row>
    <row r="542" spans="1:96" ht="16.5">
      <c r="A542" s="46"/>
      <c r="B542" s="46"/>
      <c r="C542" s="33"/>
      <c r="D542" s="46"/>
      <c r="E542" s="46"/>
      <c r="F542" s="33"/>
      <c r="G542" s="46"/>
      <c r="H542" s="46"/>
      <c r="I542" s="45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  <c r="CK542" s="46"/>
      <c r="CL542" s="46"/>
      <c r="CM542" s="46"/>
      <c r="CN542" s="46"/>
      <c r="CO542" s="46"/>
      <c r="CP542" s="46"/>
      <c r="CQ542" s="46"/>
      <c r="CR542" s="46"/>
    </row>
    <row r="543" spans="1:96" ht="16.5">
      <c r="A543" s="46"/>
      <c r="B543" s="46"/>
      <c r="C543" s="33"/>
      <c r="D543" s="46"/>
      <c r="E543" s="46"/>
      <c r="F543" s="33"/>
      <c r="G543" s="46"/>
      <c r="H543" s="46"/>
      <c r="I543" s="45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  <c r="CK543" s="46"/>
      <c r="CL543" s="46"/>
      <c r="CM543" s="46"/>
      <c r="CN543" s="46"/>
      <c r="CO543" s="46"/>
      <c r="CP543" s="46"/>
      <c r="CQ543" s="46"/>
      <c r="CR543" s="46"/>
    </row>
    <row r="544" spans="1:96" ht="16.5">
      <c r="A544" s="46"/>
      <c r="B544" s="46"/>
      <c r="C544" s="33"/>
      <c r="D544" s="46"/>
      <c r="E544" s="46"/>
      <c r="F544" s="33"/>
      <c r="G544" s="46"/>
      <c r="H544" s="46"/>
      <c r="I544" s="45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  <c r="CK544" s="46"/>
      <c r="CL544" s="46"/>
      <c r="CM544" s="46"/>
      <c r="CN544" s="46"/>
      <c r="CO544" s="46"/>
      <c r="CP544" s="46"/>
      <c r="CQ544" s="46"/>
      <c r="CR544" s="46"/>
    </row>
    <row r="545" spans="1:96" ht="16.5">
      <c r="A545" s="46"/>
      <c r="B545" s="46"/>
      <c r="C545" s="33"/>
      <c r="D545" s="46"/>
      <c r="E545" s="46"/>
      <c r="F545" s="33"/>
      <c r="G545" s="46"/>
      <c r="H545" s="46"/>
      <c r="I545" s="45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  <c r="CK545" s="46"/>
      <c r="CL545" s="46"/>
      <c r="CM545" s="46"/>
      <c r="CN545" s="46"/>
      <c r="CO545" s="46"/>
      <c r="CP545" s="46"/>
      <c r="CQ545" s="46"/>
      <c r="CR545" s="46"/>
    </row>
    <row r="546" spans="1:96" ht="16.5">
      <c r="A546" s="46"/>
      <c r="B546" s="46"/>
      <c r="C546" s="33"/>
      <c r="D546" s="46"/>
      <c r="E546" s="46"/>
      <c r="F546" s="33"/>
      <c r="G546" s="46"/>
      <c r="H546" s="46"/>
      <c r="I546" s="45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  <c r="CK546" s="46"/>
      <c r="CL546" s="46"/>
      <c r="CM546" s="46"/>
      <c r="CN546" s="46"/>
      <c r="CO546" s="46"/>
      <c r="CP546" s="46"/>
      <c r="CQ546" s="46"/>
      <c r="CR546" s="46"/>
    </row>
    <row r="547" spans="1:96" ht="16.5">
      <c r="A547" s="46"/>
      <c r="B547" s="46"/>
      <c r="C547" s="33"/>
      <c r="D547" s="46"/>
      <c r="E547" s="46"/>
      <c r="F547" s="33"/>
      <c r="G547" s="46"/>
      <c r="H547" s="46"/>
      <c r="I547" s="45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  <c r="CK547" s="46"/>
      <c r="CL547" s="46"/>
      <c r="CM547" s="46"/>
      <c r="CN547" s="46"/>
      <c r="CO547" s="46"/>
      <c r="CP547" s="46"/>
      <c r="CQ547" s="46"/>
      <c r="CR547" s="46"/>
    </row>
    <row r="548" spans="1:96" ht="16.5">
      <c r="A548" s="46"/>
      <c r="B548" s="46"/>
      <c r="C548" s="33"/>
      <c r="D548" s="46"/>
      <c r="E548" s="46"/>
      <c r="F548" s="33"/>
      <c r="G548" s="46"/>
      <c r="H548" s="46"/>
      <c r="I548" s="45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  <c r="CK548" s="46"/>
      <c r="CL548" s="46"/>
      <c r="CM548" s="46"/>
      <c r="CN548" s="46"/>
      <c r="CO548" s="46"/>
      <c r="CP548" s="46"/>
      <c r="CQ548" s="46"/>
      <c r="CR548" s="46"/>
    </row>
    <row r="549" spans="1:96" ht="16.5">
      <c r="A549" s="46"/>
      <c r="B549" s="46"/>
      <c r="C549" s="33"/>
      <c r="D549" s="46"/>
      <c r="E549" s="46"/>
      <c r="F549" s="33"/>
      <c r="G549" s="46"/>
      <c r="H549" s="46"/>
      <c r="I549" s="45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  <c r="CK549" s="46"/>
      <c r="CL549" s="46"/>
      <c r="CM549" s="46"/>
      <c r="CN549" s="46"/>
      <c r="CO549" s="46"/>
      <c r="CP549" s="46"/>
      <c r="CQ549" s="46"/>
      <c r="CR549" s="46"/>
    </row>
    <row r="550" spans="1:96" ht="16.5">
      <c r="A550" s="46"/>
      <c r="B550" s="46"/>
      <c r="C550" s="33"/>
      <c r="D550" s="46"/>
      <c r="E550" s="46"/>
      <c r="F550" s="33"/>
      <c r="G550" s="46"/>
      <c r="H550" s="46"/>
      <c r="I550" s="45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  <c r="CK550" s="46"/>
      <c r="CL550" s="46"/>
      <c r="CM550" s="46"/>
      <c r="CN550" s="46"/>
      <c r="CO550" s="46"/>
      <c r="CP550" s="46"/>
      <c r="CQ550" s="46"/>
      <c r="CR550" s="46"/>
    </row>
    <row r="551" spans="1:96" ht="16.5">
      <c r="A551" s="46"/>
      <c r="B551" s="46"/>
      <c r="C551" s="33"/>
      <c r="D551" s="46"/>
      <c r="E551" s="46"/>
      <c r="F551" s="33"/>
      <c r="G551" s="46"/>
      <c r="H551" s="46"/>
      <c r="I551" s="45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  <c r="CK551" s="46"/>
      <c r="CL551" s="46"/>
      <c r="CM551" s="46"/>
      <c r="CN551" s="46"/>
      <c r="CO551" s="46"/>
      <c r="CP551" s="46"/>
      <c r="CQ551" s="46"/>
      <c r="CR551" s="46"/>
    </row>
    <row r="552" spans="1:96" ht="16.5">
      <c r="A552" s="46"/>
      <c r="B552" s="46"/>
      <c r="C552" s="33"/>
      <c r="D552" s="46"/>
      <c r="E552" s="46"/>
      <c r="F552" s="33"/>
      <c r="G552" s="46"/>
      <c r="H552" s="46"/>
      <c r="I552" s="45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  <c r="CK552" s="46"/>
      <c r="CL552" s="46"/>
      <c r="CM552" s="46"/>
      <c r="CN552" s="46"/>
      <c r="CO552" s="46"/>
      <c r="CP552" s="46"/>
      <c r="CQ552" s="46"/>
      <c r="CR552" s="46"/>
    </row>
    <row r="553" spans="1:96" ht="16.5">
      <c r="A553" s="46"/>
      <c r="B553" s="46"/>
      <c r="C553" s="33"/>
      <c r="D553" s="46"/>
      <c r="E553" s="46"/>
      <c r="F553" s="33"/>
      <c r="G553" s="46"/>
      <c r="H553" s="46"/>
      <c r="I553" s="45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  <c r="CK553" s="46"/>
      <c r="CL553" s="46"/>
      <c r="CM553" s="46"/>
      <c r="CN553" s="46"/>
      <c r="CO553" s="46"/>
      <c r="CP553" s="46"/>
      <c r="CQ553" s="46"/>
      <c r="CR553" s="46"/>
    </row>
    <row r="554" spans="1:96" ht="16.5">
      <c r="A554" s="46"/>
      <c r="B554" s="46"/>
      <c r="C554" s="33"/>
      <c r="D554" s="46"/>
      <c r="E554" s="46"/>
      <c r="F554" s="33"/>
      <c r="G554" s="46"/>
      <c r="H554" s="46"/>
      <c r="I554" s="45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  <c r="CK554" s="46"/>
      <c r="CL554" s="46"/>
      <c r="CM554" s="46"/>
      <c r="CN554" s="46"/>
      <c r="CO554" s="46"/>
      <c r="CP554" s="46"/>
      <c r="CQ554" s="46"/>
      <c r="CR554" s="46"/>
    </row>
    <row r="555" spans="1:96" ht="16.5">
      <c r="A555" s="46"/>
      <c r="B555" s="46"/>
      <c r="C555" s="33"/>
      <c r="D555" s="46"/>
      <c r="E555" s="46"/>
      <c r="F555" s="33"/>
      <c r="G555" s="46"/>
      <c r="H555" s="46"/>
      <c r="I555" s="45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  <c r="CK555" s="46"/>
      <c r="CL555" s="46"/>
      <c r="CM555" s="46"/>
      <c r="CN555" s="46"/>
      <c r="CO555" s="46"/>
      <c r="CP555" s="46"/>
      <c r="CQ555" s="46"/>
      <c r="CR555" s="46"/>
    </row>
    <row r="556" spans="1:96" ht="16.5">
      <c r="A556" s="46"/>
      <c r="B556" s="46"/>
      <c r="C556" s="33"/>
      <c r="D556" s="46"/>
      <c r="E556" s="46"/>
      <c r="F556" s="33"/>
      <c r="G556" s="46"/>
      <c r="H556" s="46"/>
      <c r="I556" s="45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  <c r="CK556" s="46"/>
      <c r="CL556" s="46"/>
      <c r="CM556" s="46"/>
      <c r="CN556" s="46"/>
      <c r="CO556" s="46"/>
      <c r="CP556" s="46"/>
      <c r="CQ556" s="46"/>
      <c r="CR556" s="46"/>
    </row>
    <row r="557" spans="1:96" ht="16.5">
      <c r="A557" s="46"/>
      <c r="B557" s="46"/>
      <c r="C557" s="33"/>
      <c r="D557" s="46"/>
      <c r="E557" s="46"/>
      <c r="F557" s="33"/>
      <c r="G557" s="46"/>
      <c r="H557" s="46"/>
      <c r="I557" s="45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  <c r="CK557" s="46"/>
      <c r="CL557" s="46"/>
      <c r="CM557" s="46"/>
      <c r="CN557" s="46"/>
      <c r="CO557" s="46"/>
      <c r="CP557" s="46"/>
      <c r="CQ557" s="46"/>
      <c r="CR557" s="46"/>
    </row>
    <row r="558" spans="1:96" ht="16.5">
      <c r="A558" s="46"/>
      <c r="B558" s="46"/>
      <c r="C558" s="33"/>
      <c r="D558" s="46"/>
      <c r="E558" s="46"/>
      <c r="F558" s="33"/>
      <c r="G558" s="46"/>
      <c r="H558" s="46"/>
      <c r="I558" s="45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  <c r="CK558" s="46"/>
      <c r="CL558" s="46"/>
      <c r="CM558" s="46"/>
      <c r="CN558" s="46"/>
      <c r="CO558" s="46"/>
      <c r="CP558" s="46"/>
      <c r="CQ558" s="46"/>
      <c r="CR558" s="46"/>
    </row>
    <row r="559" spans="1:96" ht="16.5">
      <c r="A559" s="46"/>
      <c r="B559" s="46"/>
      <c r="C559" s="33"/>
      <c r="D559" s="46"/>
      <c r="E559" s="46"/>
      <c r="F559" s="33"/>
      <c r="G559" s="46"/>
      <c r="H559" s="46"/>
      <c r="I559" s="45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  <c r="CK559" s="46"/>
      <c r="CL559" s="46"/>
      <c r="CM559" s="46"/>
      <c r="CN559" s="46"/>
      <c r="CO559" s="46"/>
      <c r="CP559" s="46"/>
      <c r="CQ559" s="46"/>
      <c r="CR559" s="46"/>
    </row>
    <row r="560" spans="1:96" ht="16.5">
      <c r="A560" s="46"/>
      <c r="B560" s="46"/>
      <c r="C560" s="33"/>
      <c r="D560" s="46"/>
      <c r="E560" s="46"/>
      <c r="F560" s="33"/>
      <c r="G560" s="46"/>
      <c r="H560" s="46"/>
      <c r="I560" s="45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  <c r="CK560" s="46"/>
      <c r="CL560" s="46"/>
      <c r="CM560" s="46"/>
      <c r="CN560" s="46"/>
      <c r="CO560" s="46"/>
      <c r="CP560" s="46"/>
      <c r="CQ560" s="46"/>
      <c r="CR560" s="46"/>
    </row>
    <row r="561" spans="1:96" ht="16.5">
      <c r="A561" s="46"/>
      <c r="B561" s="46"/>
      <c r="C561" s="33"/>
      <c r="D561" s="46"/>
      <c r="E561" s="46"/>
      <c r="F561" s="33"/>
      <c r="G561" s="46"/>
      <c r="H561" s="46"/>
      <c r="I561" s="45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  <c r="CK561" s="46"/>
      <c r="CL561" s="46"/>
      <c r="CM561" s="46"/>
      <c r="CN561" s="46"/>
      <c r="CO561" s="46"/>
      <c r="CP561" s="46"/>
      <c r="CQ561" s="46"/>
      <c r="CR561" s="46"/>
    </row>
    <row r="562" spans="1:96" ht="16.5">
      <c r="A562" s="46"/>
      <c r="B562" s="46"/>
      <c r="C562" s="33"/>
      <c r="D562" s="46"/>
      <c r="E562" s="46"/>
      <c r="F562" s="33"/>
      <c r="G562" s="46"/>
      <c r="H562" s="46"/>
      <c r="I562" s="45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  <c r="CK562" s="46"/>
      <c r="CL562" s="46"/>
      <c r="CM562" s="46"/>
      <c r="CN562" s="46"/>
      <c r="CO562" s="46"/>
      <c r="CP562" s="46"/>
      <c r="CQ562" s="46"/>
      <c r="CR562" s="46"/>
    </row>
    <row r="563" spans="1:96" ht="16.5">
      <c r="A563" s="46"/>
      <c r="B563" s="46"/>
      <c r="C563" s="33"/>
      <c r="D563" s="46"/>
      <c r="E563" s="46"/>
      <c r="F563" s="33"/>
      <c r="G563" s="46"/>
      <c r="H563" s="46"/>
      <c r="I563" s="45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  <c r="CK563" s="46"/>
      <c r="CL563" s="46"/>
      <c r="CM563" s="46"/>
      <c r="CN563" s="46"/>
      <c r="CO563" s="46"/>
      <c r="CP563" s="46"/>
      <c r="CQ563" s="46"/>
      <c r="CR563" s="46"/>
    </row>
    <row r="564" spans="1:96" ht="16.5">
      <c r="A564" s="46"/>
      <c r="B564" s="46"/>
      <c r="C564" s="33"/>
      <c r="D564" s="46"/>
      <c r="E564" s="46"/>
      <c r="F564" s="33"/>
      <c r="G564" s="46"/>
      <c r="H564" s="46"/>
      <c r="I564" s="45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  <c r="CK564" s="46"/>
      <c r="CL564" s="46"/>
      <c r="CM564" s="46"/>
      <c r="CN564" s="46"/>
      <c r="CO564" s="46"/>
      <c r="CP564" s="46"/>
      <c r="CQ564" s="46"/>
      <c r="CR564" s="46"/>
    </row>
    <row r="565" spans="1:96" ht="16.5">
      <c r="A565" s="46"/>
      <c r="B565" s="46"/>
      <c r="C565" s="33"/>
      <c r="D565" s="46"/>
      <c r="E565" s="46"/>
      <c r="F565" s="33"/>
      <c r="G565" s="46"/>
      <c r="H565" s="46"/>
      <c r="I565" s="45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  <c r="CK565" s="46"/>
      <c r="CL565" s="46"/>
      <c r="CM565" s="46"/>
      <c r="CN565" s="46"/>
      <c r="CO565" s="46"/>
      <c r="CP565" s="46"/>
      <c r="CQ565" s="46"/>
      <c r="CR565" s="46"/>
    </row>
    <row r="566" spans="1:96" ht="16.5">
      <c r="A566" s="46"/>
      <c r="B566" s="46"/>
      <c r="C566" s="33"/>
      <c r="D566" s="46"/>
      <c r="E566" s="46"/>
      <c r="F566" s="33"/>
      <c r="G566" s="46"/>
      <c r="H566" s="46"/>
      <c r="I566" s="45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/>
      <c r="CP566" s="46"/>
      <c r="CQ566" s="46"/>
      <c r="CR566" s="46"/>
    </row>
    <row r="567" spans="1:96" ht="16.5">
      <c r="A567" s="46"/>
      <c r="B567" s="46"/>
      <c r="C567" s="33"/>
      <c r="D567" s="46"/>
      <c r="E567" s="46"/>
      <c r="F567" s="33"/>
      <c r="G567" s="46"/>
      <c r="H567" s="46"/>
      <c r="I567" s="45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</row>
    <row r="568" spans="1:96" ht="16.5">
      <c r="A568" s="46"/>
      <c r="B568" s="46"/>
      <c r="C568" s="33"/>
      <c r="D568" s="46"/>
      <c r="E568" s="46"/>
      <c r="F568" s="33"/>
      <c r="G568" s="46"/>
      <c r="H568" s="46"/>
      <c r="I568" s="45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  <c r="CK568" s="46"/>
      <c r="CL568" s="46"/>
      <c r="CM568" s="46"/>
      <c r="CN568" s="46"/>
      <c r="CO568" s="46"/>
      <c r="CP568" s="46"/>
      <c r="CQ568" s="46"/>
      <c r="CR568" s="46"/>
    </row>
    <row r="569" spans="1:96" ht="16.5">
      <c r="A569" s="46"/>
      <c r="B569" s="46"/>
      <c r="C569" s="33"/>
      <c r="D569" s="46"/>
      <c r="E569" s="46"/>
      <c r="F569" s="33"/>
      <c r="G569" s="46"/>
      <c r="H569" s="46"/>
      <c r="I569" s="45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</row>
    <row r="570" spans="1:96" ht="16.5">
      <c r="A570" s="46"/>
      <c r="B570" s="46"/>
      <c r="C570" s="33"/>
      <c r="D570" s="46"/>
      <c r="E570" s="46"/>
      <c r="F570" s="33"/>
      <c r="G570" s="46"/>
      <c r="H570" s="46"/>
      <c r="I570" s="45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</row>
    <row r="571" spans="1:96" ht="16.5">
      <c r="A571" s="46"/>
      <c r="B571" s="46"/>
      <c r="C571" s="33"/>
      <c r="D571" s="46"/>
      <c r="E571" s="46"/>
      <c r="F571" s="33"/>
      <c r="G571" s="46"/>
      <c r="H571" s="46"/>
      <c r="I571" s="45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</row>
    <row r="572" spans="1:96" ht="16.5">
      <c r="A572" s="46"/>
      <c r="B572" s="46"/>
      <c r="C572" s="33"/>
      <c r="D572" s="46"/>
      <c r="E572" s="46"/>
      <c r="F572" s="33"/>
      <c r="G572" s="46"/>
      <c r="H572" s="46"/>
      <c r="I572" s="45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</row>
    <row r="573" spans="1:96" ht="16.5">
      <c r="A573" s="46"/>
      <c r="B573" s="46"/>
      <c r="C573" s="33"/>
      <c r="D573" s="46"/>
      <c r="E573" s="46"/>
      <c r="F573" s="33"/>
      <c r="G573" s="46"/>
      <c r="H573" s="46"/>
      <c r="I573" s="45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</row>
    <row r="574" spans="1:96" ht="16.5">
      <c r="A574" s="46"/>
      <c r="B574" s="46"/>
      <c r="C574" s="33"/>
      <c r="D574" s="46"/>
      <c r="E574" s="46"/>
      <c r="F574" s="33"/>
      <c r="G574" s="46"/>
      <c r="H574" s="46"/>
      <c r="I574" s="45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</row>
    <row r="575" spans="1:96" ht="16.5">
      <c r="A575" s="46"/>
      <c r="B575" s="46"/>
      <c r="C575" s="33"/>
      <c r="D575" s="46"/>
      <c r="E575" s="46"/>
      <c r="F575" s="33"/>
      <c r="G575" s="46"/>
      <c r="H575" s="46"/>
      <c r="I575" s="45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</row>
    <row r="576" spans="1:96" ht="16.5">
      <c r="A576" s="46"/>
      <c r="B576" s="46"/>
      <c r="C576" s="33"/>
      <c r="D576" s="46"/>
      <c r="E576" s="46"/>
      <c r="F576" s="33"/>
      <c r="G576" s="46"/>
      <c r="H576" s="46"/>
      <c r="I576" s="45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</row>
    <row r="577" spans="1:96" ht="16.5">
      <c r="A577" s="46"/>
      <c r="B577" s="46"/>
      <c r="C577" s="33"/>
      <c r="D577" s="46"/>
      <c r="E577" s="46"/>
      <c r="F577" s="33"/>
      <c r="G577" s="46"/>
      <c r="H577" s="46"/>
      <c r="I577" s="45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</row>
    <row r="578" spans="1:96" ht="16.5">
      <c r="A578" s="46"/>
      <c r="B578" s="46"/>
      <c r="C578" s="33"/>
      <c r="D578" s="46"/>
      <c r="E578" s="46"/>
      <c r="F578" s="33"/>
      <c r="G578" s="46"/>
      <c r="H578" s="46"/>
      <c r="I578" s="45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</row>
    <row r="579" spans="1:96" ht="16.5">
      <c r="A579" s="46"/>
      <c r="B579" s="46"/>
      <c r="C579" s="33"/>
      <c r="D579" s="46"/>
      <c r="E579" s="46"/>
      <c r="F579" s="33"/>
      <c r="G579" s="46"/>
      <c r="H579" s="46"/>
      <c r="I579" s="45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</row>
    <row r="580" spans="1:96" ht="16.5">
      <c r="A580" s="46"/>
      <c r="B580" s="46"/>
      <c r="C580" s="33"/>
      <c r="D580" s="46"/>
      <c r="E580" s="46"/>
      <c r="F580" s="33"/>
      <c r="G580" s="46"/>
      <c r="H580" s="46"/>
      <c r="I580" s="45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  <c r="CK580" s="46"/>
      <c r="CL580" s="46"/>
      <c r="CM580" s="46"/>
      <c r="CN580" s="46"/>
      <c r="CO580" s="46"/>
      <c r="CP580" s="46"/>
      <c r="CQ580" s="46"/>
      <c r="CR580" s="46"/>
    </row>
    <row r="581" spans="1:96" ht="16.5">
      <c r="A581" s="46"/>
      <c r="B581" s="46"/>
      <c r="C581" s="33"/>
      <c r="D581" s="46"/>
      <c r="E581" s="46"/>
      <c r="F581" s="33"/>
      <c r="G581" s="46"/>
      <c r="H581" s="46"/>
      <c r="I581" s="45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  <c r="CK581" s="46"/>
      <c r="CL581" s="46"/>
      <c r="CM581" s="46"/>
      <c r="CN581" s="46"/>
      <c r="CO581" s="46"/>
      <c r="CP581" s="46"/>
      <c r="CQ581" s="46"/>
      <c r="CR581" s="46"/>
    </row>
    <row r="582" spans="1:96" ht="16.5">
      <c r="A582" s="46"/>
      <c r="B582" s="46"/>
      <c r="C582" s="33"/>
      <c r="D582" s="46"/>
      <c r="E582" s="46"/>
      <c r="F582" s="33"/>
      <c r="G582" s="46"/>
      <c r="H582" s="46"/>
      <c r="I582" s="45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  <c r="CK582" s="46"/>
      <c r="CL582" s="46"/>
      <c r="CM582" s="46"/>
      <c r="CN582" s="46"/>
      <c r="CO582" s="46"/>
      <c r="CP582" s="46"/>
      <c r="CQ582" s="46"/>
      <c r="CR582" s="46"/>
    </row>
    <row r="583" spans="1:96" ht="16.5">
      <c r="A583" s="46"/>
      <c r="B583" s="46"/>
      <c r="C583" s="33"/>
      <c r="D583" s="46"/>
      <c r="E583" s="46"/>
      <c r="F583" s="33"/>
      <c r="G583" s="46"/>
      <c r="H583" s="46"/>
      <c r="I583" s="45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  <c r="CK583" s="46"/>
      <c r="CL583" s="46"/>
      <c r="CM583" s="46"/>
      <c r="CN583" s="46"/>
      <c r="CO583" s="46"/>
      <c r="CP583" s="46"/>
      <c r="CQ583" s="46"/>
      <c r="CR583" s="46"/>
    </row>
    <row r="584" spans="1:96" ht="16.5">
      <c r="A584" s="46"/>
      <c r="B584" s="46"/>
      <c r="C584" s="33"/>
      <c r="D584" s="46"/>
      <c r="E584" s="46"/>
      <c r="F584" s="33"/>
      <c r="G584" s="46"/>
      <c r="H584" s="46"/>
      <c r="I584" s="45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  <c r="CK584" s="46"/>
      <c r="CL584" s="46"/>
      <c r="CM584" s="46"/>
      <c r="CN584" s="46"/>
      <c r="CO584" s="46"/>
      <c r="CP584" s="46"/>
      <c r="CQ584" s="46"/>
      <c r="CR584" s="46"/>
    </row>
    <row r="585" spans="1:96" ht="16.5">
      <c r="A585" s="46"/>
      <c r="B585" s="46"/>
      <c r="C585" s="33"/>
      <c r="D585" s="46"/>
      <c r="E585" s="46"/>
      <c r="F585" s="33"/>
      <c r="G585" s="46"/>
      <c r="H585" s="46"/>
      <c r="I585" s="45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  <c r="CK585" s="46"/>
      <c r="CL585" s="46"/>
      <c r="CM585" s="46"/>
      <c r="CN585" s="46"/>
      <c r="CO585" s="46"/>
      <c r="CP585" s="46"/>
      <c r="CQ585" s="46"/>
      <c r="CR585" s="46"/>
    </row>
    <row r="586" spans="1:96" ht="16.5">
      <c r="A586" s="46"/>
      <c r="B586" s="46"/>
      <c r="C586" s="33"/>
      <c r="D586" s="46"/>
      <c r="E586" s="46"/>
      <c r="F586" s="33"/>
      <c r="G586" s="46"/>
      <c r="H586" s="46"/>
      <c r="I586" s="45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  <c r="CK586" s="46"/>
      <c r="CL586" s="46"/>
      <c r="CM586" s="46"/>
      <c r="CN586" s="46"/>
      <c r="CO586" s="46"/>
      <c r="CP586" s="46"/>
      <c r="CQ586" s="46"/>
      <c r="CR586" s="46"/>
    </row>
    <row r="587" spans="1:96" ht="16.5">
      <c r="A587" s="46"/>
      <c r="B587" s="46"/>
      <c r="C587" s="33"/>
      <c r="D587" s="46"/>
      <c r="E587" s="46"/>
      <c r="F587" s="33"/>
      <c r="G587" s="46"/>
      <c r="H587" s="46"/>
      <c r="I587" s="45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  <c r="CK587" s="46"/>
      <c r="CL587" s="46"/>
      <c r="CM587" s="46"/>
      <c r="CN587" s="46"/>
      <c r="CO587" s="46"/>
      <c r="CP587" s="46"/>
      <c r="CQ587" s="46"/>
      <c r="CR587" s="46"/>
    </row>
    <row r="588" spans="1:96" ht="16.5">
      <c r="A588" s="46"/>
      <c r="B588" s="46"/>
      <c r="C588" s="33"/>
      <c r="D588" s="46"/>
      <c r="E588" s="46"/>
      <c r="F588" s="33"/>
      <c r="G588" s="46"/>
      <c r="H588" s="46"/>
      <c r="I588" s="45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  <c r="CK588" s="46"/>
      <c r="CL588" s="46"/>
      <c r="CM588" s="46"/>
      <c r="CN588" s="46"/>
      <c r="CO588" s="46"/>
      <c r="CP588" s="46"/>
      <c r="CQ588" s="46"/>
      <c r="CR588" s="46"/>
    </row>
    <row r="589" spans="1:96" ht="16.5">
      <c r="A589" s="46"/>
      <c r="B589" s="46"/>
      <c r="C589" s="33"/>
      <c r="D589" s="46"/>
      <c r="E589" s="46"/>
      <c r="F589" s="33"/>
      <c r="G589" s="46"/>
      <c r="H589" s="46"/>
      <c r="I589" s="45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  <c r="CK589" s="46"/>
      <c r="CL589" s="46"/>
      <c r="CM589" s="46"/>
      <c r="CN589" s="46"/>
      <c r="CO589" s="46"/>
      <c r="CP589" s="46"/>
      <c r="CQ589" s="46"/>
      <c r="CR589" s="46"/>
    </row>
    <row r="590" spans="1:96" ht="16.5">
      <c r="A590" s="46"/>
      <c r="B590" s="46"/>
      <c r="C590" s="33"/>
      <c r="D590" s="46"/>
      <c r="E590" s="46"/>
      <c r="F590" s="33"/>
      <c r="G590" s="46"/>
      <c r="H590" s="46"/>
      <c r="I590" s="45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  <c r="CK590" s="46"/>
      <c r="CL590" s="46"/>
      <c r="CM590" s="46"/>
      <c r="CN590" s="46"/>
      <c r="CO590" s="46"/>
      <c r="CP590" s="46"/>
      <c r="CQ590" s="46"/>
      <c r="CR590" s="46"/>
    </row>
    <row r="591" spans="1:96" ht="16.5">
      <c r="A591" s="46"/>
      <c r="B591" s="46"/>
      <c r="C591" s="33"/>
      <c r="D591" s="46"/>
      <c r="E591" s="46"/>
      <c r="F591" s="33"/>
      <c r="G591" s="46"/>
      <c r="H591" s="46"/>
      <c r="I591" s="45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  <c r="CK591" s="46"/>
      <c r="CL591" s="46"/>
      <c r="CM591" s="46"/>
      <c r="CN591" s="46"/>
      <c r="CO591" s="46"/>
      <c r="CP591" s="46"/>
      <c r="CQ591" s="46"/>
      <c r="CR591" s="46"/>
    </row>
    <row r="592" spans="1:96" ht="16.5">
      <c r="A592" s="46"/>
      <c r="B592" s="46"/>
      <c r="C592" s="33"/>
      <c r="D592" s="46"/>
      <c r="E592" s="46"/>
      <c r="F592" s="33"/>
      <c r="G592" s="46"/>
      <c r="H592" s="46"/>
      <c r="I592" s="45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  <c r="CK592" s="46"/>
      <c r="CL592" s="46"/>
      <c r="CM592" s="46"/>
      <c r="CN592" s="46"/>
      <c r="CO592" s="46"/>
      <c r="CP592" s="46"/>
      <c r="CQ592" s="46"/>
      <c r="CR592" s="46"/>
    </row>
    <row r="593" spans="1:96" ht="16.5">
      <c r="A593" s="46"/>
      <c r="B593" s="46"/>
      <c r="C593" s="33"/>
      <c r="D593" s="46"/>
      <c r="E593" s="46"/>
      <c r="F593" s="33"/>
      <c r="G593" s="46"/>
      <c r="H593" s="46"/>
      <c r="I593" s="45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  <c r="CK593" s="46"/>
      <c r="CL593" s="46"/>
      <c r="CM593" s="46"/>
      <c r="CN593" s="46"/>
      <c r="CO593" s="46"/>
      <c r="CP593" s="46"/>
      <c r="CQ593" s="46"/>
      <c r="CR593" s="46"/>
    </row>
    <row r="594" spans="1:96" ht="16.5">
      <c r="A594" s="46"/>
      <c r="B594" s="46"/>
      <c r="C594" s="33"/>
      <c r="D594" s="46"/>
      <c r="E594" s="46"/>
      <c r="F594" s="33"/>
      <c r="G594" s="46"/>
      <c r="H594" s="46"/>
      <c r="I594" s="45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  <c r="CK594" s="46"/>
      <c r="CL594" s="46"/>
      <c r="CM594" s="46"/>
      <c r="CN594" s="46"/>
      <c r="CO594" s="46"/>
      <c r="CP594" s="46"/>
      <c r="CQ594" s="46"/>
      <c r="CR594" s="46"/>
    </row>
    <row r="595" spans="1:96" ht="16.5">
      <c r="A595" s="46"/>
      <c r="B595" s="46"/>
      <c r="C595" s="33"/>
      <c r="D595" s="46"/>
      <c r="E595" s="46"/>
      <c r="F595" s="33"/>
      <c r="G595" s="46"/>
      <c r="H595" s="46"/>
      <c r="I595" s="45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  <c r="CK595" s="46"/>
      <c r="CL595" s="46"/>
      <c r="CM595" s="46"/>
      <c r="CN595" s="46"/>
      <c r="CO595" s="46"/>
      <c r="CP595" s="46"/>
      <c r="CQ595" s="46"/>
      <c r="CR595" s="46"/>
    </row>
    <row r="596" spans="1:96" ht="16.5">
      <c r="A596" s="46"/>
      <c r="B596" s="46"/>
      <c r="C596" s="33"/>
      <c r="D596" s="46"/>
      <c r="E596" s="46"/>
      <c r="F596" s="33"/>
      <c r="G596" s="46"/>
      <c r="H596" s="46"/>
      <c r="I596" s="45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  <c r="CK596" s="46"/>
      <c r="CL596" s="46"/>
      <c r="CM596" s="46"/>
      <c r="CN596" s="46"/>
      <c r="CO596" s="46"/>
      <c r="CP596" s="46"/>
      <c r="CQ596" s="46"/>
      <c r="CR596" s="46"/>
    </row>
    <row r="597" spans="1:96" ht="16.5">
      <c r="A597" s="46"/>
      <c r="B597" s="46"/>
      <c r="C597" s="33"/>
      <c r="D597" s="46"/>
      <c r="E597" s="46"/>
      <c r="F597" s="33"/>
      <c r="G597" s="46"/>
      <c r="H597" s="46"/>
      <c r="I597" s="45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  <c r="CK597" s="46"/>
      <c r="CL597" s="46"/>
      <c r="CM597" s="46"/>
      <c r="CN597" s="46"/>
      <c r="CO597" s="46"/>
      <c r="CP597" s="46"/>
      <c r="CQ597" s="46"/>
      <c r="CR597" s="46"/>
    </row>
    <row r="598" spans="1:96" ht="16.5">
      <c r="A598" s="46"/>
      <c r="B598" s="46"/>
      <c r="C598" s="33"/>
      <c r="D598" s="46"/>
      <c r="E598" s="46"/>
      <c r="F598" s="33"/>
      <c r="G598" s="46"/>
      <c r="H598" s="46"/>
      <c r="I598" s="45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  <c r="CK598" s="46"/>
      <c r="CL598" s="46"/>
      <c r="CM598" s="46"/>
      <c r="CN598" s="46"/>
      <c r="CO598" s="46"/>
      <c r="CP598" s="46"/>
      <c r="CQ598" s="46"/>
      <c r="CR598" s="46"/>
    </row>
    <row r="599" spans="1:96" ht="16.5">
      <c r="A599" s="46"/>
      <c r="B599" s="46"/>
      <c r="C599" s="33"/>
      <c r="D599" s="46"/>
      <c r="E599" s="46"/>
      <c r="F599" s="33"/>
      <c r="G599" s="46"/>
      <c r="H599" s="46"/>
      <c r="I599" s="45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  <c r="CK599" s="46"/>
      <c r="CL599" s="46"/>
      <c r="CM599" s="46"/>
      <c r="CN599" s="46"/>
      <c r="CO599" s="46"/>
      <c r="CP599" s="46"/>
      <c r="CQ599" s="46"/>
      <c r="CR599" s="46"/>
    </row>
    <row r="600" spans="1:96" ht="16.5">
      <c r="A600" s="46"/>
      <c r="B600" s="46"/>
      <c r="C600" s="33"/>
      <c r="D600" s="46"/>
      <c r="E600" s="46"/>
      <c r="F600" s="33"/>
      <c r="G600" s="46"/>
      <c r="H600" s="46"/>
      <c r="I600" s="45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  <c r="CK600" s="46"/>
      <c r="CL600" s="46"/>
      <c r="CM600" s="46"/>
      <c r="CN600" s="46"/>
      <c r="CO600" s="46"/>
      <c r="CP600" s="46"/>
      <c r="CQ600" s="46"/>
      <c r="CR600" s="46"/>
    </row>
    <row r="601" spans="1:96" ht="16.5">
      <c r="A601" s="46"/>
      <c r="B601" s="46"/>
      <c r="C601" s="33"/>
      <c r="D601" s="46"/>
      <c r="E601" s="46"/>
      <c r="F601" s="33"/>
      <c r="G601" s="46"/>
      <c r="H601" s="46"/>
      <c r="I601" s="45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  <c r="CK601" s="46"/>
      <c r="CL601" s="46"/>
      <c r="CM601" s="46"/>
      <c r="CN601" s="46"/>
      <c r="CO601" s="46"/>
      <c r="CP601" s="46"/>
      <c r="CQ601" s="46"/>
      <c r="CR601" s="46"/>
    </row>
    <row r="602" spans="1:96" ht="16.5">
      <c r="A602" s="46"/>
      <c r="B602" s="46"/>
      <c r="C602" s="33"/>
      <c r="D602" s="46"/>
      <c r="E602" s="46"/>
      <c r="F602" s="33"/>
      <c r="G602" s="46"/>
      <c r="H602" s="46"/>
      <c r="I602" s="45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  <c r="CK602" s="46"/>
      <c r="CL602" s="46"/>
      <c r="CM602" s="46"/>
      <c r="CN602" s="46"/>
      <c r="CO602" s="46"/>
      <c r="CP602" s="46"/>
      <c r="CQ602" s="46"/>
      <c r="CR602" s="46"/>
    </row>
    <row r="603" spans="1:96" ht="16.5">
      <c r="A603" s="46"/>
      <c r="B603" s="46"/>
      <c r="C603" s="33"/>
      <c r="D603" s="46"/>
      <c r="E603" s="46"/>
      <c r="F603" s="33"/>
      <c r="G603" s="46"/>
      <c r="H603" s="46"/>
      <c r="I603" s="45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  <c r="CK603" s="46"/>
      <c r="CL603" s="46"/>
      <c r="CM603" s="46"/>
      <c r="CN603" s="46"/>
      <c r="CO603" s="46"/>
      <c r="CP603" s="46"/>
      <c r="CQ603" s="46"/>
      <c r="CR603" s="46"/>
    </row>
    <row r="604" spans="1:96" ht="16.5">
      <c r="A604" s="46"/>
      <c r="B604" s="46"/>
      <c r="C604" s="33"/>
      <c r="D604" s="46"/>
      <c r="E604" s="46"/>
      <c r="F604" s="33"/>
      <c r="G604" s="46"/>
      <c r="H604" s="46"/>
      <c r="I604" s="45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  <c r="CK604" s="46"/>
      <c r="CL604" s="46"/>
      <c r="CM604" s="46"/>
      <c r="CN604" s="46"/>
      <c r="CO604" s="46"/>
      <c r="CP604" s="46"/>
      <c r="CQ604" s="46"/>
      <c r="CR604" s="46"/>
    </row>
    <row r="605" spans="1:96" ht="16.5">
      <c r="A605" s="46"/>
      <c r="B605" s="46"/>
      <c r="C605" s="33"/>
      <c r="D605" s="46"/>
      <c r="E605" s="46"/>
      <c r="F605" s="33"/>
      <c r="G605" s="46"/>
      <c r="H605" s="46"/>
      <c r="I605" s="45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  <c r="CK605" s="46"/>
      <c r="CL605" s="46"/>
      <c r="CM605" s="46"/>
      <c r="CN605" s="46"/>
      <c r="CO605" s="46"/>
      <c r="CP605" s="46"/>
      <c r="CQ605" s="46"/>
      <c r="CR605" s="46"/>
    </row>
    <row r="606" spans="1:96" ht="16.5">
      <c r="A606" s="46"/>
      <c r="B606" s="46"/>
      <c r="C606" s="33"/>
      <c r="D606" s="46"/>
      <c r="E606" s="46"/>
      <c r="F606" s="33"/>
      <c r="G606" s="46"/>
      <c r="H606" s="46"/>
      <c r="I606" s="45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/>
      <c r="CP606" s="46"/>
      <c r="CQ606" s="46"/>
      <c r="CR606" s="46"/>
    </row>
    <row r="607" spans="1:96" ht="16.5">
      <c r="A607" s="46"/>
      <c r="B607" s="46"/>
      <c r="C607" s="33"/>
      <c r="D607" s="46"/>
      <c r="E607" s="46"/>
      <c r="F607" s="33"/>
      <c r="G607" s="46"/>
      <c r="H607" s="46"/>
      <c r="I607" s="45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</row>
    <row r="608" spans="1:96" ht="16.5">
      <c r="A608" s="46"/>
      <c r="B608" s="46"/>
      <c r="C608" s="33"/>
      <c r="D608" s="46"/>
      <c r="E608" s="46"/>
      <c r="F608" s="33"/>
      <c r="G608" s="46"/>
      <c r="H608" s="46"/>
      <c r="I608" s="45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  <c r="CK608" s="46"/>
      <c r="CL608" s="46"/>
      <c r="CM608" s="46"/>
      <c r="CN608" s="46"/>
      <c r="CO608" s="46"/>
      <c r="CP608" s="46"/>
      <c r="CQ608" s="46"/>
      <c r="CR608" s="46"/>
    </row>
    <row r="609" spans="1:96" ht="16.5">
      <c r="A609" s="46"/>
      <c r="B609" s="46"/>
      <c r="C609" s="33"/>
      <c r="D609" s="46"/>
      <c r="E609" s="46"/>
      <c r="F609" s="33"/>
      <c r="G609" s="46"/>
      <c r="H609" s="46"/>
      <c r="I609" s="45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</row>
    <row r="610" spans="1:96" ht="16.5">
      <c r="A610" s="46"/>
      <c r="B610" s="46"/>
      <c r="C610" s="33"/>
      <c r="D610" s="46"/>
      <c r="E610" s="46"/>
      <c r="F610" s="33"/>
      <c r="G610" s="46"/>
      <c r="H610" s="46"/>
      <c r="I610" s="45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</row>
    <row r="611" spans="1:96" ht="16.5">
      <c r="A611" s="46"/>
      <c r="B611" s="46"/>
      <c r="C611" s="33"/>
      <c r="D611" s="46"/>
      <c r="E611" s="46"/>
      <c r="F611" s="33"/>
      <c r="G611" s="46"/>
      <c r="H611" s="46"/>
      <c r="I611" s="45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</row>
    <row r="612" spans="1:96" ht="16.5">
      <c r="A612" s="46"/>
      <c r="B612" s="46"/>
      <c r="C612" s="33"/>
      <c r="D612" s="46"/>
      <c r="E612" s="46"/>
      <c r="F612" s="33"/>
      <c r="G612" s="46"/>
      <c r="H612" s="46"/>
      <c r="I612" s="45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</row>
    <row r="613" spans="1:96" ht="16.5">
      <c r="A613" s="46"/>
      <c r="B613" s="46"/>
      <c r="C613" s="33"/>
      <c r="D613" s="46"/>
      <c r="E613" s="46"/>
      <c r="F613" s="33"/>
      <c r="G613" s="46"/>
      <c r="H613" s="46"/>
      <c r="I613" s="45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</row>
    <row r="614" spans="1:96" ht="16.5">
      <c r="A614" s="46"/>
      <c r="B614" s="46"/>
      <c r="C614" s="33"/>
      <c r="D614" s="46"/>
      <c r="E614" s="46"/>
      <c r="F614" s="33"/>
      <c r="G614" s="46"/>
      <c r="H614" s="46"/>
      <c r="I614" s="45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</row>
    <row r="615" spans="1:96" ht="16.5">
      <c r="A615" s="46"/>
      <c r="B615" s="46"/>
      <c r="C615" s="33"/>
      <c r="D615" s="46"/>
      <c r="E615" s="46"/>
      <c r="F615" s="33"/>
      <c r="G615" s="46"/>
      <c r="H615" s="46"/>
      <c r="I615" s="45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</row>
    <row r="616" spans="1:96" ht="16.5">
      <c r="A616" s="46"/>
      <c r="B616" s="46"/>
      <c r="C616" s="33"/>
      <c r="D616" s="46"/>
      <c r="E616" s="46"/>
      <c r="F616" s="33"/>
      <c r="G616" s="46"/>
      <c r="H616" s="46"/>
      <c r="I616" s="45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</row>
    <row r="617" spans="1:96" ht="16.5">
      <c r="A617" s="46"/>
      <c r="B617" s="46"/>
      <c r="C617" s="33"/>
      <c r="D617" s="46"/>
      <c r="E617" s="46"/>
      <c r="F617" s="33"/>
      <c r="G617" s="46"/>
      <c r="H617" s="46"/>
      <c r="I617" s="45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</row>
    <row r="618" spans="1:96" ht="16.5">
      <c r="A618" s="46"/>
      <c r="B618" s="46"/>
      <c r="C618" s="33"/>
      <c r="D618" s="46"/>
      <c r="E618" s="46"/>
      <c r="F618" s="33"/>
      <c r="G618" s="46"/>
      <c r="H618" s="46"/>
      <c r="I618" s="45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</row>
    <row r="619" spans="1:96" ht="16.5">
      <c r="A619" s="46"/>
      <c r="B619" s="46"/>
      <c r="C619" s="33"/>
      <c r="D619" s="46"/>
      <c r="E619" s="46"/>
      <c r="F619" s="33"/>
      <c r="G619" s="46"/>
      <c r="H619" s="46"/>
      <c r="I619" s="45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</row>
    <row r="620" spans="1:96" ht="16.5">
      <c r="A620" s="46"/>
      <c r="B620" s="46"/>
      <c r="C620" s="33"/>
      <c r="D620" s="46"/>
      <c r="E620" s="46"/>
      <c r="F620" s="33"/>
      <c r="G620" s="46"/>
      <c r="H620" s="46"/>
      <c r="I620" s="45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  <c r="CK620" s="46"/>
      <c r="CL620" s="46"/>
      <c r="CM620" s="46"/>
      <c r="CN620" s="46"/>
      <c r="CO620" s="46"/>
      <c r="CP620" s="46"/>
      <c r="CQ620" s="46"/>
      <c r="CR620" s="46"/>
    </row>
    <row r="621" spans="1:96" ht="16.5">
      <c r="A621" s="46"/>
      <c r="B621" s="46"/>
      <c r="C621" s="33"/>
      <c r="D621" s="46"/>
      <c r="E621" s="46"/>
      <c r="F621" s="33"/>
      <c r="G621" s="46"/>
      <c r="H621" s="46"/>
      <c r="I621" s="45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  <c r="CK621" s="46"/>
      <c r="CL621" s="46"/>
      <c r="CM621" s="46"/>
      <c r="CN621" s="46"/>
      <c r="CO621" s="46"/>
      <c r="CP621" s="46"/>
      <c r="CQ621" s="46"/>
      <c r="CR621" s="46"/>
    </row>
    <row r="622" spans="1:96" ht="16.5">
      <c r="A622" s="46"/>
      <c r="B622" s="46"/>
      <c r="C622" s="33"/>
      <c r="D622" s="46"/>
      <c r="E622" s="46"/>
      <c r="F622" s="33"/>
      <c r="G622" s="46"/>
      <c r="H622" s="46"/>
      <c r="I622" s="45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  <c r="CK622" s="46"/>
      <c r="CL622" s="46"/>
      <c r="CM622" s="46"/>
      <c r="CN622" s="46"/>
      <c r="CO622" s="46"/>
      <c r="CP622" s="46"/>
      <c r="CQ622" s="46"/>
      <c r="CR622" s="46"/>
    </row>
    <row r="623" spans="1:96" ht="16.5">
      <c r="A623" s="46"/>
      <c r="B623" s="46"/>
      <c r="C623" s="33"/>
      <c r="D623" s="46"/>
      <c r="E623" s="46"/>
      <c r="F623" s="33"/>
      <c r="G623" s="46"/>
      <c r="H623" s="46"/>
      <c r="I623" s="45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  <c r="CK623" s="46"/>
      <c r="CL623" s="46"/>
      <c r="CM623" s="46"/>
      <c r="CN623" s="46"/>
      <c r="CO623" s="46"/>
      <c r="CP623" s="46"/>
      <c r="CQ623" s="46"/>
      <c r="CR623" s="46"/>
    </row>
    <row r="624" spans="1:96" ht="16.5">
      <c r="A624" s="46"/>
      <c r="B624" s="46"/>
      <c r="C624" s="33"/>
      <c r="D624" s="46"/>
      <c r="E624" s="46"/>
      <c r="F624" s="33"/>
      <c r="G624" s="46"/>
      <c r="H624" s="46"/>
      <c r="I624" s="45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  <c r="CK624" s="46"/>
      <c r="CL624" s="46"/>
      <c r="CM624" s="46"/>
      <c r="CN624" s="46"/>
      <c r="CO624" s="46"/>
      <c r="CP624" s="46"/>
      <c r="CQ624" s="46"/>
      <c r="CR624" s="46"/>
    </row>
    <row r="625" spans="1:96" ht="16.5">
      <c r="A625" s="46"/>
      <c r="B625" s="46"/>
      <c r="C625" s="33"/>
      <c r="D625" s="46"/>
      <c r="E625" s="46"/>
      <c r="F625" s="33"/>
      <c r="G625" s="46"/>
      <c r="H625" s="46"/>
      <c r="I625" s="45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  <c r="CK625" s="46"/>
      <c r="CL625" s="46"/>
      <c r="CM625" s="46"/>
      <c r="CN625" s="46"/>
      <c r="CO625" s="46"/>
      <c r="CP625" s="46"/>
      <c r="CQ625" s="46"/>
      <c r="CR625" s="46"/>
    </row>
    <row r="626" spans="1:96" ht="16.5">
      <c r="A626" s="46"/>
      <c r="B626" s="46"/>
      <c r="C626" s="33"/>
      <c r="D626" s="46"/>
      <c r="E626" s="46"/>
      <c r="F626" s="33"/>
      <c r="G626" s="46"/>
      <c r="H626" s="46"/>
      <c r="I626" s="45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  <c r="CK626" s="46"/>
      <c r="CL626" s="46"/>
      <c r="CM626" s="46"/>
      <c r="CN626" s="46"/>
      <c r="CO626" s="46"/>
      <c r="CP626" s="46"/>
      <c r="CQ626" s="46"/>
      <c r="CR626" s="46"/>
    </row>
    <row r="627" spans="1:96" ht="16.5">
      <c r="A627" s="46"/>
      <c r="B627" s="46"/>
      <c r="C627" s="33"/>
      <c r="D627" s="46"/>
      <c r="E627" s="46"/>
      <c r="F627" s="33"/>
      <c r="G627" s="46"/>
      <c r="H627" s="46"/>
      <c r="I627" s="45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  <c r="CK627" s="46"/>
      <c r="CL627" s="46"/>
      <c r="CM627" s="46"/>
      <c r="CN627" s="46"/>
      <c r="CO627" s="46"/>
      <c r="CP627" s="46"/>
      <c r="CQ627" s="46"/>
      <c r="CR627" s="46"/>
    </row>
    <row r="628" spans="1:96" ht="16.5">
      <c r="A628" s="46"/>
      <c r="B628" s="46"/>
      <c r="C628" s="33"/>
      <c r="D628" s="46"/>
      <c r="E628" s="46"/>
      <c r="F628" s="33"/>
      <c r="G628" s="46"/>
      <c r="H628" s="46"/>
      <c r="I628" s="45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  <c r="CK628" s="46"/>
      <c r="CL628" s="46"/>
      <c r="CM628" s="46"/>
      <c r="CN628" s="46"/>
      <c r="CO628" s="46"/>
      <c r="CP628" s="46"/>
      <c r="CQ628" s="46"/>
      <c r="CR628" s="46"/>
    </row>
    <row r="629" spans="1:96" ht="16.5">
      <c r="A629" s="46"/>
      <c r="B629" s="46"/>
      <c r="C629" s="33"/>
      <c r="D629" s="46"/>
      <c r="E629" s="46"/>
      <c r="F629" s="33"/>
      <c r="G629" s="46"/>
      <c r="H629" s="46"/>
      <c r="I629" s="45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  <c r="CK629" s="46"/>
      <c r="CL629" s="46"/>
      <c r="CM629" s="46"/>
      <c r="CN629" s="46"/>
      <c r="CO629" s="46"/>
      <c r="CP629" s="46"/>
      <c r="CQ629" s="46"/>
      <c r="CR629" s="46"/>
    </row>
    <row r="630" spans="1:96" ht="16.5">
      <c r="A630" s="46"/>
      <c r="B630" s="46"/>
      <c r="C630" s="33"/>
      <c r="D630" s="46"/>
      <c r="E630" s="46"/>
      <c r="F630" s="33"/>
      <c r="G630" s="46"/>
      <c r="H630" s="46"/>
      <c r="I630" s="45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  <c r="CK630" s="46"/>
      <c r="CL630" s="46"/>
      <c r="CM630" s="46"/>
      <c r="CN630" s="46"/>
      <c r="CO630" s="46"/>
      <c r="CP630" s="46"/>
      <c r="CQ630" s="46"/>
      <c r="CR630" s="46"/>
    </row>
    <row r="631" spans="1:96" ht="16.5">
      <c r="A631" s="46"/>
      <c r="B631" s="46"/>
      <c r="C631" s="33"/>
      <c r="D631" s="46"/>
      <c r="E631" s="46"/>
      <c r="F631" s="33"/>
      <c r="G631" s="46"/>
      <c r="H631" s="46"/>
      <c r="I631" s="45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  <c r="CK631" s="46"/>
      <c r="CL631" s="46"/>
      <c r="CM631" s="46"/>
      <c r="CN631" s="46"/>
      <c r="CO631" s="46"/>
      <c r="CP631" s="46"/>
      <c r="CQ631" s="46"/>
      <c r="CR631" s="46"/>
    </row>
    <row r="632" spans="1:96" ht="16.5">
      <c r="A632" s="46"/>
      <c r="B632" s="46"/>
      <c r="C632" s="33"/>
      <c r="D632" s="46"/>
      <c r="E632" s="46"/>
      <c r="F632" s="33"/>
      <c r="G632" s="46"/>
      <c r="H632" s="46"/>
      <c r="I632" s="45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  <c r="CK632" s="46"/>
      <c r="CL632" s="46"/>
      <c r="CM632" s="46"/>
      <c r="CN632" s="46"/>
      <c r="CO632" s="46"/>
      <c r="CP632" s="46"/>
      <c r="CQ632" s="46"/>
      <c r="CR632" s="46"/>
    </row>
    <row r="633" spans="1:96" ht="16.5">
      <c r="A633" s="46"/>
      <c r="B633" s="46"/>
      <c r="C633" s="33"/>
      <c r="D633" s="46"/>
      <c r="E633" s="46"/>
      <c r="F633" s="33"/>
      <c r="G633" s="46"/>
      <c r="H633" s="46"/>
      <c r="I633" s="45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  <c r="CK633" s="46"/>
      <c r="CL633" s="46"/>
      <c r="CM633" s="46"/>
      <c r="CN633" s="46"/>
      <c r="CO633" s="46"/>
      <c r="CP633" s="46"/>
      <c r="CQ633" s="46"/>
      <c r="CR633" s="46"/>
    </row>
    <row r="634" spans="1:96" ht="16.5">
      <c r="A634" s="46"/>
      <c r="B634" s="46"/>
      <c r="C634" s="33"/>
      <c r="D634" s="46"/>
      <c r="E634" s="46"/>
      <c r="F634" s="33"/>
      <c r="G634" s="46"/>
      <c r="H634" s="46"/>
      <c r="I634" s="45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  <c r="CK634" s="46"/>
      <c r="CL634" s="46"/>
      <c r="CM634" s="46"/>
      <c r="CN634" s="46"/>
      <c r="CO634" s="46"/>
      <c r="CP634" s="46"/>
      <c r="CQ634" s="46"/>
      <c r="CR634" s="46"/>
    </row>
    <row r="635" spans="1:96" ht="16.5">
      <c r="A635" s="46"/>
      <c r="B635" s="46"/>
      <c r="C635" s="33"/>
      <c r="D635" s="46"/>
      <c r="E635" s="46"/>
      <c r="F635" s="33"/>
      <c r="G635" s="46"/>
      <c r="H635" s="46"/>
      <c r="I635" s="45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  <c r="CK635" s="46"/>
      <c r="CL635" s="46"/>
      <c r="CM635" s="46"/>
      <c r="CN635" s="46"/>
      <c r="CO635" s="46"/>
      <c r="CP635" s="46"/>
      <c r="CQ635" s="46"/>
      <c r="CR635" s="46"/>
    </row>
    <row r="636" spans="1:96" ht="16.5">
      <c r="A636" s="46"/>
      <c r="B636" s="46"/>
      <c r="C636" s="33"/>
      <c r="D636" s="46"/>
      <c r="E636" s="46"/>
      <c r="F636" s="33"/>
      <c r="G636" s="46"/>
      <c r="H636" s="46"/>
      <c r="I636" s="45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  <c r="CK636" s="46"/>
      <c r="CL636" s="46"/>
      <c r="CM636" s="46"/>
      <c r="CN636" s="46"/>
      <c r="CO636" s="46"/>
      <c r="CP636" s="46"/>
      <c r="CQ636" s="46"/>
      <c r="CR636" s="46"/>
    </row>
    <row r="637" spans="1:96" ht="16.5">
      <c r="A637" s="46"/>
      <c r="B637" s="46"/>
      <c r="C637" s="33"/>
      <c r="D637" s="46"/>
      <c r="E637" s="46"/>
      <c r="F637" s="33"/>
      <c r="G637" s="46"/>
      <c r="H637" s="46"/>
      <c r="I637" s="45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  <c r="CK637" s="46"/>
      <c r="CL637" s="46"/>
      <c r="CM637" s="46"/>
      <c r="CN637" s="46"/>
      <c r="CO637" s="46"/>
      <c r="CP637" s="46"/>
      <c r="CQ637" s="46"/>
      <c r="CR637" s="46"/>
    </row>
    <row r="638" spans="1:96" ht="16.5">
      <c r="A638" s="46"/>
      <c r="B638" s="46"/>
      <c r="C638" s="33"/>
      <c r="D638" s="46"/>
      <c r="E638" s="46"/>
      <c r="F638" s="33"/>
      <c r="G638" s="46"/>
      <c r="H638" s="46"/>
      <c r="I638" s="45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  <c r="CK638" s="46"/>
      <c r="CL638" s="46"/>
      <c r="CM638" s="46"/>
      <c r="CN638" s="46"/>
      <c r="CO638" s="46"/>
      <c r="CP638" s="46"/>
      <c r="CQ638" s="46"/>
      <c r="CR638" s="46"/>
    </row>
    <row r="639" spans="1:96" ht="16.5">
      <c r="A639" s="46"/>
      <c r="B639" s="46"/>
      <c r="C639" s="33"/>
      <c r="D639" s="46"/>
      <c r="E639" s="46"/>
      <c r="F639" s="33"/>
      <c r="G639" s="46"/>
      <c r="H639" s="46"/>
      <c r="I639" s="45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  <c r="CK639" s="46"/>
      <c r="CL639" s="46"/>
      <c r="CM639" s="46"/>
      <c r="CN639" s="46"/>
      <c r="CO639" s="46"/>
      <c r="CP639" s="46"/>
      <c r="CQ639" s="46"/>
      <c r="CR639" s="46"/>
    </row>
    <row r="640" spans="1:96" ht="16.5">
      <c r="A640" s="46"/>
      <c r="B640" s="46"/>
      <c r="C640" s="33"/>
      <c r="D640" s="46"/>
      <c r="E640" s="46"/>
      <c r="F640" s="33"/>
      <c r="G640" s="46"/>
      <c r="H640" s="46"/>
      <c r="I640" s="45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  <c r="CK640" s="46"/>
      <c r="CL640" s="46"/>
      <c r="CM640" s="46"/>
      <c r="CN640" s="46"/>
      <c r="CO640" s="46"/>
      <c r="CP640" s="46"/>
      <c r="CQ640" s="46"/>
      <c r="CR640" s="46"/>
    </row>
    <row r="641" spans="1:96" ht="16.5">
      <c r="A641" s="46"/>
      <c r="B641" s="46"/>
      <c r="C641" s="33"/>
      <c r="D641" s="46"/>
      <c r="E641" s="46"/>
      <c r="F641" s="33"/>
      <c r="G641" s="46"/>
      <c r="H641" s="46"/>
      <c r="I641" s="45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  <c r="CK641" s="46"/>
      <c r="CL641" s="46"/>
      <c r="CM641" s="46"/>
      <c r="CN641" s="46"/>
      <c r="CO641" s="46"/>
      <c r="CP641" s="46"/>
      <c r="CQ641" s="46"/>
      <c r="CR641" s="46"/>
    </row>
    <row r="642" spans="1:96" ht="16.5">
      <c r="A642" s="46"/>
      <c r="B642" s="46"/>
      <c r="C642" s="33"/>
      <c r="D642" s="46"/>
      <c r="E642" s="46"/>
      <c r="F642" s="33"/>
      <c r="G642" s="46"/>
      <c r="H642" s="46"/>
      <c r="I642" s="45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  <c r="CK642" s="46"/>
      <c r="CL642" s="46"/>
      <c r="CM642" s="46"/>
      <c r="CN642" s="46"/>
      <c r="CO642" s="46"/>
      <c r="CP642" s="46"/>
      <c r="CQ642" s="46"/>
      <c r="CR642" s="46"/>
    </row>
    <row r="643" spans="1:96" ht="16.5">
      <c r="A643" s="46"/>
      <c r="B643" s="46"/>
      <c r="C643" s="33"/>
      <c r="D643" s="46"/>
      <c r="E643" s="46"/>
      <c r="F643" s="33"/>
      <c r="G643" s="46"/>
      <c r="H643" s="46"/>
      <c r="I643" s="45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  <c r="CK643" s="46"/>
      <c r="CL643" s="46"/>
      <c r="CM643" s="46"/>
      <c r="CN643" s="46"/>
      <c r="CO643" s="46"/>
      <c r="CP643" s="46"/>
      <c r="CQ643" s="46"/>
      <c r="CR643" s="46"/>
    </row>
    <row r="644" spans="1:96" ht="16.5">
      <c r="A644" s="46"/>
      <c r="B644" s="46"/>
      <c r="C644" s="33"/>
      <c r="D644" s="46"/>
      <c r="E644" s="46"/>
      <c r="F644" s="33"/>
      <c r="G644" s="46"/>
      <c r="H644" s="46"/>
      <c r="I644" s="45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  <c r="CK644" s="46"/>
      <c r="CL644" s="46"/>
      <c r="CM644" s="46"/>
      <c r="CN644" s="46"/>
      <c r="CO644" s="46"/>
      <c r="CP644" s="46"/>
      <c r="CQ644" s="46"/>
      <c r="CR644" s="46"/>
    </row>
    <row r="645" spans="1:96" ht="16.5">
      <c r="A645" s="46"/>
      <c r="B645" s="46"/>
      <c r="C645" s="33"/>
      <c r="D645" s="46"/>
      <c r="E645" s="46"/>
      <c r="F645" s="33"/>
      <c r="G645" s="46"/>
      <c r="H645" s="46"/>
      <c r="I645" s="45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  <c r="CK645" s="46"/>
      <c r="CL645" s="46"/>
      <c r="CM645" s="46"/>
      <c r="CN645" s="46"/>
      <c r="CO645" s="46"/>
      <c r="CP645" s="46"/>
      <c r="CQ645" s="46"/>
      <c r="CR645" s="46"/>
    </row>
    <row r="646" spans="1:96" ht="16.5">
      <c r="A646" s="46"/>
      <c r="B646" s="46"/>
      <c r="C646" s="33"/>
      <c r="D646" s="46"/>
      <c r="E646" s="46"/>
      <c r="F646" s="33"/>
      <c r="G646" s="46"/>
      <c r="H646" s="46"/>
      <c r="I646" s="45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/>
      <c r="CP646" s="46"/>
      <c r="CQ646" s="46"/>
      <c r="CR646" s="46"/>
    </row>
    <row r="647" spans="1:96" ht="16.5">
      <c r="A647" s="46"/>
      <c r="B647" s="46"/>
      <c r="C647" s="33"/>
      <c r="D647" s="46"/>
      <c r="E647" s="46"/>
      <c r="F647" s="33"/>
      <c r="G647" s="46"/>
      <c r="H647" s="46"/>
      <c r="I647" s="45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</row>
    <row r="648" spans="1:96" ht="16.5">
      <c r="A648" s="46"/>
      <c r="B648" s="46"/>
      <c r="C648" s="33"/>
      <c r="D648" s="46"/>
      <c r="E648" s="46"/>
      <c r="F648" s="33"/>
      <c r="G648" s="46"/>
      <c r="H648" s="46"/>
      <c r="I648" s="45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  <c r="CK648" s="46"/>
      <c r="CL648" s="46"/>
      <c r="CM648" s="46"/>
      <c r="CN648" s="46"/>
      <c r="CO648" s="46"/>
      <c r="CP648" s="46"/>
      <c r="CQ648" s="46"/>
      <c r="CR648" s="46"/>
    </row>
    <row r="649" spans="1:96" ht="16.5">
      <c r="A649" s="46"/>
      <c r="B649" s="46"/>
      <c r="C649" s="33"/>
      <c r="D649" s="46"/>
      <c r="E649" s="46"/>
      <c r="F649" s="33"/>
      <c r="G649" s="46"/>
      <c r="H649" s="46"/>
      <c r="I649" s="45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</row>
    <row r="650" spans="1:96" ht="16.5">
      <c r="A650" s="46"/>
      <c r="B650" s="46"/>
      <c r="C650" s="33"/>
      <c r="D650" s="46"/>
      <c r="E650" s="46"/>
      <c r="F650" s="33"/>
      <c r="G650" s="46"/>
      <c r="H650" s="46"/>
      <c r="I650" s="45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</row>
    <row r="651" spans="1:96" ht="16.5">
      <c r="A651" s="46"/>
      <c r="B651" s="46"/>
      <c r="C651" s="33"/>
      <c r="D651" s="46"/>
      <c r="E651" s="46"/>
      <c r="F651" s="33"/>
      <c r="G651" s="46"/>
      <c r="H651" s="46"/>
      <c r="I651" s="45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</row>
    <row r="652" spans="1:96" ht="16.5">
      <c r="A652" s="46"/>
      <c r="B652" s="46"/>
      <c r="C652" s="33"/>
      <c r="D652" s="46"/>
      <c r="E652" s="46"/>
      <c r="F652" s="33"/>
      <c r="G652" s="46"/>
      <c r="H652" s="46"/>
      <c r="I652" s="45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</row>
    <row r="653" spans="1:96" ht="16.5">
      <c r="A653" s="46"/>
      <c r="B653" s="46"/>
      <c r="C653" s="33"/>
      <c r="D653" s="46"/>
      <c r="E653" s="46"/>
      <c r="F653" s="33"/>
      <c r="G653" s="46"/>
      <c r="H653" s="46"/>
      <c r="I653" s="45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</row>
    <row r="654" spans="1:96" ht="16.5">
      <c r="A654" s="46"/>
      <c r="B654" s="46"/>
      <c r="C654" s="33"/>
      <c r="D654" s="46"/>
      <c r="E654" s="46"/>
      <c r="F654" s="33"/>
      <c r="G654" s="46"/>
      <c r="H654" s="46"/>
      <c r="I654" s="45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</row>
    <row r="655" spans="1:96" ht="16.5">
      <c r="A655" s="46"/>
      <c r="B655" s="46"/>
      <c r="C655" s="33"/>
      <c r="D655" s="46"/>
      <c r="E655" s="46"/>
      <c r="F655" s="33"/>
      <c r="G655" s="46"/>
      <c r="H655" s="46"/>
      <c r="I655" s="45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</row>
    <row r="656" spans="1:96" ht="16.5">
      <c r="A656" s="46"/>
      <c r="B656" s="46"/>
      <c r="C656" s="33"/>
      <c r="D656" s="46"/>
      <c r="E656" s="46"/>
      <c r="F656" s="33"/>
      <c r="G656" s="46"/>
      <c r="H656" s="46"/>
      <c r="I656" s="45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</row>
    <row r="657" spans="1:96" ht="16.5">
      <c r="A657" s="46"/>
      <c r="B657" s="46"/>
      <c r="C657" s="33"/>
      <c r="D657" s="46"/>
      <c r="E657" s="46"/>
      <c r="F657" s="33"/>
      <c r="G657" s="46"/>
      <c r="H657" s="46"/>
      <c r="I657" s="45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</row>
    <row r="658" spans="1:96" ht="16.5">
      <c r="A658" s="46"/>
      <c r="B658" s="46"/>
      <c r="C658" s="33"/>
      <c r="D658" s="46"/>
      <c r="E658" s="46"/>
      <c r="F658" s="33"/>
      <c r="G658" s="46"/>
      <c r="H658" s="46"/>
      <c r="I658" s="45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</row>
    <row r="659" spans="1:96" ht="16.5">
      <c r="A659" s="46"/>
      <c r="B659" s="46"/>
      <c r="C659" s="33"/>
      <c r="D659" s="46"/>
      <c r="E659" s="46"/>
      <c r="F659" s="33"/>
      <c r="G659" s="46"/>
      <c r="H659" s="46"/>
      <c r="I659" s="45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</row>
    <row r="660" spans="1:96" ht="16.5">
      <c r="A660" s="46"/>
      <c r="B660" s="46"/>
      <c r="C660" s="33"/>
      <c r="D660" s="46"/>
      <c r="E660" s="46"/>
      <c r="F660" s="33"/>
      <c r="G660" s="46"/>
      <c r="H660" s="46"/>
      <c r="I660" s="45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  <c r="CK660" s="46"/>
      <c r="CL660" s="46"/>
      <c r="CM660" s="46"/>
      <c r="CN660" s="46"/>
      <c r="CO660" s="46"/>
      <c r="CP660" s="46"/>
      <c r="CQ660" s="46"/>
      <c r="CR660" s="46"/>
    </row>
    <row r="661" spans="1:96" ht="16.5">
      <c r="A661" s="46"/>
      <c r="B661" s="46"/>
      <c r="C661" s="33"/>
      <c r="D661" s="46"/>
      <c r="E661" s="46"/>
      <c r="F661" s="33"/>
      <c r="G661" s="46"/>
      <c r="H661" s="46"/>
      <c r="I661" s="45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  <c r="CK661" s="46"/>
      <c r="CL661" s="46"/>
      <c r="CM661" s="46"/>
      <c r="CN661" s="46"/>
      <c r="CO661" s="46"/>
      <c r="CP661" s="46"/>
      <c r="CQ661" s="46"/>
      <c r="CR661" s="46"/>
    </row>
    <row r="662" spans="1:96" ht="16.5">
      <c r="A662" s="46"/>
      <c r="B662" s="46"/>
      <c r="C662" s="33"/>
      <c r="D662" s="46"/>
      <c r="E662" s="46"/>
      <c r="F662" s="33"/>
      <c r="G662" s="46"/>
      <c r="H662" s="46"/>
      <c r="I662" s="45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  <c r="CK662" s="46"/>
      <c r="CL662" s="46"/>
      <c r="CM662" s="46"/>
      <c r="CN662" s="46"/>
      <c r="CO662" s="46"/>
      <c r="CP662" s="46"/>
      <c r="CQ662" s="46"/>
      <c r="CR662" s="46"/>
    </row>
    <row r="663" spans="1:96" ht="16.5">
      <c r="A663" s="46"/>
      <c r="B663" s="46"/>
      <c r="C663" s="33"/>
      <c r="D663" s="46"/>
      <c r="E663" s="46"/>
      <c r="F663" s="33"/>
      <c r="G663" s="46"/>
      <c r="H663" s="46"/>
      <c r="I663" s="45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  <c r="CK663" s="46"/>
      <c r="CL663" s="46"/>
      <c r="CM663" s="46"/>
      <c r="CN663" s="46"/>
      <c r="CO663" s="46"/>
      <c r="CP663" s="46"/>
      <c r="CQ663" s="46"/>
      <c r="CR663" s="46"/>
    </row>
    <row r="664" spans="1:96" ht="16.5">
      <c r="A664" s="46"/>
      <c r="B664" s="46"/>
      <c r="C664" s="33"/>
      <c r="D664" s="46"/>
      <c r="E664" s="46"/>
      <c r="F664" s="33"/>
      <c r="G664" s="46"/>
      <c r="H664" s="46"/>
      <c r="I664" s="45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  <c r="CK664" s="46"/>
      <c r="CL664" s="46"/>
      <c r="CM664" s="46"/>
      <c r="CN664" s="46"/>
      <c r="CO664" s="46"/>
      <c r="CP664" s="46"/>
      <c r="CQ664" s="46"/>
      <c r="CR664" s="46"/>
    </row>
    <row r="665" spans="1:96" ht="16.5">
      <c r="A665" s="46"/>
      <c r="B665" s="46"/>
      <c r="C665" s="33"/>
      <c r="D665" s="46"/>
      <c r="E665" s="46"/>
      <c r="F665" s="33"/>
      <c r="G665" s="46"/>
      <c r="H665" s="46"/>
      <c r="I665" s="45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  <c r="CK665" s="46"/>
      <c r="CL665" s="46"/>
      <c r="CM665" s="46"/>
      <c r="CN665" s="46"/>
      <c r="CO665" s="46"/>
      <c r="CP665" s="46"/>
      <c r="CQ665" s="46"/>
      <c r="CR665" s="46"/>
    </row>
    <row r="666" spans="1:96" ht="16.5">
      <c r="A666" s="46"/>
      <c r="B666" s="46"/>
      <c r="C666" s="33"/>
      <c r="D666" s="46"/>
      <c r="E666" s="46"/>
      <c r="F666" s="33"/>
      <c r="G666" s="46"/>
      <c r="H666" s="46"/>
      <c r="I666" s="45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  <c r="CK666" s="46"/>
      <c r="CL666" s="46"/>
      <c r="CM666" s="46"/>
      <c r="CN666" s="46"/>
      <c r="CO666" s="46"/>
      <c r="CP666" s="46"/>
      <c r="CQ666" s="46"/>
      <c r="CR666" s="46"/>
    </row>
    <row r="667" spans="1:96" ht="16.5">
      <c r="A667" s="46"/>
      <c r="B667" s="46"/>
      <c r="C667" s="33"/>
      <c r="D667" s="46"/>
      <c r="E667" s="46"/>
      <c r="F667" s="33"/>
      <c r="G667" s="46"/>
      <c r="H667" s="46"/>
      <c r="I667" s="45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  <c r="CK667" s="46"/>
      <c r="CL667" s="46"/>
      <c r="CM667" s="46"/>
      <c r="CN667" s="46"/>
      <c r="CO667" s="46"/>
      <c r="CP667" s="46"/>
      <c r="CQ667" s="46"/>
      <c r="CR667" s="46"/>
    </row>
    <row r="668" spans="1:96" ht="16.5">
      <c r="A668" s="46"/>
      <c r="B668" s="46"/>
      <c r="C668" s="33"/>
      <c r="D668" s="46"/>
      <c r="E668" s="46"/>
      <c r="F668" s="33"/>
      <c r="G668" s="46"/>
      <c r="H668" s="46"/>
      <c r="I668" s="45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  <c r="CK668" s="46"/>
      <c r="CL668" s="46"/>
      <c r="CM668" s="46"/>
      <c r="CN668" s="46"/>
      <c r="CO668" s="46"/>
      <c r="CP668" s="46"/>
      <c r="CQ668" s="46"/>
      <c r="CR668" s="46"/>
    </row>
    <row r="669" spans="1:96" ht="16.5">
      <c r="A669" s="46"/>
      <c r="B669" s="46"/>
      <c r="C669" s="33"/>
      <c r="D669" s="46"/>
      <c r="E669" s="46"/>
      <c r="F669" s="33"/>
      <c r="G669" s="46"/>
      <c r="H669" s="46"/>
      <c r="I669" s="45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  <c r="CK669" s="46"/>
      <c r="CL669" s="46"/>
      <c r="CM669" s="46"/>
      <c r="CN669" s="46"/>
      <c r="CO669" s="46"/>
      <c r="CP669" s="46"/>
      <c r="CQ669" s="46"/>
      <c r="CR669" s="46"/>
    </row>
    <row r="670" spans="1:96" ht="16.5">
      <c r="A670" s="46"/>
      <c r="B670" s="46"/>
      <c r="C670" s="33"/>
      <c r="D670" s="46"/>
      <c r="E670" s="46"/>
      <c r="F670" s="33"/>
      <c r="G670" s="46"/>
      <c r="H670" s="46"/>
      <c r="I670" s="45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  <c r="CK670" s="46"/>
      <c r="CL670" s="46"/>
      <c r="CM670" s="46"/>
      <c r="CN670" s="46"/>
      <c r="CO670" s="46"/>
      <c r="CP670" s="46"/>
      <c r="CQ670" s="46"/>
      <c r="CR670" s="46"/>
    </row>
    <row r="671" spans="1:96" ht="16.5">
      <c r="A671" s="46"/>
      <c r="B671" s="46"/>
      <c r="C671" s="33"/>
      <c r="D671" s="46"/>
      <c r="E671" s="46"/>
      <c r="F671" s="33"/>
      <c r="G671" s="46"/>
      <c r="H671" s="46"/>
      <c r="I671" s="45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  <c r="CK671" s="46"/>
      <c r="CL671" s="46"/>
      <c r="CM671" s="46"/>
      <c r="CN671" s="46"/>
      <c r="CO671" s="46"/>
      <c r="CP671" s="46"/>
      <c r="CQ671" s="46"/>
      <c r="CR671" s="46"/>
    </row>
    <row r="672" spans="1:96" ht="16.5">
      <c r="A672" s="46"/>
      <c r="B672" s="46"/>
      <c r="C672" s="33"/>
      <c r="D672" s="46"/>
      <c r="E672" s="46"/>
      <c r="F672" s="33"/>
      <c r="G672" s="46"/>
      <c r="H672" s="46"/>
      <c r="I672" s="45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  <c r="CK672" s="46"/>
      <c r="CL672" s="46"/>
      <c r="CM672" s="46"/>
      <c r="CN672" s="46"/>
      <c r="CO672" s="46"/>
      <c r="CP672" s="46"/>
      <c r="CQ672" s="46"/>
      <c r="CR672" s="46"/>
    </row>
    <row r="673" spans="1:96" ht="16.5">
      <c r="A673" s="46"/>
      <c r="B673" s="46"/>
      <c r="C673" s="33"/>
      <c r="D673" s="46"/>
      <c r="E673" s="46"/>
      <c r="F673" s="33"/>
      <c r="G673" s="46"/>
      <c r="H673" s="46"/>
      <c r="I673" s="45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  <c r="CK673" s="46"/>
      <c r="CL673" s="46"/>
      <c r="CM673" s="46"/>
      <c r="CN673" s="46"/>
      <c r="CO673" s="46"/>
      <c r="CP673" s="46"/>
      <c r="CQ673" s="46"/>
      <c r="CR673" s="46"/>
    </row>
    <row r="674" spans="1:96" ht="16.5">
      <c r="A674" s="46"/>
      <c r="B674" s="46"/>
      <c r="C674" s="33"/>
      <c r="D674" s="46"/>
      <c r="E674" s="46"/>
      <c r="F674" s="33"/>
      <c r="G674" s="46"/>
      <c r="H674" s="46"/>
      <c r="I674" s="45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  <c r="CK674" s="46"/>
      <c r="CL674" s="46"/>
      <c r="CM674" s="46"/>
      <c r="CN674" s="46"/>
      <c r="CO674" s="46"/>
      <c r="CP674" s="46"/>
      <c r="CQ674" s="46"/>
      <c r="CR674" s="46"/>
    </row>
    <row r="675" spans="1:96" ht="16.5">
      <c r="A675" s="46"/>
      <c r="B675" s="46"/>
      <c r="C675" s="33"/>
      <c r="D675" s="46"/>
      <c r="E675" s="46"/>
      <c r="F675" s="33"/>
      <c r="G675" s="46"/>
      <c r="H675" s="46"/>
      <c r="I675" s="45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  <c r="CK675" s="46"/>
      <c r="CL675" s="46"/>
      <c r="CM675" s="46"/>
      <c r="CN675" s="46"/>
      <c r="CO675" s="46"/>
      <c r="CP675" s="46"/>
      <c r="CQ675" s="46"/>
      <c r="CR675" s="46"/>
    </row>
    <row r="676" spans="1:96" ht="16.5">
      <c r="A676" s="46"/>
      <c r="B676" s="46"/>
      <c r="C676" s="33"/>
      <c r="D676" s="46"/>
      <c r="E676" s="46"/>
      <c r="F676" s="33"/>
      <c r="G676" s="46"/>
      <c r="H676" s="46"/>
      <c r="I676" s="45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  <c r="CK676" s="46"/>
      <c r="CL676" s="46"/>
      <c r="CM676" s="46"/>
      <c r="CN676" s="46"/>
      <c r="CO676" s="46"/>
      <c r="CP676" s="46"/>
      <c r="CQ676" s="46"/>
      <c r="CR676" s="46"/>
    </row>
    <row r="677" spans="1:96" ht="16.5">
      <c r="A677" s="46"/>
      <c r="B677" s="46"/>
      <c r="C677" s="33"/>
      <c r="D677" s="46"/>
      <c r="E677" s="46"/>
      <c r="F677" s="33"/>
      <c r="G677" s="46"/>
      <c r="H677" s="46"/>
      <c r="I677" s="45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  <c r="CK677" s="46"/>
      <c r="CL677" s="46"/>
      <c r="CM677" s="46"/>
      <c r="CN677" s="46"/>
      <c r="CO677" s="46"/>
      <c r="CP677" s="46"/>
      <c r="CQ677" s="46"/>
      <c r="CR677" s="46"/>
    </row>
    <row r="678" spans="1:96" ht="16.5">
      <c r="A678" s="46"/>
      <c r="B678" s="46"/>
      <c r="C678" s="33"/>
      <c r="D678" s="46"/>
      <c r="E678" s="46"/>
      <c r="F678" s="33"/>
      <c r="G678" s="46"/>
      <c r="H678" s="46"/>
      <c r="I678" s="45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  <c r="CK678" s="46"/>
      <c r="CL678" s="46"/>
      <c r="CM678" s="46"/>
      <c r="CN678" s="46"/>
      <c r="CO678" s="46"/>
      <c r="CP678" s="46"/>
      <c r="CQ678" s="46"/>
      <c r="CR678" s="46"/>
    </row>
    <row r="679" spans="1:96" ht="16.5">
      <c r="A679" s="46"/>
      <c r="B679" s="46"/>
      <c r="C679" s="33"/>
      <c r="D679" s="46"/>
      <c r="E679" s="46"/>
      <c r="F679" s="33"/>
      <c r="G679" s="46"/>
      <c r="H679" s="46"/>
      <c r="I679" s="45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  <c r="CK679" s="46"/>
      <c r="CL679" s="46"/>
      <c r="CM679" s="46"/>
      <c r="CN679" s="46"/>
      <c r="CO679" s="46"/>
      <c r="CP679" s="46"/>
      <c r="CQ679" s="46"/>
      <c r="CR679" s="46"/>
    </row>
    <row r="680" spans="1:96" ht="16.5">
      <c r="A680" s="46"/>
      <c r="B680" s="46"/>
      <c r="C680" s="33"/>
      <c r="D680" s="46"/>
      <c r="E680" s="46"/>
      <c r="F680" s="33"/>
      <c r="G680" s="46"/>
      <c r="H680" s="46"/>
      <c r="I680" s="45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  <c r="CK680" s="46"/>
      <c r="CL680" s="46"/>
      <c r="CM680" s="46"/>
      <c r="CN680" s="46"/>
      <c r="CO680" s="46"/>
      <c r="CP680" s="46"/>
      <c r="CQ680" s="46"/>
      <c r="CR680" s="46"/>
    </row>
    <row r="681" spans="1:96" ht="16.5">
      <c r="A681" s="46"/>
      <c r="B681" s="46"/>
      <c r="C681" s="33"/>
      <c r="D681" s="46"/>
      <c r="E681" s="46"/>
      <c r="F681" s="33"/>
      <c r="G681" s="46"/>
      <c r="H681" s="46"/>
      <c r="I681" s="45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  <c r="CK681" s="46"/>
      <c r="CL681" s="46"/>
      <c r="CM681" s="46"/>
      <c r="CN681" s="46"/>
      <c r="CO681" s="46"/>
      <c r="CP681" s="46"/>
      <c r="CQ681" s="46"/>
      <c r="CR681" s="46"/>
    </row>
    <row r="682" spans="1:96" ht="16.5">
      <c r="A682" s="46"/>
      <c r="B682" s="46"/>
      <c r="C682" s="33"/>
      <c r="D682" s="46"/>
      <c r="E682" s="46"/>
      <c r="F682" s="33"/>
      <c r="G682" s="46"/>
      <c r="H682" s="46"/>
      <c r="I682" s="45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  <c r="CK682" s="46"/>
      <c r="CL682" s="46"/>
      <c r="CM682" s="46"/>
      <c r="CN682" s="46"/>
      <c r="CO682" s="46"/>
      <c r="CP682" s="46"/>
      <c r="CQ682" s="46"/>
      <c r="CR682" s="46"/>
    </row>
    <row r="683" spans="1:96" ht="16.5">
      <c r="A683" s="46"/>
      <c r="B683" s="46"/>
      <c r="C683" s="33"/>
      <c r="D683" s="46"/>
      <c r="E683" s="46"/>
      <c r="F683" s="33"/>
      <c r="G683" s="46"/>
      <c r="H683" s="46"/>
      <c r="I683" s="45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  <c r="CK683" s="46"/>
      <c r="CL683" s="46"/>
      <c r="CM683" s="46"/>
      <c r="CN683" s="46"/>
      <c r="CO683" s="46"/>
      <c r="CP683" s="46"/>
      <c r="CQ683" s="46"/>
      <c r="CR683" s="46"/>
    </row>
    <row r="684" spans="1:96" ht="16.5">
      <c r="A684" s="46"/>
      <c r="B684" s="46"/>
      <c r="C684" s="33"/>
      <c r="D684" s="46"/>
      <c r="E684" s="46"/>
      <c r="F684" s="33"/>
      <c r="G684" s="46"/>
      <c r="H684" s="46"/>
      <c r="I684" s="45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  <c r="CK684" s="46"/>
      <c r="CL684" s="46"/>
      <c r="CM684" s="46"/>
      <c r="CN684" s="46"/>
      <c r="CO684" s="46"/>
      <c r="CP684" s="46"/>
      <c r="CQ684" s="46"/>
      <c r="CR684" s="46"/>
    </row>
    <row r="685" spans="1:96" ht="16.5">
      <c r="A685" s="46"/>
      <c r="B685" s="46"/>
      <c r="C685" s="33"/>
      <c r="D685" s="46"/>
      <c r="E685" s="46"/>
      <c r="F685" s="33"/>
      <c r="G685" s="46"/>
      <c r="H685" s="46"/>
      <c r="I685" s="45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  <c r="CK685" s="46"/>
      <c r="CL685" s="46"/>
      <c r="CM685" s="46"/>
      <c r="CN685" s="46"/>
      <c r="CO685" s="46"/>
      <c r="CP685" s="46"/>
      <c r="CQ685" s="46"/>
      <c r="CR685" s="46"/>
    </row>
    <row r="686" spans="1:96" ht="16.5">
      <c r="A686" s="46"/>
      <c r="B686" s="46"/>
      <c r="C686" s="33"/>
      <c r="D686" s="46"/>
      <c r="E686" s="46"/>
      <c r="F686" s="33"/>
      <c r="G686" s="46"/>
      <c r="H686" s="46"/>
      <c r="I686" s="45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/>
      <c r="CP686" s="46"/>
      <c r="CQ686" s="46"/>
      <c r="CR686" s="46"/>
    </row>
    <row r="687" spans="1:96" ht="16.5">
      <c r="A687" s="46"/>
      <c r="B687" s="46"/>
      <c r="C687" s="33"/>
      <c r="D687" s="46"/>
      <c r="E687" s="46"/>
      <c r="F687" s="33"/>
      <c r="G687" s="46"/>
      <c r="H687" s="46"/>
      <c r="I687" s="45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</row>
    <row r="688" spans="1:96" ht="16.5">
      <c r="A688" s="46"/>
      <c r="B688" s="46"/>
      <c r="C688" s="33"/>
      <c r="D688" s="46"/>
      <c r="E688" s="46"/>
      <c r="F688" s="33"/>
      <c r="G688" s="46"/>
      <c r="H688" s="46"/>
      <c r="I688" s="45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  <c r="CK688" s="46"/>
      <c r="CL688" s="46"/>
      <c r="CM688" s="46"/>
      <c r="CN688" s="46"/>
      <c r="CO688" s="46"/>
      <c r="CP688" s="46"/>
      <c r="CQ688" s="46"/>
      <c r="CR688" s="46"/>
    </row>
    <row r="689" spans="1:96" ht="16.5">
      <c r="A689" s="46"/>
      <c r="B689" s="46"/>
      <c r="C689" s="33"/>
      <c r="D689" s="46"/>
      <c r="E689" s="46"/>
      <c r="F689" s="33"/>
      <c r="G689" s="46"/>
      <c r="H689" s="46"/>
      <c r="I689" s="45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</row>
    <row r="690" spans="1:96" ht="16.5">
      <c r="A690" s="46"/>
      <c r="B690" s="46"/>
      <c r="C690" s="33"/>
      <c r="D690" s="46"/>
      <c r="E690" s="46"/>
      <c r="F690" s="33"/>
      <c r="G690" s="46"/>
      <c r="H690" s="46"/>
      <c r="I690" s="45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</row>
    <row r="691" spans="1:96" ht="16.5">
      <c r="A691" s="46"/>
      <c r="B691" s="46"/>
      <c r="C691" s="33"/>
      <c r="D691" s="46"/>
      <c r="E691" s="46"/>
      <c r="F691" s="33"/>
      <c r="G691" s="46"/>
      <c r="H691" s="46"/>
      <c r="I691" s="45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</row>
    <row r="692" spans="1:96" ht="16.5">
      <c r="A692" s="46"/>
      <c r="B692" s="46"/>
      <c r="C692" s="33"/>
      <c r="D692" s="46"/>
      <c r="E692" s="46"/>
      <c r="F692" s="33"/>
      <c r="G692" s="46"/>
      <c r="H692" s="46"/>
      <c r="I692" s="45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</row>
    <row r="693" spans="1:96" ht="16.5">
      <c r="A693" s="46"/>
      <c r="B693" s="46"/>
      <c r="C693" s="33"/>
      <c r="D693" s="46"/>
      <c r="E693" s="46"/>
      <c r="F693" s="33"/>
      <c r="G693" s="46"/>
      <c r="H693" s="46"/>
      <c r="I693" s="45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</row>
    <row r="694" spans="1:96" ht="16.5">
      <c r="A694" s="46"/>
      <c r="B694" s="46"/>
      <c r="C694" s="33"/>
      <c r="D694" s="46"/>
      <c r="E694" s="46"/>
      <c r="F694" s="33"/>
      <c r="G694" s="46"/>
      <c r="H694" s="46"/>
      <c r="I694" s="45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</row>
    <row r="695" spans="1:96" ht="16.5">
      <c r="A695" s="46"/>
      <c r="B695" s="46"/>
      <c r="C695" s="33"/>
      <c r="D695" s="46"/>
      <c r="E695" s="46"/>
      <c r="F695" s="33"/>
      <c r="G695" s="46"/>
      <c r="H695" s="46"/>
      <c r="I695" s="45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</row>
    <row r="696" spans="1:96" ht="16.5">
      <c r="A696" s="46"/>
      <c r="B696" s="46"/>
      <c r="C696" s="33"/>
      <c r="D696" s="46"/>
      <c r="E696" s="46"/>
      <c r="F696" s="33"/>
      <c r="G696" s="46"/>
      <c r="H696" s="46"/>
      <c r="I696" s="45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</row>
    <row r="697" spans="1:96" ht="16.5">
      <c r="A697" s="46"/>
      <c r="B697" s="46"/>
      <c r="C697" s="33"/>
      <c r="D697" s="46"/>
      <c r="E697" s="46"/>
      <c r="F697" s="33"/>
      <c r="G697" s="46"/>
      <c r="H697" s="46"/>
      <c r="I697" s="45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</row>
    <row r="698" spans="1:96" ht="16.5">
      <c r="A698" s="46"/>
      <c r="B698" s="46"/>
      <c r="C698" s="33"/>
      <c r="D698" s="46"/>
      <c r="E698" s="46"/>
      <c r="F698" s="33"/>
      <c r="G698" s="46"/>
      <c r="H698" s="46"/>
      <c r="I698" s="45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</row>
    <row r="699" spans="1:96" ht="16.5">
      <c r="A699" s="46"/>
      <c r="B699" s="46"/>
      <c r="C699" s="33"/>
      <c r="D699" s="46"/>
      <c r="E699" s="46"/>
      <c r="F699" s="33"/>
      <c r="G699" s="46"/>
      <c r="H699" s="46"/>
      <c r="I699" s="45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</row>
    <row r="700" spans="1:96" ht="16.5">
      <c r="A700" s="46"/>
      <c r="B700" s="46"/>
      <c r="C700" s="33"/>
      <c r="D700" s="46"/>
      <c r="E700" s="46"/>
      <c r="F700" s="33"/>
      <c r="G700" s="46"/>
      <c r="H700" s="46"/>
      <c r="I700" s="45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  <c r="CK700" s="46"/>
      <c r="CL700" s="46"/>
      <c r="CM700" s="46"/>
      <c r="CN700" s="46"/>
      <c r="CO700" s="46"/>
      <c r="CP700" s="46"/>
      <c r="CQ700" s="46"/>
      <c r="CR700" s="46"/>
    </row>
    <row r="701" spans="1:96" ht="16.5">
      <c r="A701" s="46"/>
      <c r="B701" s="46"/>
      <c r="C701" s="33"/>
      <c r="D701" s="46"/>
      <c r="E701" s="46"/>
      <c r="F701" s="33"/>
      <c r="G701" s="46"/>
      <c r="H701" s="46"/>
      <c r="I701" s="45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  <c r="CK701" s="46"/>
      <c r="CL701" s="46"/>
      <c r="CM701" s="46"/>
      <c r="CN701" s="46"/>
      <c r="CO701" s="46"/>
      <c r="CP701" s="46"/>
      <c r="CQ701" s="46"/>
      <c r="CR701" s="46"/>
    </row>
    <row r="702" spans="1:96" ht="16.5">
      <c r="A702" s="46"/>
      <c r="B702" s="46"/>
      <c r="C702" s="33"/>
      <c r="D702" s="46"/>
      <c r="E702" s="46"/>
      <c r="F702" s="33"/>
      <c r="G702" s="46"/>
      <c r="H702" s="46"/>
      <c r="I702" s="45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  <c r="CK702" s="46"/>
      <c r="CL702" s="46"/>
      <c r="CM702" s="46"/>
      <c r="CN702" s="46"/>
      <c r="CO702" s="46"/>
      <c r="CP702" s="46"/>
      <c r="CQ702" s="46"/>
      <c r="CR702" s="46"/>
    </row>
    <row r="703" spans="1:96" ht="16.5">
      <c r="A703" s="46"/>
      <c r="B703" s="46"/>
      <c r="C703" s="33"/>
      <c r="D703" s="46"/>
      <c r="E703" s="46"/>
      <c r="F703" s="33"/>
      <c r="G703" s="46"/>
      <c r="H703" s="46"/>
      <c r="I703" s="45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  <c r="CK703" s="46"/>
      <c r="CL703" s="46"/>
      <c r="CM703" s="46"/>
      <c r="CN703" s="46"/>
      <c r="CO703" s="46"/>
      <c r="CP703" s="46"/>
      <c r="CQ703" s="46"/>
      <c r="CR703" s="46"/>
    </row>
    <row r="704" spans="1:96" ht="16.5">
      <c r="A704" s="46"/>
      <c r="B704" s="46"/>
      <c r="C704" s="33"/>
      <c r="D704" s="46"/>
      <c r="E704" s="46"/>
      <c r="F704" s="33"/>
      <c r="G704" s="46"/>
      <c r="H704" s="46"/>
      <c r="I704" s="45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  <c r="CK704" s="46"/>
      <c r="CL704" s="46"/>
      <c r="CM704" s="46"/>
      <c r="CN704" s="46"/>
      <c r="CO704" s="46"/>
      <c r="CP704" s="46"/>
      <c r="CQ704" s="46"/>
      <c r="CR704" s="46"/>
    </row>
    <row r="705" spans="1:96" ht="16.5">
      <c r="A705" s="46"/>
      <c r="B705" s="46"/>
      <c r="C705" s="33"/>
      <c r="D705" s="46"/>
      <c r="E705" s="46"/>
      <c r="F705" s="33"/>
      <c r="G705" s="46"/>
      <c r="H705" s="46"/>
      <c r="I705" s="45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  <c r="CK705" s="46"/>
      <c r="CL705" s="46"/>
      <c r="CM705" s="46"/>
      <c r="CN705" s="46"/>
      <c r="CO705" s="46"/>
      <c r="CP705" s="46"/>
      <c r="CQ705" s="46"/>
      <c r="CR705" s="46"/>
    </row>
    <row r="706" spans="1:96" ht="16.5">
      <c r="A706" s="46"/>
      <c r="B706" s="46"/>
      <c r="C706" s="33"/>
      <c r="D706" s="46"/>
      <c r="E706" s="46"/>
      <c r="F706" s="33"/>
      <c r="G706" s="46"/>
      <c r="H706" s="46"/>
      <c r="I706" s="45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  <c r="CK706" s="46"/>
      <c r="CL706" s="46"/>
      <c r="CM706" s="46"/>
      <c r="CN706" s="46"/>
      <c r="CO706" s="46"/>
      <c r="CP706" s="46"/>
      <c r="CQ706" s="46"/>
      <c r="CR706" s="46"/>
    </row>
    <row r="707" spans="1:96" ht="16.5">
      <c r="A707" s="46"/>
      <c r="B707" s="46"/>
      <c r="C707" s="33"/>
      <c r="D707" s="46"/>
      <c r="E707" s="46"/>
      <c r="F707" s="33"/>
      <c r="G707" s="46"/>
      <c r="H707" s="46"/>
      <c r="I707" s="45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  <c r="CK707" s="46"/>
      <c r="CL707" s="46"/>
      <c r="CM707" s="46"/>
      <c r="CN707" s="46"/>
      <c r="CO707" s="46"/>
      <c r="CP707" s="46"/>
      <c r="CQ707" s="46"/>
      <c r="CR707" s="46"/>
    </row>
    <row r="708" spans="1:96" ht="16.5">
      <c r="A708" s="46"/>
      <c r="B708" s="46"/>
      <c r="C708" s="33"/>
      <c r="D708" s="46"/>
      <c r="E708" s="46"/>
      <c r="F708" s="33"/>
      <c r="G708" s="46"/>
      <c r="H708" s="46"/>
      <c r="I708" s="45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  <c r="CK708" s="46"/>
      <c r="CL708" s="46"/>
      <c r="CM708" s="46"/>
      <c r="CN708" s="46"/>
      <c r="CO708" s="46"/>
      <c r="CP708" s="46"/>
      <c r="CQ708" s="46"/>
      <c r="CR708" s="46"/>
    </row>
    <row r="709" spans="1:96" ht="16.5">
      <c r="A709" s="46"/>
      <c r="B709" s="46"/>
      <c r="C709" s="33"/>
      <c r="D709" s="46"/>
      <c r="E709" s="46"/>
      <c r="F709" s="33"/>
      <c r="G709" s="46"/>
      <c r="H709" s="46"/>
      <c r="I709" s="45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  <c r="CK709" s="46"/>
      <c r="CL709" s="46"/>
      <c r="CM709" s="46"/>
      <c r="CN709" s="46"/>
      <c r="CO709" s="46"/>
      <c r="CP709" s="46"/>
      <c r="CQ709" s="46"/>
      <c r="CR709" s="46"/>
    </row>
    <row r="710" spans="1:96" ht="16.5">
      <c r="A710" s="46"/>
      <c r="B710" s="46"/>
      <c r="C710" s="33"/>
      <c r="D710" s="46"/>
      <c r="E710" s="46"/>
      <c r="F710" s="33"/>
      <c r="G710" s="46"/>
      <c r="H710" s="46"/>
      <c r="I710" s="45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  <c r="CK710" s="46"/>
      <c r="CL710" s="46"/>
      <c r="CM710" s="46"/>
      <c r="CN710" s="46"/>
      <c r="CO710" s="46"/>
      <c r="CP710" s="46"/>
      <c r="CQ710" s="46"/>
      <c r="CR710" s="46"/>
    </row>
    <row r="711" spans="1:96" ht="16.5">
      <c r="A711" s="46"/>
      <c r="B711" s="46"/>
      <c r="C711" s="33"/>
      <c r="D711" s="46"/>
      <c r="E711" s="46"/>
      <c r="F711" s="33"/>
      <c r="G711" s="46"/>
      <c r="H711" s="46"/>
      <c r="I711" s="45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  <c r="CK711" s="46"/>
      <c r="CL711" s="46"/>
      <c r="CM711" s="46"/>
      <c r="CN711" s="46"/>
      <c r="CO711" s="46"/>
      <c r="CP711" s="46"/>
      <c r="CQ711" s="46"/>
      <c r="CR711" s="46"/>
    </row>
    <row r="712" spans="1:96" ht="16.5">
      <c r="A712" s="46"/>
      <c r="B712" s="46"/>
      <c r="C712" s="33"/>
      <c r="D712" s="46"/>
      <c r="E712" s="46"/>
      <c r="F712" s="33"/>
      <c r="G712" s="46"/>
      <c r="H712" s="46"/>
      <c r="I712" s="45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  <c r="CK712" s="46"/>
      <c r="CL712" s="46"/>
      <c r="CM712" s="46"/>
      <c r="CN712" s="46"/>
      <c r="CO712" s="46"/>
      <c r="CP712" s="46"/>
      <c r="CQ712" s="46"/>
      <c r="CR712" s="46"/>
    </row>
    <row r="713" spans="1:96" ht="16.5">
      <c r="A713" s="46"/>
      <c r="B713" s="46"/>
      <c r="C713" s="33"/>
      <c r="D713" s="46"/>
      <c r="E713" s="46"/>
      <c r="F713" s="33"/>
      <c r="G713" s="46"/>
      <c r="H713" s="46"/>
      <c r="I713" s="45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  <c r="CK713" s="46"/>
      <c r="CL713" s="46"/>
      <c r="CM713" s="46"/>
      <c r="CN713" s="46"/>
      <c r="CO713" s="46"/>
      <c r="CP713" s="46"/>
      <c r="CQ713" s="46"/>
      <c r="CR713" s="46"/>
    </row>
    <row r="714" spans="1:96" ht="16.5">
      <c r="A714" s="46"/>
      <c r="B714" s="46"/>
      <c r="C714" s="33"/>
      <c r="D714" s="46"/>
      <c r="E714" s="46"/>
      <c r="F714" s="33"/>
      <c r="G714" s="46"/>
      <c r="H714" s="46"/>
      <c r="I714" s="45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  <c r="CK714" s="46"/>
      <c r="CL714" s="46"/>
      <c r="CM714" s="46"/>
      <c r="CN714" s="46"/>
      <c r="CO714" s="46"/>
      <c r="CP714" s="46"/>
      <c r="CQ714" s="46"/>
      <c r="CR714" s="46"/>
    </row>
    <row r="715" spans="1:96" ht="16.5">
      <c r="A715" s="46"/>
      <c r="B715" s="46"/>
      <c r="C715" s="33"/>
      <c r="D715" s="46"/>
      <c r="E715" s="46"/>
      <c r="F715" s="33"/>
      <c r="G715" s="46"/>
      <c r="H715" s="46"/>
      <c r="I715" s="45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  <c r="CK715" s="46"/>
      <c r="CL715" s="46"/>
      <c r="CM715" s="46"/>
      <c r="CN715" s="46"/>
      <c r="CO715" s="46"/>
      <c r="CP715" s="46"/>
      <c r="CQ715" s="46"/>
      <c r="CR715" s="46"/>
    </row>
    <row r="716" spans="1:96" ht="16.5">
      <c r="A716" s="46"/>
      <c r="B716" s="46"/>
      <c r="C716" s="33"/>
      <c r="D716" s="46"/>
      <c r="E716" s="46"/>
      <c r="F716" s="33"/>
      <c r="G716" s="46"/>
      <c r="H716" s="46"/>
      <c r="I716" s="45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  <c r="CK716" s="46"/>
      <c r="CL716" s="46"/>
      <c r="CM716" s="46"/>
      <c r="CN716" s="46"/>
      <c r="CO716" s="46"/>
      <c r="CP716" s="46"/>
      <c r="CQ716" s="46"/>
      <c r="CR716" s="46"/>
    </row>
    <row r="717" spans="1:96" ht="16.5">
      <c r="A717" s="46"/>
      <c r="B717" s="46"/>
      <c r="C717" s="33"/>
      <c r="D717" s="46"/>
      <c r="E717" s="46"/>
      <c r="F717" s="33"/>
      <c r="G717" s="46"/>
      <c r="H717" s="46"/>
      <c r="I717" s="45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  <c r="CK717" s="46"/>
      <c r="CL717" s="46"/>
      <c r="CM717" s="46"/>
      <c r="CN717" s="46"/>
      <c r="CO717" s="46"/>
      <c r="CP717" s="46"/>
      <c r="CQ717" s="46"/>
      <c r="CR717" s="46"/>
    </row>
    <row r="718" spans="1:96" ht="16.5">
      <c r="A718" s="46"/>
      <c r="B718" s="46"/>
      <c r="C718" s="33"/>
      <c r="D718" s="46"/>
      <c r="E718" s="46"/>
      <c r="F718" s="33"/>
      <c r="G718" s="46"/>
      <c r="H718" s="46"/>
      <c r="I718" s="45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  <c r="CK718" s="46"/>
      <c r="CL718" s="46"/>
      <c r="CM718" s="46"/>
      <c r="CN718" s="46"/>
      <c r="CO718" s="46"/>
      <c r="CP718" s="46"/>
      <c r="CQ718" s="46"/>
      <c r="CR718" s="46"/>
    </row>
    <row r="719" spans="1:96" ht="16.5">
      <c r="A719" s="46"/>
      <c r="B719" s="46"/>
      <c r="C719" s="33"/>
      <c r="D719" s="46"/>
      <c r="E719" s="46"/>
      <c r="F719" s="33"/>
      <c r="G719" s="46"/>
      <c r="H719" s="46"/>
      <c r="I719" s="45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  <c r="CK719" s="46"/>
      <c r="CL719" s="46"/>
      <c r="CM719" s="46"/>
      <c r="CN719" s="46"/>
      <c r="CO719" s="46"/>
      <c r="CP719" s="46"/>
      <c r="CQ719" s="46"/>
      <c r="CR719" s="46"/>
    </row>
    <row r="720" spans="1:96" ht="16.5">
      <c r="A720" s="46"/>
      <c r="B720" s="46"/>
      <c r="C720" s="33"/>
      <c r="D720" s="46"/>
      <c r="E720" s="46"/>
      <c r="F720" s="33"/>
      <c r="G720" s="46"/>
      <c r="H720" s="46"/>
      <c r="I720" s="45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  <c r="CK720" s="46"/>
      <c r="CL720" s="46"/>
      <c r="CM720" s="46"/>
      <c r="CN720" s="46"/>
      <c r="CO720" s="46"/>
      <c r="CP720" s="46"/>
      <c r="CQ720" s="46"/>
      <c r="CR720" s="46"/>
    </row>
    <row r="721" spans="1:96" ht="16.5">
      <c r="A721" s="46"/>
      <c r="B721" s="46"/>
      <c r="C721" s="33"/>
      <c r="D721" s="46"/>
      <c r="E721" s="46"/>
      <c r="F721" s="33"/>
      <c r="G721" s="46"/>
      <c r="H721" s="46"/>
      <c r="I721" s="45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  <c r="CK721" s="46"/>
      <c r="CL721" s="46"/>
      <c r="CM721" s="46"/>
      <c r="CN721" s="46"/>
      <c r="CO721" s="46"/>
      <c r="CP721" s="46"/>
      <c r="CQ721" s="46"/>
      <c r="CR721" s="46"/>
    </row>
    <row r="722" spans="1:96" ht="16.5">
      <c r="A722" s="46"/>
      <c r="B722" s="46"/>
      <c r="C722" s="33"/>
      <c r="D722" s="46"/>
      <c r="E722" s="46"/>
      <c r="F722" s="33"/>
      <c r="G722" s="46"/>
      <c r="H722" s="46"/>
      <c r="I722" s="45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  <c r="CK722" s="46"/>
      <c r="CL722" s="46"/>
      <c r="CM722" s="46"/>
      <c r="CN722" s="46"/>
      <c r="CO722" s="46"/>
      <c r="CP722" s="46"/>
      <c r="CQ722" s="46"/>
      <c r="CR722" s="46"/>
    </row>
    <row r="723" spans="1:96" ht="16.5">
      <c r="A723" s="46"/>
      <c r="B723" s="46"/>
      <c r="C723" s="33"/>
      <c r="D723" s="46"/>
      <c r="E723" s="46"/>
      <c r="F723" s="33"/>
      <c r="G723" s="46"/>
      <c r="H723" s="46"/>
      <c r="I723" s="45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  <c r="CK723" s="46"/>
      <c r="CL723" s="46"/>
      <c r="CM723" s="46"/>
      <c r="CN723" s="46"/>
      <c r="CO723" s="46"/>
      <c r="CP723" s="46"/>
      <c r="CQ723" s="46"/>
      <c r="CR723" s="46"/>
    </row>
    <row r="724" spans="1:96" ht="16.5">
      <c r="A724" s="46"/>
      <c r="B724" s="46"/>
      <c r="C724" s="33"/>
      <c r="D724" s="46"/>
      <c r="E724" s="46"/>
      <c r="F724" s="33"/>
      <c r="G724" s="46"/>
      <c r="H724" s="46"/>
      <c r="I724" s="45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  <c r="CK724" s="46"/>
      <c r="CL724" s="46"/>
      <c r="CM724" s="46"/>
      <c r="CN724" s="46"/>
      <c r="CO724" s="46"/>
      <c r="CP724" s="46"/>
      <c r="CQ724" s="46"/>
      <c r="CR724" s="46"/>
    </row>
    <row r="725" spans="1:96" ht="16.5">
      <c r="A725" s="46"/>
      <c r="B725" s="46"/>
      <c r="C725" s="33"/>
      <c r="D725" s="46"/>
      <c r="E725" s="46"/>
      <c r="F725" s="33"/>
      <c r="G725" s="46"/>
      <c r="H725" s="46"/>
      <c r="I725" s="45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  <c r="CK725" s="46"/>
      <c r="CL725" s="46"/>
      <c r="CM725" s="46"/>
      <c r="CN725" s="46"/>
      <c r="CO725" s="46"/>
      <c r="CP725" s="46"/>
      <c r="CQ725" s="46"/>
      <c r="CR725" s="46"/>
    </row>
    <row r="726" spans="1:96" ht="16.5">
      <c r="A726" s="46"/>
      <c r="B726" s="46"/>
      <c r="C726" s="33"/>
      <c r="D726" s="46"/>
      <c r="E726" s="46"/>
      <c r="F726" s="33"/>
      <c r="G726" s="46"/>
      <c r="H726" s="46"/>
      <c r="I726" s="45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/>
      <c r="CP726" s="46"/>
      <c r="CQ726" s="46"/>
      <c r="CR726" s="46"/>
    </row>
    <row r="727" spans="1:96" ht="16.5">
      <c r="A727" s="46"/>
      <c r="B727" s="46"/>
      <c r="C727" s="33"/>
      <c r="D727" s="46"/>
      <c r="E727" s="46"/>
      <c r="F727" s="33"/>
      <c r="G727" s="46"/>
      <c r="H727" s="46"/>
      <c r="I727" s="45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</row>
    <row r="728" spans="1:96" ht="16.5">
      <c r="A728" s="46"/>
      <c r="B728" s="46"/>
      <c r="C728" s="33"/>
      <c r="D728" s="46"/>
      <c r="E728" s="46"/>
      <c r="F728" s="33"/>
      <c r="G728" s="46"/>
      <c r="H728" s="46"/>
      <c r="I728" s="45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  <c r="CK728" s="46"/>
      <c r="CL728" s="46"/>
      <c r="CM728" s="46"/>
      <c r="CN728" s="46"/>
      <c r="CO728" s="46"/>
      <c r="CP728" s="46"/>
      <c r="CQ728" s="46"/>
      <c r="CR728" s="46"/>
    </row>
    <row r="729" spans="1:96" ht="16.5">
      <c r="A729" s="46"/>
      <c r="B729" s="46"/>
      <c r="C729" s="33"/>
      <c r="D729" s="46"/>
      <c r="E729" s="46"/>
      <c r="F729" s="33"/>
      <c r="G729" s="46"/>
      <c r="H729" s="46"/>
      <c r="I729" s="45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</row>
    <row r="730" spans="1:96" ht="16.5">
      <c r="A730" s="46"/>
      <c r="B730" s="46"/>
      <c r="C730" s="33"/>
      <c r="D730" s="46"/>
      <c r="E730" s="46"/>
      <c r="F730" s="33"/>
      <c r="G730" s="46"/>
      <c r="H730" s="46"/>
      <c r="I730" s="45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</row>
    <row r="731" spans="1:96" ht="16.5">
      <c r="A731" s="46"/>
      <c r="B731" s="46"/>
      <c r="C731" s="33"/>
      <c r="D731" s="46"/>
      <c r="E731" s="46"/>
      <c r="F731" s="33"/>
      <c r="G731" s="46"/>
      <c r="H731" s="46"/>
      <c r="I731" s="45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</row>
    <row r="732" spans="1:96" ht="16.5">
      <c r="A732" s="46"/>
      <c r="B732" s="46"/>
      <c r="C732" s="33"/>
      <c r="D732" s="46"/>
      <c r="E732" s="46"/>
      <c r="F732" s="33"/>
      <c r="G732" s="46"/>
      <c r="H732" s="46"/>
      <c r="I732" s="45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</row>
    <row r="733" spans="1:96" ht="16.5">
      <c r="A733" s="46"/>
      <c r="B733" s="46"/>
      <c r="C733" s="33"/>
      <c r="D733" s="46"/>
      <c r="E733" s="46"/>
      <c r="F733" s="33"/>
      <c r="G733" s="46"/>
      <c r="H733" s="46"/>
      <c r="I733" s="45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</row>
    <row r="734" spans="1:96" ht="16.5">
      <c r="A734" s="46"/>
      <c r="B734" s="46"/>
      <c r="C734" s="33"/>
      <c r="D734" s="46"/>
      <c r="E734" s="46"/>
      <c r="F734" s="33"/>
      <c r="G734" s="46"/>
      <c r="H734" s="46"/>
      <c r="I734" s="45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</row>
    <row r="735" spans="1:96" ht="16.5">
      <c r="A735" s="46"/>
      <c r="B735" s="46"/>
      <c r="C735" s="33"/>
      <c r="D735" s="46"/>
      <c r="E735" s="46"/>
      <c r="F735" s="33"/>
      <c r="G735" s="46"/>
      <c r="H735" s="46"/>
      <c r="I735" s="45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</row>
    <row r="736" spans="1:96" ht="16.5">
      <c r="A736" s="46"/>
      <c r="B736" s="46"/>
      <c r="C736" s="33"/>
      <c r="D736" s="46"/>
      <c r="E736" s="46"/>
      <c r="F736" s="33"/>
      <c r="G736" s="46"/>
      <c r="H736" s="46"/>
      <c r="I736" s="45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</row>
    <row r="737" spans="1:96" ht="16.5">
      <c r="A737" s="46"/>
      <c r="B737" s="46"/>
      <c r="C737" s="33"/>
      <c r="D737" s="46"/>
      <c r="E737" s="46"/>
      <c r="F737" s="33"/>
      <c r="G737" s="46"/>
      <c r="H737" s="46"/>
      <c r="I737" s="45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</row>
    <row r="738" spans="1:96" ht="16.5">
      <c r="A738" s="46"/>
      <c r="B738" s="46"/>
      <c r="C738" s="33"/>
      <c r="D738" s="46"/>
      <c r="E738" s="46"/>
      <c r="F738" s="33"/>
      <c r="G738" s="46"/>
      <c r="H738" s="46"/>
      <c r="I738" s="45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</row>
    <row r="739" spans="1:96" ht="16.5">
      <c r="A739" s="46"/>
      <c r="B739" s="46"/>
      <c r="C739" s="33"/>
      <c r="D739" s="46"/>
      <c r="E739" s="46"/>
      <c r="F739" s="33"/>
      <c r="G739" s="46"/>
      <c r="H739" s="46"/>
      <c r="I739" s="45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</row>
    <row r="740" spans="1:96" ht="16.5">
      <c r="A740" s="46"/>
      <c r="B740" s="46"/>
      <c r="C740" s="33"/>
      <c r="D740" s="46"/>
      <c r="E740" s="46"/>
      <c r="F740" s="33"/>
      <c r="G740" s="46"/>
      <c r="H740" s="46"/>
      <c r="I740" s="45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  <c r="CK740" s="46"/>
      <c r="CL740" s="46"/>
      <c r="CM740" s="46"/>
      <c r="CN740" s="46"/>
      <c r="CO740" s="46"/>
      <c r="CP740" s="46"/>
      <c r="CQ740" s="46"/>
      <c r="CR740" s="46"/>
    </row>
    <row r="741" spans="1:96" ht="16.5">
      <c r="A741" s="46"/>
      <c r="B741" s="46"/>
      <c r="C741" s="33"/>
      <c r="D741" s="46"/>
      <c r="E741" s="46"/>
      <c r="F741" s="33"/>
      <c r="G741" s="46"/>
      <c r="H741" s="46"/>
      <c r="I741" s="45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  <c r="CK741" s="46"/>
      <c r="CL741" s="46"/>
      <c r="CM741" s="46"/>
      <c r="CN741" s="46"/>
      <c r="CO741" s="46"/>
      <c r="CP741" s="46"/>
      <c r="CQ741" s="46"/>
      <c r="CR741" s="46"/>
    </row>
    <row r="742" spans="1:96" ht="16.5">
      <c r="A742" s="46"/>
      <c r="B742" s="46"/>
      <c r="C742" s="33"/>
      <c r="D742" s="46"/>
      <c r="E742" s="46"/>
      <c r="F742" s="33"/>
      <c r="G742" s="46"/>
      <c r="H742" s="46"/>
      <c r="I742" s="45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  <c r="CK742" s="46"/>
      <c r="CL742" s="46"/>
      <c r="CM742" s="46"/>
      <c r="CN742" s="46"/>
      <c r="CO742" s="46"/>
      <c r="CP742" s="46"/>
      <c r="CQ742" s="46"/>
      <c r="CR742" s="46"/>
    </row>
    <row r="743" spans="1:96" ht="16.5">
      <c r="A743" s="46"/>
      <c r="B743" s="46"/>
      <c r="C743" s="33"/>
      <c r="D743" s="46"/>
      <c r="E743" s="46"/>
      <c r="F743" s="33"/>
      <c r="G743" s="46"/>
      <c r="H743" s="46"/>
      <c r="I743" s="45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  <c r="CK743" s="46"/>
      <c r="CL743" s="46"/>
      <c r="CM743" s="46"/>
      <c r="CN743" s="46"/>
      <c r="CO743" s="46"/>
      <c r="CP743" s="46"/>
      <c r="CQ743" s="46"/>
      <c r="CR743" s="46"/>
    </row>
    <row r="744" spans="1:96" ht="16.5">
      <c r="A744" s="46"/>
      <c r="B744" s="46"/>
      <c r="C744" s="33"/>
      <c r="D744" s="46"/>
      <c r="E744" s="46"/>
      <c r="F744" s="33"/>
      <c r="G744" s="46"/>
      <c r="H744" s="46"/>
      <c r="I744" s="45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  <c r="CK744" s="46"/>
      <c r="CL744" s="46"/>
      <c r="CM744" s="46"/>
      <c r="CN744" s="46"/>
      <c r="CO744" s="46"/>
      <c r="CP744" s="46"/>
      <c r="CQ744" s="46"/>
      <c r="CR744" s="46"/>
    </row>
    <row r="745" spans="1:96" ht="16.5">
      <c r="A745" s="46"/>
      <c r="B745" s="46"/>
      <c r="C745" s="33"/>
      <c r="D745" s="46"/>
      <c r="E745" s="46"/>
      <c r="F745" s="33"/>
      <c r="G745" s="46"/>
      <c r="H745" s="46"/>
      <c r="I745" s="45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  <c r="CK745" s="46"/>
      <c r="CL745" s="46"/>
      <c r="CM745" s="46"/>
      <c r="CN745" s="46"/>
      <c r="CO745" s="46"/>
      <c r="CP745" s="46"/>
      <c r="CQ745" s="46"/>
      <c r="CR745" s="46"/>
    </row>
    <row r="746" spans="1:96" ht="16.5">
      <c r="A746" s="46"/>
      <c r="B746" s="46"/>
      <c r="C746" s="33"/>
      <c r="D746" s="46"/>
      <c r="E746" s="46"/>
      <c r="F746" s="33"/>
      <c r="G746" s="46"/>
      <c r="H746" s="46"/>
      <c r="I746" s="45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  <c r="CK746" s="46"/>
      <c r="CL746" s="46"/>
      <c r="CM746" s="46"/>
      <c r="CN746" s="46"/>
      <c r="CO746" s="46"/>
      <c r="CP746" s="46"/>
      <c r="CQ746" s="46"/>
      <c r="CR746" s="46"/>
    </row>
    <row r="747" spans="1:96" ht="16.5">
      <c r="A747" s="46"/>
      <c r="B747" s="46"/>
      <c r="C747" s="33"/>
      <c r="D747" s="46"/>
      <c r="E747" s="46"/>
      <c r="F747" s="33"/>
      <c r="G747" s="46"/>
      <c r="H747" s="46"/>
      <c r="I747" s="45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  <c r="CK747" s="46"/>
      <c r="CL747" s="46"/>
      <c r="CM747" s="46"/>
      <c r="CN747" s="46"/>
      <c r="CO747" s="46"/>
      <c r="CP747" s="46"/>
      <c r="CQ747" s="46"/>
      <c r="CR747" s="46"/>
    </row>
    <row r="748" spans="1:96" ht="16.5">
      <c r="A748" s="46"/>
      <c r="B748" s="46"/>
      <c r="C748" s="33"/>
      <c r="D748" s="46"/>
      <c r="E748" s="46"/>
      <c r="F748" s="33"/>
      <c r="G748" s="46"/>
      <c r="H748" s="46"/>
      <c r="I748" s="45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  <c r="CK748" s="46"/>
      <c r="CL748" s="46"/>
      <c r="CM748" s="46"/>
      <c r="CN748" s="46"/>
      <c r="CO748" s="46"/>
      <c r="CP748" s="46"/>
      <c r="CQ748" s="46"/>
      <c r="CR748" s="46"/>
    </row>
    <row r="749" spans="1:96" ht="16.5">
      <c r="A749" s="46"/>
      <c r="B749" s="46"/>
      <c r="C749" s="33"/>
      <c r="D749" s="46"/>
      <c r="E749" s="46"/>
      <c r="F749" s="33"/>
      <c r="G749" s="46"/>
      <c r="H749" s="46"/>
      <c r="I749" s="45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  <c r="CK749" s="46"/>
      <c r="CL749" s="46"/>
      <c r="CM749" s="46"/>
      <c r="CN749" s="46"/>
      <c r="CO749" s="46"/>
      <c r="CP749" s="46"/>
      <c r="CQ749" s="46"/>
      <c r="CR749" s="46"/>
    </row>
    <row r="750" spans="1:96" ht="16.5">
      <c r="A750" s="46"/>
      <c r="B750" s="46"/>
      <c r="C750" s="33"/>
      <c r="D750" s="46"/>
      <c r="E750" s="46"/>
      <c r="F750" s="33"/>
      <c r="G750" s="46"/>
      <c r="H750" s="46"/>
      <c r="I750" s="45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  <c r="CK750" s="46"/>
      <c r="CL750" s="46"/>
      <c r="CM750" s="46"/>
      <c r="CN750" s="46"/>
      <c r="CO750" s="46"/>
      <c r="CP750" s="46"/>
      <c r="CQ750" s="46"/>
      <c r="CR750" s="46"/>
    </row>
    <row r="751" spans="1:96" ht="16.5">
      <c r="A751" s="46"/>
      <c r="B751" s="46"/>
      <c r="C751" s="33"/>
      <c r="D751" s="46"/>
      <c r="E751" s="46"/>
      <c r="F751" s="33"/>
      <c r="G751" s="46"/>
      <c r="H751" s="46"/>
      <c r="I751" s="45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  <c r="CK751" s="46"/>
      <c r="CL751" s="46"/>
      <c r="CM751" s="46"/>
      <c r="CN751" s="46"/>
      <c r="CO751" s="46"/>
      <c r="CP751" s="46"/>
      <c r="CQ751" s="46"/>
      <c r="CR751" s="46"/>
    </row>
    <row r="752" spans="1:96" ht="16.5">
      <c r="A752" s="46"/>
      <c r="B752" s="46"/>
      <c r="C752" s="33"/>
      <c r="D752" s="46"/>
      <c r="E752" s="46"/>
      <c r="F752" s="33"/>
      <c r="G752" s="46"/>
      <c r="H752" s="46"/>
      <c r="I752" s="45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  <c r="CK752" s="46"/>
      <c r="CL752" s="46"/>
      <c r="CM752" s="46"/>
      <c r="CN752" s="46"/>
      <c r="CO752" s="46"/>
      <c r="CP752" s="46"/>
      <c r="CQ752" s="46"/>
      <c r="CR752" s="46"/>
    </row>
    <row r="753" spans="1:96" ht="16.5">
      <c r="A753" s="46"/>
      <c r="B753" s="46"/>
      <c r="C753" s="33"/>
      <c r="D753" s="46"/>
      <c r="E753" s="46"/>
      <c r="F753" s="33"/>
      <c r="G753" s="46"/>
      <c r="H753" s="46"/>
      <c r="I753" s="45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  <c r="CK753" s="46"/>
      <c r="CL753" s="46"/>
      <c r="CM753" s="46"/>
      <c r="CN753" s="46"/>
      <c r="CO753" s="46"/>
      <c r="CP753" s="46"/>
      <c r="CQ753" s="46"/>
      <c r="CR753" s="46"/>
    </row>
    <row r="754" spans="1:96" ht="16.5">
      <c r="A754" s="46"/>
      <c r="B754" s="46"/>
      <c r="C754" s="33"/>
      <c r="D754" s="46"/>
      <c r="E754" s="46"/>
      <c r="F754" s="33"/>
      <c r="G754" s="46"/>
      <c r="H754" s="46"/>
      <c r="I754" s="45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  <c r="CK754" s="46"/>
      <c r="CL754" s="46"/>
      <c r="CM754" s="46"/>
      <c r="CN754" s="46"/>
      <c r="CO754" s="46"/>
      <c r="CP754" s="46"/>
      <c r="CQ754" s="46"/>
      <c r="CR754" s="46"/>
    </row>
    <row r="755" spans="1:96" ht="16.5">
      <c r="A755" s="46"/>
      <c r="B755" s="46"/>
      <c r="C755" s="33"/>
      <c r="D755" s="46"/>
      <c r="E755" s="46"/>
      <c r="F755" s="33"/>
      <c r="G755" s="46"/>
      <c r="H755" s="46"/>
      <c r="I755" s="45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  <c r="CK755" s="46"/>
      <c r="CL755" s="46"/>
      <c r="CM755" s="46"/>
      <c r="CN755" s="46"/>
      <c r="CO755" s="46"/>
      <c r="CP755" s="46"/>
      <c r="CQ755" s="46"/>
      <c r="CR755" s="46"/>
    </row>
    <row r="756" spans="1:96" ht="16.5">
      <c r="A756" s="46"/>
      <c r="B756" s="46"/>
      <c r="C756" s="33"/>
      <c r="D756" s="46"/>
      <c r="E756" s="46"/>
      <c r="F756" s="33"/>
      <c r="G756" s="46"/>
      <c r="H756" s="46"/>
      <c r="I756" s="45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  <c r="CK756" s="46"/>
      <c r="CL756" s="46"/>
      <c r="CM756" s="46"/>
      <c r="CN756" s="46"/>
      <c r="CO756" s="46"/>
      <c r="CP756" s="46"/>
      <c r="CQ756" s="46"/>
      <c r="CR756" s="46"/>
    </row>
    <row r="757" spans="1:96" ht="16.5">
      <c r="A757" s="46"/>
      <c r="B757" s="46"/>
      <c r="C757" s="33"/>
      <c r="D757" s="46"/>
      <c r="E757" s="46"/>
      <c r="F757" s="33"/>
      <c r="G757" s="46"/>
      <c r="H757" s="46"/>
      <c r="I757" s="45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  <c r="CK757" s="46"/>
      <c r="CL757" s="46"/>
      <c r="CM757" s="46"/>
      <c r="CN757" s="46"/>
      <c r="CO757" s="46"/>
      <c r="CP757" s="46"/>
      <c r="CQ757" s="46"/>
      <c r="CR757" s="46"/>
    </row>
    <row r="758" spans="1:96" ht="16.5">
      <c r="A758" s="46"/>
      <c r="B758" s="46"/>
      <c r="C758" s="33"/>
      <c r="D758" s="46"/>
      <c r="E758" s="46"/>
      <c r="F758" s="33"/>
      <c r="G758" s="46"/>
      <c r="H758" s="46"/>
      <c r="I758" s="45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  <c r="CK758" s="46"/>
      <c r="CL758" s="46"/>
      <c r="CM758" s="46"/>
      <c r="CN758" s="46"/>
      <c r="CO758" s="46"/>
      <c r="CP758" s="46"/>
      <c r="CQ758" s="46"/>
      <c r="CR758" s="46"/>
    </row>
    <row r="759" spans="1:96" ht="16.5">
      <c r="A759" s="46"/>
      <c r="B759" s="46"/>
      <c r="C759" s="33"/>
      <c r="D759" s="46"/>
      <c r="E759" s="46"/>
      <c r="F759" s="33"/>
      <c r="G759" s="46"/>
      <c r="H759" s="46"/>
      <c r="I759" s="45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  <c r="CK759" s="46"/>
      <c r="CL759" s="46"/>
      <c r="CM759" s="46"/>
      <c r="CN759" s="46"/>
      <c r="CO759" s="46"/>
      <c r="CP759" s="46"/>
      <c r="CQ759" s="46"/>
      <c r="CR759" s="46"/>
    </row>
    <row r="760" spans="1:96" ht="16.5">
      <c r="A760" s="46"/>
      <c r="B760" s="46"/>
      <c r="C760" s="33"/>
      <c r="D760" s="46"/>
      <c r="E760" s="46"/>
      <c r="F760" s="33"/>
      <c r="G760" s="46"/>
      <c r="H760" s="46"/>
      <c r="I760" s="45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  <c r="CK760" s="46"/>
      <c r="CL760" s="46"/>
      <c r="CM760" s="46"/>
      <c r="CN760" s="46"/>
      <c r="CO760" s="46"/>
      <c r="CP760" s="46"/>
      <c r="CQ760" s="46"/>
      <c r="CR760" s="46"/>
    </row>
    <row r="761" spans="1:96" ht="16.5">
      <c r="A761" s="46"/>
      <c r="B761" s="46"/>
      <c r="C761" s="33"/>
      <c r="D761" s="46"/>
      <c r="E761" s="46"/>
      <c r="F761" s="33"/>
      <c r="G761" s="46"/>
      <c r="H761" s="46"/>
      <c r="I761" s="45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  <c r="CK761" s="46"/>
      <c r="CL761" s="46"/>
      <c r="CM761" s="46"/>
      <c r="CN761" s="46"/>
      <c r="CO761" s="46"/>
      <c r="CP761" s="46"/>
      <c r="CQ761" s="46"/>
      <c r="CR761" s="46"/>
    </row>
    <row r="762" spans="1:96" ht="16.5">
      <c r="A762" s="46"/>
      <c r="B762" s="46"/>
      <c r="C762" s="33"/>
      <c r="D762" s="46"/>
      <c r="E762" s="46"/>
      <c r="F762" s="33"/>
      <c r="G762" s="46"/>
      <c r="H762" s="46"/>
      <c r="I762" s="45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  <c r="CK762" s="46"/>
      <c r="CL762" s="46"/>
      <c r="CM762" s="46"/>
      <c r="CN762" s="46"/>
      <c r="CO762" s="46"/>
      <c r="CP762" s="46"/>
      <c r="CQ762" s="46"/>
      <c r="CR762" s="46"/>
    </row>
    <row r="763" spans="1:96" ht="16.5">
      <c r="A763" s="46"/>
      <c r="B763" s="46"/>
      <c r="C763" s="33"/>
      <c r="D763" s="46"/>
      <c r="E763" s="46"/>
      <c r="F763" s="33"/>
      <c r="G763" s="46"/>
      <c r="H763" s="46"/>
      <c r="I763" s="45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  <c r="CK763" s="46"/>
      <c r="CL763" s="46"/>
      <c r="CM763" s="46"/>
      <c r="CN763" s="46"/>
      <c r="CO763" s="46"/>
      <c r="CP763" s="46"/>
      <c r="CQ763" s="46"/>
      <c r="CR763" s="46"/>
    </row>
    <row r="764" spans="1:96" ht="16.5">
      <c r="A764" s="46"/>
      <c r="B764" s="46"/>
      <c r="C764" s="33"/>
      <c r="D764" s="46"/>
      <c r="E764" s="46"/>
      <c r="F764" s="33"/>
      <c r="G764" s="46"/>
      <c r="H764" s="46"/>
      <c r="I764" s="45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  <c r="CK764" s="46"/>
      <c r="CL764" s="46"/>
      <c r="CM764" s="46"/>
      <c r="CN764" s="46"/>
      <c r="CO764" s="46"/>
      <c r="CP764" s="46"/>
      <c r="CQ764" s="46"/>
      <c r="CR764" s="46"/>
    </row>
    <row r="765" spans="1:96" ht="16.5">
      <c r="A765" s="46"/>
      <c r="B765" s="46"/>
      <c r="C765" s="33"/>
      <c r="D765" s="46"/>
      <c r="E765" s="46"/>
      <c r="F765" s="33"/>
      <c r="G765" s="46"/>
      <c r="H765" s="46"/>
      <c r="I765" s="45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  <c r="CK765" s="46"/>
      <c r="CL765" s="46"/>
      <c r="CM765" s="46"/>
      <c r="CN765" s="46"/>
      <c r="CO765" s="46"/>
      <c r="CP765" s="46"/>
      <c r="CQ765" s="46"/>
      <c r="CR765" s="46"/>
    </row>
    <row r="766" spans="1:96" ht="16.5">
      <c r="A766" s="46"/>
      <c r="B766" s="46"/>
      <c r="C766" s="33"/>
      <c r="D766" s="46"/>
      <c r="E766" s="46"/>
      <c r="F766" s="33"/>
      <c r="G766" s="46"/>
      <c r="H766" s="46"/>
      <c r="I766" s="45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/>
      <c r="CP766" s="46"/>
      <c r="CQ766" s="46"/>
      <c r="CR766" s="46"/>
    </row>
    <row r="767" spans="1:96" ht="16.5">
      <c r="A767" s="46"/>
      <c r="B767" s="46"/>
      <c r="C767" s="33"/>
      <c r="D767" s="46"/>
      <c r="E767" s="46"/>
      <c r="F767" s="33"/>
      <c r="G767" s="46"/>
      <c r="H767" s="46"/>
      <c r="I767" s="45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</row>
    <row r="768" spans="1:96" ht="16.5">
      <c r="A768" s="46"/>
      <c r="B768" s="46"/>
      <c r="C768" s="33"/>
      <c r="D768" s="46"/>
      <c r="E768" s="46"/>
      <c r="F768" s="33"/>
      <c r="G768" s="46"/>
      <c r="H768" s="46"/>
      <c r="I768" s="45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  <c r="CK768" s="46"/>
      <c r="CL768" s="46"/>
      <c r="CM768" s="46"/>
      <c r="CN768" s="46"/>
      <c r="CO768" s="46"/>
      <c r="CP768" s="46"/>
      <c r="CQ768" s="46"/>
      <c r="CR768" s="46"/>
    </row>
    <row r="769" spans="1:96" ht="16.5">
      <c r="A769" s="46"/>
      <c r="B769" s="46"/>
      <c r="C769" s="33"/>
      <c r="D769" s="46"/>
      <c r="E769" s="46"/>
      <c r="F769" s="33"/>
      <c r="G769" s="46"/>
      <c r="H769" s="46"/>
      <c r="I769" s="45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</row>
    <row r="770" spans="1:96" ht="16.5">
      <c r="A770" s="46"/>
      <c r="B770" s="46"/>
      <c r="C770" s="33"/>
      <c r="D770" s="46"/>
      <c r="E770" s="46"/>
      <c r="F770" s="33"/>
      <c r="G770" s="46"/>
      <c r="H770" s="46"/>
      <c r="I770" s="45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</row>
    <row r="771" spans="1:96" ht="16.5">
      <c r="A771" s="46"/>
      <c r="B771" s="46"/>
      <c r="C771" s="33"/>
      <c r="D771" s="46"/>
      <c r="E771" s="46"/>
      <c r="F771" s="33"/>
      <c r="G771" s="46"/>
      <c r="H771" s="46"/>
      <c r="I771" s="45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</row>
    <row r="772" spans="1:96" ht="16.5">
      <c r="A772" s="46"/>
      <c r="B772" s="46"/>
      <c r="C772" s="33"/>
      <c r="D772" s="46"/>
      <c r="E772" s="46"/>
      <c r="F772" s="33"/>
      <c r="G772" s="46"/>
      <c r="H772" s="46"/>
      <c r="I772" s="45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</row>
    <row r="773" spans="1:96" ht="16.5">
      <c r="A773" s="46"/>
      <c r="B773" s="46"/>
      <c r="C773" s="33"/>
      <c r="D773" s="46"/>
      <c r="E773" s="46"/>
      <c r="F773" s="33"/>
      <c r="G773" s="46"/>
      <c r="H773" s="46"/>
      <c r="I773" s="45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</row>
    <row r="774" spans="1:96" ht="16.5">
      <c r="A774" s="46"/>
      <c r="B774" s="46"/>
      <c r="C774" s="33"/>
      <c r="D774" s="46"/>
      <c r="E774" s="46"/>
      <c r="F774" s="33"/>
      <c r="G774" s="46"/>
      <c r="H774" s="46"/>
      <c r="I774" s="45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</row>
    <row r="775" spans="1:96" ht="16.5">
      <c r="A775" s="46"/>
      <c r="B775" s="46"/>
      <c r="C775" s="33"/>
      <c r="D775" s="46"/>
      <c r="E775" s="46"/>
      <c r="F775" s="33"/>
      <c r="G775" s="46"/>
      <c r="H775" s="46"/>
      <c r="I775" s="45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</row>
    <row r="776" spans="1:96" ht="16.5">
      <c r="A776" s="46"/>
      <c r="B776" s="46"/>
      <c r="C776" s="33"/>
      <c r="D776" s="46"/>
      <c r="E776" s="46"/>
      <c r="F776" s="33"/>
      <c r="G776" s="46"/>
      <c r="H776" s="46"/>
      <c r="I776" s="45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</row>
    <row r="777" spans="1:96" ht="16.5">
      <c r="A777" s="46"/>
      <c r="B777" s="46"/>
      <c r="C777" s="33"/>
      <c r="D777" s="46"/>
      <c r="E777" s="46"/>
      <c r="F777" s="33"/>
      <c r="G777" s="46"/>
      <c r="H777" s="46"/>
      <c r="I777" s="45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</row>
    <row r="778" spans="1:96" ht="16.5">
      <c r="A778" s="46"/>
      <c r="B778" s="46"/>
      <c r="C778" s="33"/>
      <c r="D778" s="46"/>
      <c r="E778" s="46"/>
      <c r="F778" s="33"/>
      <c r="G778" s="46"/>
      <c r="H778" s="46"/>
      <c r="I778" s="45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</row>
    <row r="779" spans="1:96" ht="16.5">
      <c r="A779" s="46"/>
      <c r="B779" s="46"/>
      <c r="C779" s="33"/>
      <c r="D779" s="46"/>
      <c r="E779" s="46"/>
      <c r="F779" s="33"/>
      <c r="G779" s="46"/>
      <c r="H779" s="46"/>
      <c r="I779" s="45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</row>
    <row r="780" spans="1:96" ht="16.5">
      <c r="A780" s="46"/>
      <c r="B780" s="46"/>
      <c r="C780" s="33"/>
      <c r="D780" s="46"/>
      <c r="E780" s="46"/>
      <c r="F780" s="33"/>
      <c r="G780" s="46"/>
      <c r="H780" s="46"/>
      <c r="I780" s="45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  <c r="CK780" s="46"/>
      <c r="CL780" s="46"/>
      <c r="CM780" s="46"/>
      <c r="CN780" s="46"/>
      <c r="CO780" s="46"/>
      <c r="CP780" s="46"/>
      <c r="CQ780" s="46"/>
      <c r="CR780" s="46"/>
    </row>
    <row r="781" spans="1:96" ht="16.5">
      <c r="A781" s="46"/>
      <c r="B781" s="46"/>
      <c r="C781" s="33"/>
      <c r="D781" s="46"/>
      <c r="E781" s="46"/>
      <c r="F781" s="33"/>
      <c r="G781" s="46"/>
      <c r="H781" s="46"/>
      <c r="I781" s="45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  <c r="CK781" s="46"/>
      <c r="CL781" s="46"/>
      <c r="CM781" s="46"/>
      <c r="CN781" s="46"/>
      <c r="CO781" s="46"/>
      <c r="CP781" s="46"/>
      <c r="CQ781" s="46"/>
      <c r="CR781" s="46"/>
    </row>
    <row r="782" spans="1:96" ht="16.5">
      <c r="A782" s="46"/>
      <c r="B782" s="46"/>
      <c r="C782" s="33"/>
      <c r="D782" s="46"/>
      <c r="E782" s="46"/>
      <c r="F782" s="33"/>
      <c r="G782" s="46"/>
      <c r="H782" s="46"/>
      <c r="I782" s="45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  <c r="CK782" s="46"/>
      <c r="CL782" s="46"/>
      <c r="CM782" s="46"/>
      <c r="CN782" s="46"/>
      <c r="CO782" s="46"/>
      <c r="CP782" s="46"/>
      <c r="CQ782" s="46"/>
      <c r="CR782" s="46"/>
    </row>
    <row r="783" spans="1:96" ht="16.5">
      <c r="A783" s="46"/>
      <c r="B783" s="46"/>
      <c r="C783" s="33"/>
      <c r="D783" s="46"/>
      <c r="E783" s="46"/>
      <c r="F783" s="33"/>
      <c r="G783" s="46"/>
      <c r="H783" s="46"/>
      <c r="I783" s="45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  <c r="CK783" s="46"/>
      <c r="CL783" s="46"/>
      <c r="CM783" s="46"/>
      <c r="CN783" s="46"/>
      <c r="CO783" s="46"/>
      <c r="CP783" s="46"/>
      <c r="CQ783" s="46"/>
      <c r="CR783" s="46"/>
    </row>
    <row r="784" spans="1:96" ht="16.5">
      <c r="A784" s="46"/>
      <c r="B784" s="46"/>
      <c r="C784" s="33"/>
      <c r="D784" s="46"/>
      <c r="E784" s="46"/>
      <c r="F784" s="33"/>
      <c r="G784" s="46"/>
      <c r="H784" s="46"/>
      <c r="I784" s="45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  <c r="CK784" s="46"/>
      <c r="CL784" s="46"/>
      <c r="CM784" s="46"/>
      <c r="CN784" s="46"/>
      <c r="CO784" s="46"/>
      <c r="CP784" s="46"/>
      <c r="CQ784" s="46"/>
      <c r="CR784" s="46"/>
    </row>
    <row r="785" spans="1:96" ht="16.5">
      <c r="A785" s="46"/>
      <c r="B785" s="46"/>
      <c r="C785" s="33"/>
      <c r="D785" s="46"/>
      <c r="E785" s="46"/>
      <c r="F785" s="33"/>
      <c r="G785" s="46"/>
      <c r="H785" s="46"/>
      <c r="I785" s="45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  <c r="CK785" s="46"/>
      <c r="CL785" s="46"/>
      <c r="CM785" s="46"/>
      <c r="CN785" s="46"/>
      <c r="CO785" s="46"/>
      <c r="CP785" s="46"/>
      <c r="CQ785" s="46"/>
      <c r="CR785" s="46"/>
    </row>
    <row r="786" spans="1:96" ht="16.5">
      <c r="A786" s="46"/>
      <c r="B786" s="46"/>
      <c r="C786" s="33"/>
      <c r="D786" s="46"/>
      <c r="E786" s="46"/>
      <c r="F786" s="33"/>
      <c r="G786" s="46"/>
      <c r="H786" s="46"/>
      <c r="I786" s="45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  <c r="CK786" s="46"/>
      <c r="CL786" s="46"/>
      <c r="CM786" s="46"/>
      <c r="CN786" s="46"/>
      <c r="CO786" s="46"/>
      <c r="CP786" s="46"/>
      <c r="CQ786" s="46"/>
      <c r="CR786" s="46"/>
    </row>
    <row r="787" spans="1:96" ht="16.5">
      <c r="A787" s="46"/>
      <c r="B787" s="46"/>
      <c r="C787" s="33"/>
      <c r="D787" s="46"/>
      <c r="E787" s="46"/>
      <c r="F787" s="33"/>
      <c r="G787" s="46"/>
      <c r="H787" s="46"/>
      <c r="I787" s="45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  <c r="CK787" s="46"/>
      <c r="CL787" s="46"/>
      <c r="CM787" s="46"/>
      <c r="CN787" s="46"/>
      <c r="CO787" s="46"/>
      <c r="CP787" s="46"/>
      <c r="CQ787" s="46"/>
      <c r="CR787" s="46"/>
    </row>
    <row r="788" spans="1:96" ht="16.5">
      <c r="A788" s="46"/>
      <c r="B788" s="46"/>
      <c r="C788" s="33"/>
      <c r="D788" s="46"/>
      <c r="E788" s="46"/>
      <c r="F788" s="33"/>
      <c r="G788" s="46"/>
      <c r="H788" s="46"/>
      <c r="I788" s="45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  <c r="CK788" s="46"/>
      <c r="CL788" s="46"/>
      <c r="CM788" s="46"/>
      <c r="CN788" s="46"/>
      <c r="CO788" s="46"/>
      <c r="CP788" s="46"/>
      <c r="CQ788" s="46"/>
      <c r="CR788" s="46"/>
    </row>
    <row r="789" spans="1:96" ht="16.5">
      <c r="A789" s="46"/>
      <c r="B789" s="46"/>
      <c r="C789" s="33"/>
      <c r="D789" s="46"/>
      <c r="E789" s="46"/>
      <c r="F789" s="33"/>
      <c r="G789" s="46"/>
      <c r="H789" s="46"/>
      <c r="I789" s="45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  <c r="CK789" s="46"/>
      <c r="CL789" s="46"/>
      <c r="CM789" s="46"/>
      <c r="CN789" s="46"/>
      <c r="CO789" s="46"/>
      <c r="CP789" s="46"/>
      <c r="CQ789" s="46"/>
      <c r="CR789" s="46"/>
    </row>
    <row r="790" spans="1:96" ht="16.5">
      <c r="A790" s="46"/>
      <c r="B790" s="46"/>
      <c r="C790" s="33"/>
      <c r="D790" s="46"/>
      <c r="E790" s="46"/>
      <c r="F790" s="33"/>
      <c r="G790" s="46"/>
      <c r="H790" s="46"/>
      <c r="I790" s="45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  <c r="CK790" s="46"/>
      <c r="CL790" s="46"/>
      <c r="CM790" s="46"/>
      <c r="CN790" s="46"/>
      <c r="CO790" s="46"/>
      <c r="CP790" s="46"/>
      <c r="CQ790" s="46"/>
      <c r="CR790" s="46"/>
    </row>
    <row r="791" spans="1:96" ht="16.5">
      <c r="A791" s="46"/>
      <c r="B791" s="46"/>
      <c r="C791" s="33"/>
      <c r="D791" s="46"/>
      <c r="E791" s="46"/>
      <c r="F791" s="33"/>
      <c r="G791" s="46"/>
      <c r="H791" s="46"/>
      <c r="I791" s="45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  <c r="CK791" s="46"/>
      <c r="CL791" s="46"/>
      <c r="CM791" s="46"/>
      <c r="CN791" s="46"/>
      <c r="CO791" s="46"/>
      <c r="CP791" s="46"/>
      <c r="CQ791" s="46"/>
      <c r="CR791" s="46"/>
    </row>
    <row r="792" spans="1:96" ht="16.5">
      <c r="A792" s="46"/>
      <c r="B792" s="46"/>
      <c r="C792" s="33"/>
      <c r="D792" s="46"/>
      <c r="E792" s="46"/>
      <c r="F792" s="33"/>
      <c r="G792" s="46"/>
      <c r="H792" s="46"/>
      <c r="I792" s="45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  <c r="CK792" s="46"/>
      <c r="CL792" s="46"/>
      <c r="CM792" s="46"/>
      <c r="CN792" s="46"/>
      <c r="CO792" s="46"/>
      <c r="CP792" s="46"/>
      <c r="CQ792" s="46"/>
      <c r="CR792" s="46"/>
    </row>
    <row r="793" spans="1:96" ht="16.5">
      <c r="A793" s="46"/>
      <c r="B793" s="46"/>
      <c r="C793" s="33"/>
      <c r="D793" s="46"/>
      <c r="E793" s="46"/>
      <c r="F793" s="33"/>
      <c r="G793" s="46"/>
      <c r="H793" s="46"/>
      <c r="I793" s="45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  <c r="CK793" s="46"/>
      <c r="CL793" s="46"/>
      <c r="CM793" s="46"/>
      <c r="CN793" s="46"/>
      <c r="CO793" s="46"/>
      <c r="CP793" s="46"/>
      <c r="CQ793" s="46"/>
      <c r="CR793" s="46"/>
    </row>
    <row r="794" spans="1:96" ht="16.5">
      <c r="A794" s="46"/>
      <c r="B794" s="46"/>
      <c r="C794" s="33"/>
      <c r="D794" s="46"/>
      <c r="E794" s="46"/>
      <c r="F794" s="33"/>
      <c r="G794" s="46"/>
      <c r="H794" s="46"/>
      <c r="I794" s="45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  <c r="CK794" s="46"/>
      <c r="CL794" s="46"/>
      <c r="CM794" s="46"/>
      <c r="CN794" s="46"/>
      <c r="CO794" s="46"/>
      <c r="CP794" s="46"/>
      <c r="CQ794" s="46"/>
      <c r="CR794" s="46"/>
    </row>
    <row r="795" spans="1:96" ht="16.5">
      <c r="A795" s="46"/>
      <c r="B795" s="46"/>
      <c r="C795" s="33"/>
      <c r="D795" s="46"/>
      <c r="E795" s="46"/>
      <c r="F795" s="33"/>
      <c r="G795" s="46"/>
      <c r="H795" s="46"/>
      <c r="I795" s="45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  <c r="CK795" s="46"/>
      <c r="CL795" s="46"/>
      <c r="CM795" s="46"/>
      <c r="CN795" s="46"/>
      <c r="CO795" s="46"/>
      <c r="CP795" s="46"/>
      <c r="CQ795" s="46"/>
      <c r="CR795" s="46"/>
    </row>
    <row r="796" spans="1:96" ht="16.5">
      <c r="A796" s="46"/>
      <c r="B796" s="46"/>
      <c r="C796" s="33"/>
      <c r="D796" s="46"/>
      <c r="E796" s="46"/>
      <c r="F796" s="33"/>
      <c r="G796" s="46"/>
      <c r="H796" s="46"/>
      <c r="I796" s="45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  <c r="CK796" s="46"/>
      <c r="CL796" s="46"/>
      <c r="CM796" s="46"/>
      <c r="CN796" s="46"/>
      <c r="CO796" s="46"/>
      <c r="CP796" s="46"/>
      <c r="CQ796" s="46"/>
      <c r="CR796" s="46"/>
    </row>
    <row r="797" spans="1:96" ht="16.5">
      <c r="A797" s="46"/>
      <c r="B797" s="46"/>
      <c r="C797" s="33"/>
      <c r="D797" s="46"/>
      <c r="E797" s="46"/>
      <c r="F797" s="33"/>
      <c r="G797" s="46"/>
      <c r="H797" s="46"/>
      <c r="I797" s="45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  <c r="CM797" s="46"/>
      <c r="CN797" s="46"/>
      <c r="CO797" s="46"/>
      <c r="CP797" s="46"/>
      <c r="CQ797" s="46"/>
      <c r="CR797" s="46"/>
    </row>
    <row r="798" spans="1:96" ht="16.5">
      <c r="A798" s="46"/>
      <c r="B798" s="46"/>
      <c r="C798" s="33"/>
      <c r="D798" s="46"/>
      <c r="E798" s="46"/>
      <c r="F798" s="33"/>
      <c r="G798" s="46"/>
      <c r="H798" s="46"/>
      <c r="I798" s="45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  <c r="CK798" s="46"/>
      <c r="CL798" s="46"/>
      <c r="CM798" s="46"/>
      <c r="CN798" s="46"/>
      <c r="CO798" s="46"/>
      <c r="CP798" s="46"/>
      <c r="CQ798" s="46"/>
      <c r="CR798" s="46"/>
    </row>
    <row r="799" spans="1:96" ht="16.5">
      <c r="A799" s="46"/>
      <c r="B799" s="46"/>
      <c r="C799" s="33"/>
      <c r="D799" s="46"/>
      <c r="E799" s="46"/>
      <c r="F799" s="33"/>
      <c r="G799" s="46"/>
      <c r="H799" s="46"/>
      <c r="I799" s="45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  <c r="CK799" s="46"/>
      <c r="CL799" s="46"/>
      <c r="CM799" s="46"/>
      <c r="CN799" s="46"/>
      <c r="CO799" s="46"/>
      <c r="CP799" s="46"/>
      <c r="CQ799" s="46"/>
      <c r="CR799" s="46"/>
    </row>
    <row r="800" spans="1:96" ht="16.5">
      <c r="A800" s="46"/>
      <c r="B800" s="46"/>
      <c r="C800" s="33"/>
      <c r="D800" s="46"/>
      <c r="E800" s="46"/>
      <c r="F800" s="33"/>
      <c r="G800" s="46"/>
      <c r="H800" s="46"/>
      <c r="I800" s="45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  <c r="CK800" s="46"/>
      <c r="CL800" s="46"/>
      <c r="CM800" s="46"/>
      <c r="CN800" s="46"/>
      <c r="CO800" s="46"/>
      <c r="CP800" s="46"/>
      <c r="CQ800" s="46"/>
      <c r="CR800" s="46"/>
    </row>
    <row r="801" spans="1:96" ht="16.5">
      <c r="A801" s="46"/>
      <c r="B801" s="46"/>
      <c r="C801" s="33"/>
      <c r="D801" s="46"/>
      <c r="E801" s="46"/>
      <c r="F801" s="33"/>
      <c r="G801" s="46"/>
      <c r="H801" s="46"/>
      <c r="I801" s="45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  <c r="CK801" s="46"/>
      <c r="CL801" s="46"/>
      <c r="CM801" s="46"/>
      <c r="CN801" s="46"/>
      <c r="CO801" s="46"/>
      <c r="CP801" s="46"/>
      <c r="CQ801" s="46"/>
      <c r="CR801" s="46"/>
    </row>
    <row r="802" spans="1:96" ht="16.5">
      <c r="A802" s="46"/>
      <c r="B802" s="46"/>
      <c r="C802" s="33"/>
      <c r="D802" s="46"/>
      <c r="E802" s="46"/>
      <c r="F802" s="33"/>
      <c r="G802" s="46"/>
      <c r="H802" s="46"/>
      <c r="I802" s="45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  <c r="CK802" s="46"/>
      <c r="CL802" s="46"/>
      <c r="CM802" s="46"/>
      <c r="CN802" s="46"/>
      <c r="CO802" s="46"/>
      <c r="CP802" s="46"/>
      <c r="CQ802" s="46"/>
      <c r="CR802" s="46"/>
    </row>
    <row r="803" spans="1:96" ht="16.5">
      <c r="A803" s="46"/>
      <c r="B803" s="46"/>
      <c r="C803" s="33"/>
      <c r="D803" s="46"/>
      <c r="E803" s="46"/>
      <c r="F803" s="33"/>
      <c r="G803" s="46"/>
      <c r="H803" s="46"/>
      <c r="I803" s="45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  <c r="CK803" s="46"/>
      <c r="CL803" s="46"/>
      <c r="CM803" s="46"/>
      <c r="CN803" s="46"/>
      <c r="CO803" s="46"/>
      <c r="CP803" s="46"/>
      <c r="CQ803" s="46"/>
      <c r="CR803" s="46"/>
    </row>
    <row r="804" spans="1:96" ht="16.5">
      <c r="A804" s="46"/>
      <c r="B804" s="46"/>
      <c r="C804" s="33"/>
      <c r="D804" s="46"/>
      <c r="E804" s="46"/>
      <c r="F804" s="33"/>
      <c r="G804" s="46"/>
      <c r="H804" s="46"/>
      <c r="I804" s="45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  <c r="CK804" s="46"/>
      <c r="CL804" s="46"/>
      <c r="CM804" s="46"/>
      <c r="CN804" s="46"/>
      <c r="CO804" s="46"/>
      <c r="CP804" s="46"/>
      <c r="CQ804" s="46"/>
      <c r="CR804" s="46"/>
    </row>
    <row r="805" spans="1:96" ht="16.5">
      <c r="A805" s="46"/>
      <c r="B805" s="46"/>
      <c r="C805" s="33"/>
      <c r="D805" s="46"/>
      <c r="E805" s="46"/>
      <c r="F805" s="33"/>
      <c r="G805" s="46"/>
      <c r="H805" s="46"/>
      <c r="I805" s="45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  <c r="CK805" s="46"/>
      <c r="CL805" s="46"/>
      <c r="CM805" s="46"/>
      <c r="CN805" s="46"/>
      <c r="CO805" s="46"/>
      <c r="CP805" s="46"/>
      <c r="CQ805" s="46"/>
      <c r="CR805" s="46"/>
    </row>
    <row r="806" spans="1:96" ht="16.5">
      <c r="A806" s="46"/>
      <c r="B806" s="46"/>
      <c r="C806" s="33"/>
      <c r="D806" s="46"/>
      <c r="E806" s="46"/>
      <c r="F806" s="33"/>
      <c r="G806" s="46"/>
      <c r="H806" s="46"/>
      <c r="I806" s="45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/>
      <c r="CP806" s="46"/>
      <c r="CQ806" s="46"/>
      <c r="CR806" s="46"/>
    </row>
    <row r="807" spans="1:96" ht="16.5">
      <c r="A807" s="46"/>
      <c r="B807" s="46"/>
      <c r="C807" s="33"/>
      <c r="D807" s="46"/>
      <c r="E807" s="46"/>
      <c r="F807" s="33"/>
      <c r="G807" s="46"/>
      <c r="H807" s="46"/>
      <c r="I807" s="45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</row>
    <row r="808" spans="1:96" ht="16.5">
      <c r="A808" s="46"/>
      <c r="B808" s="46"/>
      <c r="C808" s="33"/>
      <c r="D808" s="46"/>
      <c r="E808" s="46"/>
      <c r="F808" s="33"/>
      <c r="G808" s="46"/>
      <c r="H808" s="46"/>
      <c r="I808" s="45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  <c r="CK808" s="46"/>
      <c r="CL808" s="46"/>
      <c r="CM808" s="46"/>
      <c r="CN808" s="46"/>
      <c r="CO808" s="46"/>
      <c r="CP808" s="46"/>
      <c r="CQ808" s="46"/>
      <c r="CR808" s="46"/>
    </row>
    <row r="809" spans="1:96" ht="16.5">
      <c r="A809" s="46"/>
      <c r="B809" s="46"/>
      <c r="C809" s="33"/>
      <c r="D809" s="46"/>
      <c r="E809" s="46"/>
      <c r="F809" s="33"/>
      <c r="G809" s="46"/>
      <c r="H809" s="46"/>
      <c r="I809" s="45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</row>
    <row r="810" spans="1:96" ht="16.5">
      <c r="A810" s="46"/>
      <c r="B810" s="46"/>
      <c r="C810" s="33"/>
      <c r="D810" s="46"/>
      <c r="E810" s="46"/>
      <c r="F810" s="33"/>
      <c r="G810" s="46"/>
      <c r="H810" s="46"/>
      <c r="I810" s="45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</row>
    <row r="811" spans="1:96" ht="16.5">
      <c r="A811" s="46"/>
      <c r="B811" s="46"/>
      <c r="C811" s="33"/>
      <c r="D811" s="46"/>
      <c r="E811" s="46"/>
      <c r="F811" s="33"/>
      <c r="G811" s="46"/>
      <c r="H811" s="46"/>
      <c r="I811" s="45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</row>
    <row r="812" spans="1:96" ht="16.5">
      <c r="A812" s="46"/>
      <c r="B812" s="46"/>
      <c r="C812" s="33"/>
      <c r="D812" s="46"/>
      <c r="E812" s="46"/>
      <c r="F812" s="33"/>
      <c r="G812" s="46"/>
      <c r="H812" s="46"/>
      <c r="I812" s="45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</row>
    <row r="813" spans="1:96" ht="16.5">
      <c r="A813" s="46"/>
      <c r="B813" s="46"/>
      <c r="C813" s="33"/>
      <c r="D813" s="46"/>
      <c r="E813" s="46"/>
      <c r="F813" s="33"/>
      <c r="G813" s="46"/>
      <c r="H813" s="46"/>
      <c r="I813" s="45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</row>
    <row r="814" spans="1:96" ht="16.5">
      <c r="A814" s="46"/>
      <c r="B814" s="46"/>
      <c r="C814" s="33"/>
      <c r="D814" s="46"/>
      <c r="E814" s="46"/>
      <c r="F814" s="33"/>
      <c r="G814" s="46"/>
      <c r="H814" s="46"/>
      <c r="I814" s="45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</row>
    <row r="815" spans="1:96" ht="16.5">
      <c r="A815" s="46"/>
      <c r="B815" s="46"/>
      <c r="C815" s="33"/>
      <c r="D815" s="46"/>
      <c r="E815" s="46"/>
      <c r="F815" s="33"/>
      <c r="G815" s="46"/>
      <c r="H815" s="46"/>
      <c r="I815" s="45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</row>
    <row r="816" spans="1:96" ht="16.5">
      <c r="A816" s="46"/>
      <c r="B816" s="46"/>
      <c r="C816" s="33"/>
      <c r="D816" s="46"/>
      <c r="E816" s="46"/>
      <c r="F816" s="33"/>
      <c r="G816" s="46"/>
      <c r="H816" s="46"/>
      <c r="I816" s="45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</row>
    <row r="817" spans="1:96" ht="16.5">
      <c r="A817" s="46"/>
      <c r="B817" s="46"/>
      <c r="C817" s="33"/>
      <c r="D817" s="46"/>
      <c r="E817" s="46"/>
      <c r="F817" s="33"/>
      <c r="G817" s="46"/>
      <c r="H817" s="46"/>
      <c r="I817" s="45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</row>
    <row r="818" spans="1:96" ht="16.5">
      <c r="A818" s="46"/>
      <c r="B818" s="46"/>
      <c r="C818" s="33"/>
      <c r="D818" s="46"/>
      <c r="E818" s="46"/>
      <c r="F818" s="33"/>
      <c r="G818" s="46"/>
      <c r="H818" s="46"/>
      <c r="I818" s="45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</row>
    <row r="819" spans="1:96" ht="16.5">
      <c r="A819" s="46"/>
      <c r="B819" s="46"/>
      <c r="C819" s="33"/>
      <c r="D819" s="46"/>
      <c r="E819" s="46"/>
      <c r="F819" s="33"/>
      <c r="G819" s="46"/>
      <c r="H819" s="46"/>
      <c r="I819" s="45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</row>
    <row r="820" spans="1:96" ht="16.5">
      <c r="A820" s="46"/>
      <c r="B820" s="46"/>
      <c r="C820" s="33"/>
      <c r="D820" s="46"/>
      <c r="E820" s="46"/>
      <c r="F820" s="33"/>
      <c r="G820" s="46"/>
      <c r="H820" s="46"/>
      <c r="I820" s="45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  <c r="CK820" s="46"/>
      <c r="CL820" s="46"/>
      <c r="CM820" s="46"/>
      <c r="CN820" s="46"/>
      <c r="CO820" s="46"/>
      <c r="CP820" s="46"/>
      <c r="CQ820" s="46"/>
      <c r="CR820" s="46"/>
    </row>
    <row r="821" spans="1:96" ht="16.5">
      <c r="A821" s="46"/>
      <c r="B821" s="46"/>
      <c r="C821" s="33"/>
      <c r="D821" s="46"/>
      <c r="E821" s="46"/>
      <c r="F821" s="33"/>
      <c r="G821" s="46"/>
      <c r="H821" s="46"/>
      <c r="I821" s="45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  <c r="CK821" s="46"/>
      <c r="CL821" s="46"/>
      <c r="CM821" s="46"/>
      <c r="CN821" s="46"/>
      <c r="CO821" s="46"/>
      <c r="CP821" s="46"/>
      <c r="CQ821" s="46"/>
      <c r="CR821" s="46"/>
    </row>
    <row r="822" spans="1:96" ht="16.5">
      <c r="A822" s="46"/>
      <c r="B822" s="46"/>
      <c r="C822" s="33"/>
      <c r="D822" s="46"/>
      <c r="E822" s="46"/>
      <c r="F822" s="33"/>
      <c r="G822" s="46"/>
      <c r="H822" s="46"/>
      <c r="I822" s="45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  <c r="CK822" s="46"/>
      <c r="CL822" s="46"/>
      <c r="CM822" s="46"/>
      <c r="CN822" s="46"/>
      <c r="CO822" s="46"/>
      <c r="CP822" s="46"/>
      <c r="CQ822" s="46"/>
      <c r="CR822" s="46"/>
    </row>
    <row r="823" spans="1:96" ht="16.5">
      <c r="A823" s="46"/>
      <c r="B823" s="46"/>
      <c r="C823" s="33"/>
      <c r="D823" s="46"/>
      <c r="E823" s="46"/>
      <c r="F823" s="33"/>
      <c r="G823" s="46"/>
      <c r="H823" s="46"/>
      <c r="I823" s="45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  <c r="CK823" s="46"/>
      <c r="CL823" s="46"/>
      <c r="CM823" s="46"/>
      <c r="CN823" s="46"/>
      <c r="CO823" s="46"/>
      <c r="CP823" s="46"/>
      <c r="CQ823" s="46"/>
      <c r="CR823" s="46"/>
    </row>
    <row r="824" spans="1:96" ht="16.5">
      <c r="A824" s="46"/>
      <c r="B824" s="46"/>
      <c r="C824" s="33"/>
      <c r="D824" s="46"/>
      <c r="E824" s="46"/>
      <c r="F824" s="33"/>
      <c r="G824" s="46"/>
      <c r="H824" s="46"/>
      <c r="I824" s="45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  <c r="CK824" s="46"/>
      <c r="CL824" s="46"/>
      <c r="CM824" s="46"/>
      <c r="CN824" s="46"/>
      <c r="CO824" s="46"/>
      <c r="CP824" s="46"/>
      <c r="CQ824" s="46"/>
      <c r="CR824" s="46"/>
    </row>
    <row r="825" spans="1:96" ht="16.5">
      <c r="A825" s="46"/>
      <c r="B825" s="46"/>
      <c r="C825" s="33"/>
      <c r="D825" s="46"/>
      <c r="E825" s="46"/>
      <c r="F825" s="33"/>
      <c r="G825" s="46"/>
      <c r="H825" s="46"/>
      <c r="I825" s="45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  <c r="CK825" s="46"/>
      <c r="CL825" s="46"/>
      <c r="CM825" s="46"/>
      <c r="CN825" s="46"/>
      <c r="CO825" s="46"/>
      <c r="CP825" s="46"/>
      <c r="CQ825" s="46"/>
      <c r="CR825" s="46"/>
    </row>
    <row r="826" spans="1:96" ht="16.5">
      <c r="A826" s="46"/>
      <c r="B826" s="46"/>
      <c r="C826" s="33"/>
      <c r="D826" s="46"/>
      <c r="E826" s="46"/>
      <c r="F826" s="33"/>
      <c r="G826" s="46"/>
      <c r="H826" s="46"/>
      <c r="I826" s="45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  <c r="CK826" s="46"/>
      <c r="CL826" s="46"/>
      <c r="CM826" s="46"/>
      <c r="CN826" s="46"/>
      <c r="CO826" s="46"/>
      <c r="CP826" s="46"/>
      <c r="CQ826" s="46"/>
      <c r="CR826" s="46"/>
    </row>
    <row r="827" spans="1:96" ht="16.5">
      <c r="A827" s="46"/>
      <c r="B827" s="46"/>
      <c r="C827" s="33"/>
      <c r="D827" s="46"/>
      <c r="E827" s="46"/>
      <c r="F827" s="33"/>
      <c r="G827" s="46"/>
      <c r="H827" s="46"/>
      <c r="I827" s="45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  <c r="CK827" s="46"/>
      <c r="CL827" s="46"/>
      <c r="CM827" s="46"/>
      <c r="CN827" s="46"/>
      <c r="CO827" s="46"/>
      <c r="CP827" s="46"/>
      <c r="CQ827" s="46"/>
      <c r="CR827" s="46"/>
    </row>
    <row r="828" spans="1:96" ht="16.5">
      <c r="A828" s="46"/>
      <c r="B828" s="46"/>
      <c r="C828" s="33"/>
      <c r="D828" s="46"/>
      <c r="E828" s="46"/>
      <c r="F828" s="33"/>
      <c r="G828" s="46"/>
      <c r="H828" s="46"/>
      <c r="I828" s="45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  <c r="CK828" s="46"/>
      <c r="CL828" s="46"/>
      <c r="CM828" s="46"/>
      <c r="CN828" s="46"/>
      <c r="CO828" s="46"/>
      <c r="CP828" s="46"/>
      <c r="CQ828" s="46"/>
      <c r="CR828" s="46"/>
    </row>
    <row r="829" spans="1:96" ht="16.5">
      <c r="A829" s="46"/>
      <c r="B829" s="46"/>
      <c r="C829" s="33"/>
      <c r="D829" s="46"/>
      <c r="E829" s="46"/>
      <c r="F829" s="33"/>
      <c r="G829" s="46"/>
      <c r="H829" s="46"/>
      <c r="I829" s="45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  <c r="CK829" s="46"/>
      <c r="CL829" s="46"/>
      <c r="CM829" s="46"/>
      <c r="CN829" s="46"/>
      <c r="CO829" s="46"/>
      <c r="CP829" s="46"/>
      <c r="CQ829" s="46"/>
      <c r="CR829" s="46"/>
    </row>
    <row r="830" spans="1:96" ht="16.5">
      <c r="A830" s="46"/>
      <c r="B830" s="46"/>
      <c r="C830" s="33"/>
      <c r="D830" s="46"/>
      <c r="E830" s="46"/>
      <c r="F830" s="33"/>
      <c r="G830" s="46"/>
      <c r="H830" s="46"/>
      <c r="I830" s="45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  <c r="CK830" s="46"/>
      <c r="CL830" s="46"/>
      <c r="CM830" s="46"/>
      <c r="CN830" s="46"/>
      <c r="CO830" s="46"/>
      <c r="CP830" s="46"/>
      <c r="CQ830" s="46"/>
      <c r="CR830" s="46"/>
    </row>
    <row r="831" spans="1:96" ht="16.5">
      <c r="A831" s="46"/>
      <c r="B831" s="46"/>
      <c r="C831" s="33"/>
      <c r="D831" s="46"/>
      <c r="E831" s="46"/>
      <c r="F831" s="33"/>
      <c r="G831" s="46"/>
      <c r="H831" s="46"/>
      <c r="I831" s="45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  <c r="CK831" s="46"/>
      <c r="CL831" s="46"/>
      <c r="CM831" s="46"/>
      <c r="CN831" s="46"/>
      <c r="CO831" s="46"/>
      <c r="CP831" s="46"/>
      <c r="CQ831" s="46"/>
      <c r="CR831" s="46"/>
    </row>
    <row r="832" spans="1:96" ht="16.5">
      <c r="A832" s="46"/>
      <c r="B832" s="46"/>
      <c r="C832" s="33"/>
      <c r="D832" s="46"/>
      <c r="E832" s="46"/>
      <c r="F832" s="33"/>
      <c r="G832" s="46"/>
      <c r="H832" s="46"/>
      <c r="I832" s="45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  <c r="CK832" s="46"/>
      <c r="CL832" s="46"/>
      <c r="CM832" s="46"/>
      <c r="CN832" s="46"/>
      <c r="CO832" s="46"/>
      <c r="CP832" s="46"/>
      <c r="CQ832" s="46"/>
      <c r="CR832" s="46"/>
    </row>
    <row r="833" spans="1:96" ht="16.5">
      <c r="A833" s="46"/>
      <c r="B833" s="46"/>
      <c r="C833" s="33"/>
      <c r="D833" s="46"/>
      <c r="E833" s="46"/>
      <c r="F833" s="33"/>
      <c r="G833" s="46"/>
      <c r="H833" s="46"/>
      <c r="I833" s="45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  <c r="CK833" s="46"/>
      <c r="CL833" s="46"/>
      <c r="CM833" s="46"/>
      <c r="CN833" s="46"/>
      <c r="CO833" s="46"/>
      <c r="CP833" s="46"/>
      <c r="CQ833" s="46"/>
      <c r="CR833" s="46"/>
    </row>
    <row r="834" spans="1:96" ht="16.5">
      <c r="A834" s="46"/>
      <c r="B834" s="46"/>
      <c r="C834" s="33"/>
      <c r="D834" s="46"/>
      <c r="E834" s="46"/>
      <c r="F834" s="33"/>
      <c r="G834" s="46"/>
      <c r="H834" s="46"/>
      <c r="I834" s="45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  <c r="CK834" s="46"/>
      <c r="CL834" s="46"/>
      <c r="CM834" s="46"/>
      <c r="CN834" s="46"/>
      <c r="CO834" s="46"/>
      <c r="CP834" s="46"/>
      <c r="CQ834" s="46"/>
      <c r="CR834" s="46"/>
    </row>
    <row r="835" spans="1:96" ht="16.5">
      <c r="A835" s="46"/>
      <c r="B835" s="46"/>
      <c r="C835" s="33"/>
      <c r="D835" s="46"/>
      <c r="E835" s="46"/>
      <c r="F835" s="33"/>
      <c r="G835" s="46"/>
      <c r="H835" s="46"/>
      <c r="I835" s="45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  <c r="CK835" s="46"/>
      <c r="CL835" s="46"/>
      <c r="CM835" s="46"/>
      <c r="CN835" s="46"/>
      <c r="CO835" s="46"/>
      <c r="CP835" s="46"/>
      <c r="CQ835" s="46"/>
      <c r="CR835" s="46"/>
    </row>
    <row r="836" spans="1:96" ht="16.5">
      <c r="A836" s="46"/>
      <c r="B836" s="46"/>
      <c r="C836" s="33"/>
      <c r="D836" s="46"/>
      <c r="E836" s="46"/>
      <c r="F836" s="33"/>
      <c r="G836" s="46"/>
      <c r="H836" s="46"/>
      <c r="I836" s="45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  <c r="CK836" s="46"/>
      <c r="CL836" s="46"/>
      <c r="CM836" s="46"/>
      <c r="CN836" s="46"/>
      <c r="CO836" s="46"/>
      <c r="CP836" s="46"/>
      <c r="CQ836" s="46"/>
      <c r="CR836" s="46"/>
    </row>
    <row r="837" spans="1:96" ht="16.5">
      <c r="A837" s="46"/>
      <c r="B837" s="46"/>
      <c r="C837" s="33"/>
      <c r="D837" s="46"/>
      <c r="E837" s="46"/>
      <c r="F837" s="33"/>
      <c r="G837" s="46"/>
      <c r="H837" s="46"/>
      <c r="I837" s="45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  <c r="CK837" s="46"/>
      <c r="CL837" s="46"/>
      <c r="CM837" s="46"/>
      <c r="CN837" s="46"/>
      <c r="CO837" s="46"/>
      <c r="CP837" s="46"/>
      <c r="CQ837" s="46"/>
      <c r="CR837" s="46"/>
    </row>
    <row r="838" spans="1:96" ht="16.5">
      <c r="A838" s="46"/>
      <c r="B838" s="46"/>
      <c r="C838" s="33"/>
      <c r="D838" s="46"/>
      <c r="E838" s="46"/>
      <c r="F838" s="33"/>
      <c r="G838" s="46"/>
      <c r="H838" s="46"/>
      <c r="I838" s="45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  <c r="CK838" s="46"/>
      <c r="CL838" s="46"/>
      <c r="CM838" s="46"/>
      <c r="CN838" s="46"/>
      <c r="CO838" s="46"/>
      <c r="CP838" s="46"/>
      <c r="CQ838" s="46"/>
      <c r="CR838" s="46"/>
    </row>
    <row r="839" spans="1:96" ht="16.5">
      <c r="A839" s="46"/>
      <c r="B839" s="46"/>
      <c r="C839" s="33"/>
      <c r="D839" s="46"/>
      <c r="E839" s="46"/>
      <c r="F839" s="33"/>
      <c r="G839" s="46"/>
      <c r="H839" s="46"/>
      <c r="I839" s="45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  <c r="CK839" s="46"/>
      <c r="CL839" s="46"/>
      <c r="CM839" s="46"/>
      <c r="CN839" s="46"/>
      <c r="CO839" s="46"/>
      <c r="CP839" s="46"/>
      <c r="CQ839" s="46"/>
      <c r="CR839" s="46"/>
    </row>
    <row r="840" spans="1:96" ht="16.5">
      <c r="A840" s="46"/>
      <c r="B840" s="46"/>
      <c r="C840" s="33"/>
      <c r="D840" s="46"/>
      <c r="E840" s="46"/>
      <c r="F840" s="33"/>
      <c r="G840" s="46"/>
      <c r="H840" s="46"/>
      <c r="I840" s="45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  <c r="CK840" s="46"/>
      <c r="CL840" s="46"/>
      <c r="CM840" s="46"/>
      <c r="CN840" s="46"/>
      <c r="CO840" s="46"/>
      <c r="CP840" s="46"/>
      <c r="CQ840" s="46"/>
      <c r="CR840" s="46"/>
    </row>
    <row r="841" spans="1:96" ht="16.5">
      <c r="A841" s="46"/>
      <c r="B841" s="46"/>
      <c r="C841" s="33"/>
      <c r="D841" s="46"/>
      <c r="E841" s="46"/>
      <c r="F841" s="33"/>
      <c r="G841" s="46"/>
      <c r="H841" s="46"/>
      <c r="I841" s="45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  <c r="CK841" s="46"/>
      <c r="CL841" s="46"/>
      <c r="CM841" s="46"/>
      <c r="CN841" s="46"/>
      <c r="CO841" s="46"/>
      <c r="CP841" s="46"/>
      <c r="CQ841" s="46"/>
      <c r="CR841" s="46"/>
    </row>
    <row r="842" spans="1:96" ht="16.5">
      <c r="A842" s="46"/>
      <c r="B842" s="46"/>
      <c r="C842" s="33"/>
      <c r="D842" s="46"/>
      <c r="E842" s="46"/>
      <c r="F842" s="33"/>
      <c r="G842" s="46"/>
      <c r="H842" s="46"/>
      <c r="I842" s="45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  <c r="CK842" s="46"/>
      <c r="CL842" s="46"/>
      <c r="CM842" s="46"/>
      <c r="CN842" s="46"/>
      <c r="CO842" s="46"/>
      <c r="CP842" s="46"/>
      <c r="CQ842" s="46"/>
      <c r="CR842" s="46"/>
    </row>
    <row r="843" spans="1:96" ht="16.5">
      <c r="A843" s="46"/>
      <c r="B843" s="46"/>
      <c r="C843" s="33"/>
      <c r="D843" s="46"/>
      <c r="E843" s="46"/>
      <c r="F843" s="33"/>
      <c r="G843" s="46"/>
      <c r="H843" s="46"/>
      <c r="I843" s="45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  <c r="CK843" s="46"/>
      <c r="CL843" s="46"/>
      <c r="CM843" s="46"/>
      <c r="CN843" s="46"/>
      <c r="CO843" s="46"/>
      <c r="CP843" s="46"/>
      <c r="CQ843" s="46"/>
      <c r="CR843" s="46"/>
    </row>
    <row r="844" spans="1:96" ht="16.5">
      <c r="A844" s="46"/>
      <c r="B844" s="46"/>
      <c r="C844" s="33"/>
      <c r="D844" s="46"/>
      <c r="E844" s="46"/>
      <c r="F844" s="33"/>
      <c r="G844" s="46"/>
      <c r="H844" s="46"/>
      <c r="I844" s="45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  <c r="CK844" s="46"/>
      <c r="CL844" s="46"/>
      <c r="CM844" s="46"/>
      <c r="CN844" s="46"/>
      <c r="CO844" s="46"/>
      <c r="CP844" s="46"/>
      <c r="CQ844" s="46"/>
      <c r="CR844" s="46"/>
    </row>
    <row r="845" spans="1:96" ht="16.5">
      <c r="A845" s="46"/>
      <c r="B845" s="46"/>
      <c r="C845" s="33"/>
      <c r="D845" s="46"/>
      <c r="E845" s="46"/>
      <c r="F845" s="33"/>
      <c r="G845" s="46"/>
      <c r="H845" s="46"/>
      <c r="I845" s="45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  <c r="CK845" s="46"/>
      <c r="CL845" s="46"/>
      <c r="CM845" s="46"/>
      <c r="CN845" s="46"/>
      <c r="CO845" s="46"/>
      <c r="CP845" s="46"/>
      <c r="CQ845" s="46"/>
      <c r="CR845" s="46"/>
    </row>
    <row r="846" spans="1:96" ht="16.5">
      <c r="A846" s="46"/>
      <c r="B846" s="46"/>
      <c r="C846" s="33"/>
      <c r="D846" s="46"/>
      <c r="E846" s="46"/>
      <c r="F846" s="33"/>
      <c r="G846" s="46"/>
      <c r="H846" s="46"/>
      <c r="I846" s="45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/>
      <c r="CP846" s="46"/>
      <c r="CQ846" s="46"/>
      <c r="CR846" s="46"/>
    </row>
    <row r="847" spans="1:96" ht="16.5">
      <c r="A847" s="46"/>
      <c r="B847" s="46"/>
      <c r="C847" s="33"/>
      <c r="D847" s="46"/>
      <c r="E847" s="46"/>
      <c r="F847" s="33"/>
      <c r="G847" s="46"/>
      <c r="H847" s="46"/>
      <c r="I847" s="45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</row>
    <row r="848" spans="1:96" ht="16.5">
      <c r="A848" s="46"/>
      <c r="B848" s="46"/>
      <c r="C848" s="33"/>
      <c r="D848" s="46"/>
      <c r="E848" s="46"/>
      <c r="F848" s="33"/>
      <c r="G848" s="46"/>
      <c r="H848" s="46"/>
      <c r="I848" s="45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  <c r="CK848" s="46"/>
      <c r="CL848" s="46"/>
      <c r="CM848" s="46"/>
      <c r="CN848" s="46"/>
      <c r="CO848" s="46"/>
      <c r="CP848" s="46"/>
      <c r="CQ848" s="46"/>
      <c r="CR848" s="46"/>
    </row>
    <row r="849" spans="1:96" ht="16.5">
      <c r="A849" s="46"/>
      <c r="B849" s="46"/>
      <c r="C849" s="33"/>
      <c r="D849" s="46"/>
      <c r="E849" s="46"/>
      <c r="F849" s="33"/>
      <c r="G849" s="46"/>
      <c r="H849" s="46"/>
      <c r="I849" s="45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</row>
    <row r="850" spans="1:96" ht="16.5">
      <c r="A850" s="46"/>
      <c r="B850" s="46"/>
      <c r="C850" s="33"/>
      <c r="D850" s="46"/>
      <c r="E850" s="46"/>
      <c r="F850" s="33"/>
      <c r="G850" s="46"/>
      <c r="H850" s="46"/>
      <c r="I850" s="45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</row>
    <row r="851" spans="1:96" ht="16.5">
      <c r="A851" s="46"/>
      <c r="B851" s="46"/>
      <c r="C851" s="33"/>
      <c r="D851" s="46"/>
      <c r="E851" s="46"/>
      <c r="F851" s="33"/>
      <c r="G851" s="46"/>
      <c r="H851" s="46"/>
      <c r="I851" s="45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</row>
    <row r="852" spans="1:96" ht="16.5">
      <c r="A852" s="46"/>
      <c r="B852" s="46"/>
      <c r="C852" s="33"/>
      <c r="D852" s="46"/>
      <c r="E852" s="46"/>
      <c r="F852" s="33"/>
      <c r="G852" s="46"/>
      <c r="H852" s="46"/>
      <c r="I852" s="45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</row>
    <row r="853" spans="1:96" ht="16.5">
      <c r="A853" s="46"/>
      <c r="B853" s="46"/>
      <c r="C853" s="33"/>
      <c r="D853" s="46"/>
      <c r="E853" s="46"/>
      <c r="F853" s="33"/>
      <c r="G853" s="46"/>
      <c r="H853" s="46"/>
      <c r="I853" s="45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</row>
    <row r="854" spans="1:96" ht="16.5">
      <c r="A854" s="46"/>
      <c r="B854" s="46"/>
      <c r="C854" s="33"/>
      <c r="D854" s="46"/>
      <c r="E854" s="46"/>
      <c r="F854" s="33"/>
      <c r="G854" s="46"/>
      <c r="H854" s="46"/>
      <c r="I854" s="45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</row>
    <row r="855" spans="1:96" ht="16.5">
      <c r="A855" s="46"/>
      <c r="B855" s="46"/>
      <c r="C855" s="33"/>
      <c r="D855" s="46"/>
      <c r="E855" s="46"/>
      <c r="F855" s="33"/>
      <c r="G855" s="46"/>
      <c r="H855" s="46"/>
      <c r="I855" s="45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</row>
    <row r="856" spans="1:96" ht="16.5">
      <c r="A856" s="46"/>
      <c r="B856" s="46"/>
      <c r="C856" s="33"/>
      <c r="D856" s="46"/>
      <c r="E856" s="46"/>
      <c r="F856" s="33"/>
      <c r="G856" s="46"/>
      <c r="H856" s="46"/>
      <c r="I856" s="45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</row>
    <row r="857" spans="1:96" ht="16.5">
      <c r="A857" s="46"/>
      <c r="B857" s="46"/>
      <c r="C857" s="33"/>
      <c r="D857" s="46"/>
      <c r="E857" s="46"/>
      <c r="F857" s="33"/>
      <c r="G857" s="46"/>
      <c r="H857" s="46"/>
      <c r="I857" s="45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</row>
    <row r="858" spans="1:96" ht="16.5">
      <c r="A858" s="46"/>
      <c r="B858" s="46"/>
      <c r="C858" s="33"/>
      <c r="D858" s="46"/>
      <c r="E858" s="46"/>
      <c r="F858" s="33"/>
      <c r="G858" s="46"/>
      <c r="H858" s="46"/>
      <c r="I858" s="45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</row>
    <row r="859" spans="1:96" ht="16.5">
      <c r="A859" s="46"/>
      <c r="B859" s="46"/>
      <c r="C859" s="33"/>
      <c r="D859" s="46"/>
      <c r="E859" s="46"/>
      <c r="F859" s="33"/>
      <c r="G859" s="46"/>
      <c r="H859" s="46"/>
      <c r="I859" s="45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</row>
    <row r="860" spans="1:96" ht="16.5">
      <c r="A860" s="46"/>
      <c r="B860" s="46"/>
      <c r="C860" s="33"/>
      <c r="D860" s="46"/>
      <c r="E860" s="46"/>
      <c r="F860" s="33"/>
      <c r="G860" s="46"/>
      <c r="H860" s="46"/>
      <c r="I860" s="45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  <c r="CK860" s="46"/>
      <c r="CL860" s="46"/>
      <c r="CM860" s="46"/>
      <c r="CN860" s="46"/>
      <c r="CO860" s="46"/>
      <c r="CP860" s="46"/>
      <c r="CQ860" s="46"/>
      <c r="CR860" s="46"/>
    </row>
    <row r="861" spans="1:96" ht="16.5">
      <c r="A861" s="46"/>
      <c r="B861" s="46"/>
      <c r="C861" s="33"/>
      <c r="D861" s="46"/>
      <c r="E861" s="46"/>
      <c r="F861" s="33"/>
      <c r="G861" s="46"/>
      <c r="H861" s="46"/>
      <c r="I861" s="45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  <c r="CK861" s="46"/>
      <c r="CL861" s="46"/>
      <c r="CM861" s="46"/>
      <c r="CN861" s="46"/>
      <c r="CO861" s="46"/>
      <c r="CP861" s="46"/>
      <c r="CQ861" s="46"/>
      <c r="CR861" s="46"/>
    </row>
    <row r="862" spans="1:96" ht="16.5">
      <c r="A862" s="46"/>
      <c r="B862" s="46"/>
      <c r="C862" s="33"/>
      <c r="D862" s="46"/>
      <c r="E862" s="46"/>
      <c r="F862" s="33"/>
      <c r="G862" s="46"/>
      <c r="H862" s="46"/>
      <c r="I862" s="45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  <c r="CK862" s="46"/>
      <c r="CL862" s="46"/>
      <c r="CM862" s="46"/>
      <c r="CN862" s="46"/>
      <c r="CO862" s="46"/>
      <c r="CP862" s="46"/>
      <c r="CQ862" s="46"/>
      <c r="CR862" s="46"/>
    </row>
    <row r="863" spans="1:96" ht="16.5">
      <c r="A863" s="46"/>
      <c r="B863" s="46"/>
      <c r="C863" s="33"/>
      <c r="D863" s="46"/>
      <c r="E863" s="46"/>
      <c r="F863" s="33"/>
      <c r="G863" s="46"/>
      <c r="H863" s="46"/>
      <c r="I863" s="45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  <c r="CK863" s="46"/>
      <c r="CL863" s="46"/>
      <c r="CM863" s="46"/>
      <c r="CN863" s="46"/>
      <c r="CO863" s="46"/>
      <c r="CP863" s="46"/>
      <c r="CQ863" s="46"/>
      <c r="CR863" s="46"/>
    </row>
    <row r="864" spans="1:96" ht="16.5">
      <c r="A864" s="46"/>
      <c r="B864" s="46"/>
      <c r="C864" s="33"/>
      <c r="D864" s="46"/>
      <c r="E864" s="46"/>
      <c r="F864" s="33"/>
      <c r="G864" s="46"/>
      <c r="H864" s="46"/>
      <c r="I864" s="45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  <c r="CK864" s="46"/>
      <c r="CL864" s="46"/>
      <c r="CM864" s="46"/>
      <c r="CN864" s="46"/>
      <c r="CO864" s="46"/>
      <c r="CP864" s="46"/>
      <c r="CQ864" s="46"/>
      <c r="CR864" s="46"/>
    </row>
    <row r="865" spans="1:96" ht="16.5">
      <c r="A865" s="46"/>
      <c r="B865" s="46"/>
      <c r="C865" s="33"/>
      <c r="D865" s="46"/>
      <c r="E865" s="46"/>
      <c r="F865" s="33"/>
      <c r="G865" s="46"/>
      <c r="H865" s="46"/>
      <c r="I865" s="45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  <c r="CK865" s="46"/>
      <c r="CL865" s="46"/>
      <c r="CM865" s="46"/>
      <c r="CN865" s="46"/>
      <c r="CO865" s="46"/>
      <c r="CP865" s="46"/>
      <c r="CQ865" s="46"/>
      <c r="CR865" s="46"/>
    </row>
    <row r="866" spans="1:96" ht="16.5">
      <c r="A866" s="46"/>
      <c r="B866" s="46"/>
      <c r="C866" s="33"/>
      <c r="D866" s="46"/>
      <c r="E866" s="46"/>
      <c r="F866" s="33"/>
      <c r="G866" s="46"/>
      <c r="H866" s="46"/>
      <c r="I866" s="45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  <c r="CK866" s="46"/>
      <c r="CL866" s="46"/>
      <c r="CM866" s="46"/>
      <c r="CN866" s="46"/>
      <c r="CO866" s="46"/>
      <c r="CP866" s="46"/>
      <c r="CQ866" s="46"/>
      <c r="CR866" s="46"/>
    </row>
    <row r="867" spans="1:96" ht="16.5">
      <c r="A867" s="46"/>
      <c r="B867" s="46"/>
      <c r="C867" s="33"/>
      <c r="D867" s="46"/>
      <c r="E867" s="46"/>
      <c r="F867" s="33"/>
      <c r="G867" s="46"/>
      <c r="H867" s="46"/>
      <c r="I867" s="45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  <c r="CK867" s="46"/>
      <c r="CL867" s="46"/>
      <c r="CM867" s="46"/>
      <c r="CN867" s="46"/>
      <c r="CO867" s="46"/>
      <c r="CP867" s="46"/>
      <c r="CQ867" s="46"/>
      <c r="CR867" s="46"/>
    </row>
    <row r="868" spans="1:96" ht="16.5">
      <c r="A868" s="46"/>
      <c r="B868" s="46"/>
      <c r="C868" s="33"/>
      <c r="D868" s="46"/>
      <c r="E868" s="46"/>
      <c r="F868" s="33"/>
      <c r="G868" s="46"/>
      <c r="H868" s="46"/>
      <c r="I868" s="45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  <c r="CK868" s="46"/>
      <c r="CL868" s="46"/>
      <c r="CM868" s="46"/>
      <c r="CN868" s="46"/>
      <c r="CO868" s="46"/>
      <c r="CP868" s="46"/>
      <c r="CQ868" s="46"/>
      <c r="CR868" s="46"/>
    </row>
    <row r="869" spans="1:96" ht="16.5">
      <c r="A869" s="46"/>
      <c r="B869" s="46"/>
      <c r="C869" s="33"/>
      <c r="D869" s="46"/>
      <c r="E869" s="46"/>
      <c r="F869" s="33"/>
      <c r="G869" s="46"/>
      <c r="H869" s="46"/>
      <c r="I869" s="45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  <c r="CK869" s="46"/>
      <c r="CL869" s="46"/>
      <c r="CM869" s="46"/>
      <c r="CN869" s="46"/>
      <c r="CO869" s="46"/>
      <c r="CP869" s="46"/>
      <c r="CQ869" s="46"/>
      <c r="CR869" s="46"/>
    </row>
    <row r="870" spans="1:96" ht="16.5">
      <c r="A870" s="46"/>
      <c r="B870" s="46"/>
      <c r="C870" s="33"/>
      <c r="D870" s="46"/>
      <c r="E870" s="46"/>
      <c r="F870" s="33"/>
      <c r="G870" s="46"/>
      <c r="H870" s="46"/>
      <c r="I870" s="45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  <c r="CK870" s="46"/>
      <c r="CL870" s="46"/>
      <c r="CM870" s="46"/>
      <c r="CN870" s="46"/>
      <c r="CO870" s="46"/>
      <c r="CP870" s="46"/>
      <c r="CQ870" s="46"/>
      <c r="CR870" s="46"/>
    </row>
    <row r="871" spans="1:96" ht="16.5">
      <c r="A871" s="46"/>
      <c r="B871" s="46"/>
      <c r="C871" s="33"/>
      <c r="D871" s="46"/>
      <c r="E871" s="46"/>
      <c r="F871" s="33"/>
      <c r="G871" s="46"/>
      <c r="H871" s="46"/>
      <c r="I871" s="45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  <c r="CK871" s="46"/>
      <c r="CL871" s="46"/>
      <c r="CM871" s="46"/>
      <c r="CN871" s="46"/>
      <c r="CO871" s="46"/>
      <c r="CP871" s="46"/>
      <c r="CQ871" s="46"/>
      <c r="CR871" s="46"/>
    </row>
    <row r="872" spans="1:96" ht="16.5">
      <c r="A872" s="46"/>
      <c r="B872" s="46"/>
      <c r="C872" s="33"/>
      <c r="D872" s="46"/>
      <c r="E872" s="46"/>
      <c r="F872" s="33"/>
      <c r="G872" s="46"/>
      <c r="H872" s="46"/>
      <c r="I872" s="45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  <c r="CK872" s="46"/>
      <c r="CL872" s="46"/>
      <c r="CM872" s="46"/>
      <c r="CN872" s="46"/>
      <c r="CO872" s="46"/>
      <c r="CP872" s="46"/>
      <c r="CQ872" s="46"/>
      <c r="CR872" s="46"/>
    </row>
    <row r="873" spans="1:96" ht="16.5">
      <c r="A873" s="46"/>
      <c r="B873" s="46"/>
      <c r="C873" s="33"/>
      <c r="D873" s="46"/>
      <c r="E873" s="46"/>
      <c r="F873" s="33"/>
      <c r="G873" s="46"/>
      <c r="H873" s="46"/>
      <c r="I873" s="45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  <c r="CK873" s="46"/>
      <c r="CL873" s="46"/>
      <c r="CM873" s="46"/>
      <c r="CN873" s="46"/>
      <c r="CO873" s="46"/>
      <c r="CP873" s="46"/>
      <c r="CQ873" s="46"/>
      <c r="CR873" s="46"/>
    </row>
    <row r="874" spans="1:96" ht="16.5">
      <c r="A874" s="46"/>
      <c r="B874" s="46"/>
      <c r="C874" s="33"/>
      <c r="D874" s="46"/>
      <c r="E874" s="46"/>
      <c r="F874" s="33"/>
      <c r="G874" s="46"/>
      <c r="H874" s="46"/>
      <c r="I874" s="45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  <c r="CK874" s="46"/>
      <c r="CL874" s="46"/>
      <c r="CM874" s="46"/>
      <c r="CN874" s="46"/>
      <c r="CO874" s="46"/>
      <c r="CP874" s="46"/>
      <c r="CQ874" s="46"/>
      <c r="CR874" s="46"/>
    </row>
    <row r="875" spans="1:96" ht="16.5">
      <c r="A875" s="46"/>
      <c r="B875" s="46"/>
      <c r="C875" s="33"/>
      <c r="D875" s="46"/>
      <c r="E875" s="46"/>
      <c r="F875" s="33"/>
      <c r="G875" s="46"/>
      <c r="H875" s="46"/>
      <c r="I875" s="45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  <c r="CK875" s="46"/>
      <c r="CL875" s="46"/>
      <c r="CM875" s="46"/>
      <c r="CN875" s="46"/>
      <c r="CO875" s="46"/>
      <c r="CP875" s="46"/>
      <c r="CQ875" s="46"/>
      <c r="CR875" s="46"/>
    </row>
    <row r="876" spans="1:96" ht="16.5">
      <c r="A876" s="46"/>
      <c r="B876" s="46"/>
      <c r="C876" s="33"/>
      <c r="D876" s="46"/>
      <c r="E876" s="46"/>
      <c r="F876" s="33"/>
      <c r="G876" s="46"/>
      <c r="H876" s="46"/>
      <c r="I876" s="45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  <c r="CK876" s="46"/>
      <c r="CL876" s="46"/>
      <c r="CM876" s="46"/>
      <c r="CN876" s="46"/>
      <c r="CO876" s="46"/>
      <c r="CP876" s="46"/>
      <c r="CQ876" s="46"/>
      <c r="CR876" s="46"/>
    </row>
    <row r="877" spans="1:96" ht="16.5">
      <c r="A877" s="46"/>
      <c r="B877" s="46"/>
      <c r="C877" s="33"/>
      <c r="D877" s="46"/>
      <c r="E877" s="46"/>
      <c r="F877" s="33"/>
      <c r="G877" s="46"/>
      <c r="H877" s="46"/>
      <c r="I877" s="45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  <c r="CK877" s="46"/>
      <c r="CL877" s="46"/>
      <c r="CM877" s="46"/>
      <c r="CN877" s="46"/>
      <c r="CO877" s="46"/>
      <c r="CP877" s="46"/>
      <c r="CQ877" s="46"/>
      <c r="CR877" s="46"/>
    </row>
    <row r="878" spans="1:96" ht="16.5">
      <c r="A878" s="46"/>
      <c r="B878" s="46"/>
      <c r="C878" s="33"/>
      <c r="D878" s="46"/>
      <c r="E878" s="46"/>
      <c r="F878" s="33"/>
      <c r="G878" s="46"/>
      <c r="H878" s="46"/>
      <c r="I878" s="45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  <c r="CK878" s="46"/>
      <c r="CL878" s="46"/>
      <c r="CM878" s="46"/>
      <c r="CN878" s="46"/>
      <c r="CO878" s="46"/>
      <c r="CP878" s="46"/>
      <c r="CQ878" s="46"/>
      <c r="CR878" s="46"/>
    </row>
    <row r="879" spans="1:96" ht="16.5">
      <c r="A879" s="46"/>
      <c r="B879" s="46"/>
      <c r="C879" s="33"/>
      <c r="D879" s="46"/>
      <c r="E879" s="46"/>
      <c r="F879" s="33"/>
      <c r="G879" s="46"/>
      <c r="H879" s="46"/>
      <c r="I879" s="45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  <c r="CK879" s="46"/>
      <c r="CL879" s="46"/>
      <c r="CM879" s="46"/>
      <c r="CN879" s="46"/>
      <c r="CO879" s="46"/>
      <c r="CP879" s="46"/>
      <c r="CQ879" s="46"/>
      <c r="CR879" s="46"/>
    </row>
    <row r="880" spans="1:96" ht="16.5">
      <c r="A880" s="46"/>
      <c r="B880" s="46"/>
      <c r="C880" s="33"/>
      <c r="D880" s="46"/>
      <c r="E880" s="46"/>
      <c r="F880" s="33"/>
      <c r="G880" s="46"/>
      <c r="H880" s="46"/>
      <c r="I880" s="45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  <c r="CK880" s="46"/>
      <c r="CL880" s="46"/>
      <c r="CM880" s="46"/>
      <c r="CN880" s="46"/>
      <c r="CO880" s="46"/>
      <c r="CP880" s="46"/>
      <c r="CQ880" s="46"/>
      <c r="CR880" s="46"/>
    </row>
    <row r="881" spans="1:96" ht="16.5">
      <c r="A881" s="46"/>
      <c r="B881" s="46"/>
      <c r="C881" s="33"/>
      <c r="D881" s="46"/>
      <c r="E881" s="46"/>
      <c r="F881" s="33"/>
      <c r="G881" s="46"/>
      <c r="H881" s="46"/>
      <c r="I881" s="45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  <c r="CK881" s="46"/>
      <c r="CL881" s="46"/>
      <c r="CM881" s="46"/>
      <c r="CN881" s="46"/>
      <c r="CO881" s="46"/>
      <c r="CP881" s="46"/>
      <c r="CQ881" s="46"/>
      <c r="CR881" s="46"/>
    </row>
    <row r="882" spans="1:96" ht="16.5">
      <c r="A882" s="46"/>
      <c r="B882" s="46"/>
      <c r="C882" s="33"/>
      <c r="D882" s="46"/>
      <c r="E882" s="46"/>
      <c r="F882" s="33"/>
      <c r="G882" s="46"/>
      <c r="H882" s="46"/>
      <c r="I882" s="45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  <c r="CK882" s="46"/>
      <c r="CL882" s="46"/>
      <c r="CM882" s="46"/>
      <c r="CN882" s="46"/>
      <c r="CO882" s="46"/>
      <c r="CP882" s="46"/>
      <c r="CQ882" s="46"/>
      <c r="CR882" s="46"/>
    </row>
    <row r="883" spans="1:96" ht="16.5">
      <c r="A883" s="46"/>
      <c r="B883" s="46"/>
      <c r="C883" s="33"/>
      <c r="D883" s="46"/>
      <c r="E883" s="46"/>
      <c r="F883" s="33"/>
      <c r="G883" s="46"/>
      <c r="H883" s="46"/>
      <c r="I883" s="45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  <c r="CK883" s="46"/>
      <c r="CL883" s="46"/>
      <c r="CM883" s="46"/>
      <c r="CN883" s="46"/>
      <c r="CO883" s="46"/>
      <c r="CP883" s="46"/>
      <c r="CQ883" s="46"/>
      <c r="CR883" s="46"/>
    </row>
    <row r="884" spans="1:96" ht="16.5">
      <c r="A884" s="46"/>
      <c r="B884" s="46"/>
      <c r="C884" s="33"/>
      <c r="D884" s="46"/>
      <c r="E884" s="46"/>
      <c r="F884" s="33"/>
      <c r="G884" s="46"/>
      <c r="H884" s="46"/>
      <c r="I884" s="45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  <c r="CK884" s="46"/>
      <c r="CL884" s="46"/>
      <c r="CM884" s="46"/>
      <c r="CN884" s="46"/>
      <c r="CO884" s="46"/>
      <c r="CP884" s="46"/>
      <c r="CQ884" s="46"/>
      <c r="CR884" s="46"/>
    </row>
    <row r="885" spans="1:96" ht="16.5">
      <c r="A885" s="46"/>
      <c r="B885" s="46"/>
      <c r="C885" s="33"/>
      <c r="D885" s="46"/>
      <c r="E885" s="46"/>
      <c r="F885" s="33"/>
      <c r="G885" s="46"/>
      <c r="H885" s="46"/>
      <c r="I885" s="45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  <c r="CK885" s="46"/>
      <c r="CL885" s="46"/>
      <c r="CM885" s="46"/>
      <c r="CN885" s="46"/>
      <c r="CO885" s="46"/>
      <c r="CP885" s="46"/>
      <c r="CQ885" s="46"/>
      <c r="CR885" s="46"/>
    </row>
    <row r="886" spans="1:96" ht="16.5">
      <c r="A886" s="46"/>
      <c r="B886" s="46"/>
      <c r="C886" s="33"/>
      <c r="D886" s="46"/>
      <c r="E886" s="46"/>
      <c r="F886" s="33"/>
      <c r="G886" s="46"/>
      <c r="H886" s="46"/>
      <c r="I886" s="45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  <c r="CM886" s="46"/>
      <c r="CN886" s="46"/>
      <c r="CO886" s="46"/>
      <c r="CP886" s="46"/>
      <c r="CQ886" s="46"/>
      <c r="CR886" s="46"/>
    </row>
    <row r="887" spans="1:96" ht="16.5">
      <c r="A887" s="46"/>
      <c r="B887" s="46"/>
      <c r="C887" s="33"/>
      <c r="D887" s="46"/>
      <c r="E887" s="46"/>
      <c r="F887" s="33"/>
      <c r="G887" s="46"/>
      <c r="H887" s="46"/>
      <c r="I887" s="45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  <c r="CM887" s="46"/>
      <c r="CN887" s="46"/>
      <c r="CO887" s="46"/>
      <c r="CP887" s="46"/>
      <c r="CQ887" s="46"/>
      <c r="CR887" s="46"/>
    </row>
    <row r="888" spans="1:96" ht="16.5">
      <c r="A888" s="46"/>
      <c r="B888" s="46"/>
      <c r="C888" s="33"/>
      <c r="D888" s="46"/>
      <c r="E888" s="46"/>
      <c r="F888" s="33"/>
      <c r="G888" s="46"/>
      <c r="H888" s="46"/>
      <c r="I888" s="45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  <c r="CK888" s="46"/>
      <c r="CL888" s="46"/>
      <c r="CM888" s="46"/>
      <c r="CN888" s="46"/>
      <c r="CO888" s="46"/>
      <c r="CP888" s="46"/>
      <c r="CQ888" s="46"/>
      <c r="CR888" s="46"/>
    </row>
    <row r="889" spans="1:96" ht="16.5">
      <c r="A889" s="46"/>
      <c r="B889" s="46"/>
      <c r="C889" s="33"/>
      <c r="D889" s="46"/>
      <c r="E889" s="46"/>
      <c r="F889" s="33"/>
      <c r="G889" s="46"/>
      <c r="H889" s="46"/>
      <c r="I889" s="45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  <c r="CM889" s="46"/>
      <c r="CN889" s="46"/>
      <c r="CO889" s="46"/>
      <c r="CP889" s="46"/>
      <c r="CQ889" s="46"/>
      <c r="CR889" s="46"/>
    </row>
    <row r="890" spans="1:96" ht="16.5">
      <c r="A890" s="46"/>
      <c r="B890" s="46"/>
      <c r="C890" s="33"/>
      <c r="D890" s="46"/>
      <c r="E890" s="46"/>
      <c r="F890" s="33"/>
      <c r="G890" s="46"/>
      <c r="H890" s="46"/>
      <c r="I890" s="45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  <c r="CM890" s="46"/>
      <c r="CN890" s="46"/>
      <c r="CO890" s="46"/>
      <c r="CP890" s="46"/>
      <c r="CQ890" s="46"/>
      <c r="CR890" s="46"/>
    </row>
    <row r="891" spans="1:96" ht="16.5">
      <c r="A891" s="46"/>
      <c r="B891" s="46"/>
      <c r="C891" s="33"/>
      <c r="D891" s="46"/>
      <c r="E891" s="46"/>
      <c r="F891" s="33"/>
      <c r="G891" s="46"/>
      <c r="H891" s="46"/>
      <c r="I891" s="45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  <c r="CM891" s="46"/>
      <c r="CN891" s="46"/>
      <c r="CO891" s="46"/>
      <c r="CP891" s="46"/>
      <c r="CQ891" s="46"/>
      <c r="CR891" s="46"/>
    </row>
    <row r="892" spans="1:96" ht="16.5">
      <c r="A892" s="46"/>
      <c r="B892" s="46"/>
      <c r="C892" s="33"/>
      <c r="D892" s="46"/>
      <c r="E892" s="46"/>
      <c r="F892" s="33"/>
      <c r="G892" s="46"/>
      <c r="H892" s="46"/>
      <c r="I892" s="45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  <c r="CM892" s="46"/>
      <c r="CN892" s="46"/>
      <c r="CO892" s="46"/>
      <c r="CP892" s="46"/>
      <c r="CQ892" s="46"/>
      <c r="CR892" s="46"/>
    </row>
    <row r="893" spans="1:96" ht="16.5">
      <c r="A893" s="46"/>
      <c r="B893" s="46"/>
      <c r="C893" s="33"/>
      <c r="D893" s="46"/>
      <c r="E893" s="46"/>
      <c r="F893" s="33"/>
      <c r="G893" s="46"/>
      <c r="H893" s="46"/>
      <c r="I893" s="45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  <c r="CM893" s="46"/>
      <c r="CN893" s="46"/>
      <c r="CO893" s="46"/>
      <c r="CP893" s="46"/>
      <c r="CQ893" s="46"/>
      <c r="CR893" s="46"/>
    </row>
    <row r="894" spans="1:96" ht="16.5">
      <c r="A894" s="46"/>
      <c r="B894" s="46"/>
      <c r="C894" s="33"/>
      <c r="D894" s="46"/>
      <c r="E894" s="46"/>
      <c r="F894" s="33"/>
      <c r="G894" s="46"/>
      <c r="H894" s="46"/>
      <c r="I894" s="45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  <c r="CM894" s="46"/>
      <c r="CN894" s="46"/>
      <c r="CO894" s="46"/>
      <c r="CP894" s="46"/>
      <c r="CQ894" s="46"/>
      <c r="CR894" s="46"/>
    </row>
    <row r="895" spans="1:96" ht="16.5">
      <c r="A895" s="46"/>
      <c r="B895" s="46"/>
      <c r="C895" s="33"/>
      <c r="D895" s="46"/>
      <c r="E895" s="46"/>
      <c r="F895" s="33"/>
      <c r="G895" s="46"/>
      <c r="H895" s="46"/>
      <c r="I895" s="45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  <c r="CM895" s="46"/>
      <c r="CN895" s="46"/>
      <c r="CO895" s="46"/>
      <c r="CP895" s="46"/>
      <c r="CQ895" s="46"/>
      <c r="CR895" s="46"/>
    </row>
    <row r="896" spans="1:96" ht="16.5">
      <c r="A896" s="46"/>
      <c r="B896" s="46"/>
      <c r="C896" s="33"/>
      <c r="D896" s="46"/>
      <c r="E896" s="46"/>
      <c r="F896" s="33"/>
      <c r="G896" s="46"/>
      <c r="H896" s="46"/>
      <c r="I896" s="45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  <c r="CM896" s="46"/>
      <c r="CN896" s="46"/>
      <c r="CO896" s="46"/>
      <c r="CP896" s="46"/>
      <c r="CQ896" s="46"/>
      <c r="CR896" s="46"/>
    </row>
    <row r="897" spans="1:96" ht="16.5">
      <c r="A897" s="46"/>
      <c r="B897" s="46"/>
      <c r="C897" s="33"/>
      <c r="D897" s="46"/>
      <c r="E897" s="46"/>
      <c r="F897" s="33"/>
      <c r="G897" s="46"/>
      <c r="H897" s="46"/>
      <c r="I897" s="45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  <c r="CM897" s="46"/>
      <c r="CN897" s="46"/>
      <c r="CO897" s="46"/>
      <c r="CP897" s="46"/>
      <c r="CQ897" s="46"/>
      <c r="CR897" s="46"/>
    </row>
    <row r="898" spans="1:96" ht="16.5">
      <c r="A898" s="46"/>
      <c r="B898" s="46"/>
      <c r="C898" s="33"/>
      <c r="D898" s="46"/>
      <c r="E898" s="46"/>
      <c r="F898" s="33"/>
      <c r="G898" s="46"/>
      <c r="H898" s="46"/>
      <c r="I898" s="45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  <c r="CM898" s="46"/>
      <c r="CN898" s="46"/>
      <c r="CO898" s="46"/>
      <c r="CP898" s="46"/>
      <c r="CQ898" s="46"/>
      <c r="CR898" s="46"/>
    </row>
    <row r="899" spans="1:96" ht="16.5">
      <c r="A899" s="46"/>
      <c r="B899" s="46"/>
      <c r="C899" s="33"/>
      <c r="D899" s="46"/>
      <c r="E899" s="46"/>
      <c r="F899" s="33"/>
      <c r="G899" s="46"/>
      <c r="H899" s="46"/>
      <c r="I899" s="45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  <c r="CM899" s="46"/>
      <c r="CN899" s="46"/>
      <c r="CO899" s="46"/>
      <c r="CP899" s="46"/>
      <c r="CQ899" s="46"/>
      <c r="CR899" s="46"/>
    </row>
    <row r="900" spans="1:96" ht="16.5">
      <c r="A900" s="46"/>
      <c r="B900" s="46"/>
      <c r="C900" s="33"/>
      <c r="D900" s="46"/>
      <c r="E900" s="46"/>
      <c r="F900" s="33"/>
      <c r="G900" s="46"/>
      <c r="H900" s="46"/>
      <c r="I900" s="45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  <c r="CK900" s="46"/>
      <c r="CL900" s="46"/>
      <c r="CM900" s="46"/>
      <c r="CN900" s="46"/>
      <c r="CO900" s="46"/>
      <c r="CP900" s="46"/>
      <c r="CQ900" s="46"/>
      <c r="CR900" s="46"/>
    </row>
    <row r="901" spans="1:96" ht="16.5">
      <c r="A901" s="46"/>
      <c r="B901" s="46"/>
      <c r="C901" s="33"/>
      <c r="D901" s="46"/>
      <c r="E901" s="46"/>
      <c r="F901" s="33"/>
      <c r="G901" s="46"/>
      <c r="H901" s="46"/>
      <c r="I901" s="45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  <c r="CK901" s="46"/>
      <c r="CL901" s="46"/>
      <c r="CM901" s="46"/>
      <c r="CN901" s="46"/>
      <c r="CO901" s="46"/>
      <c r="CP901" s="46"/>
      <c r="CQ901" s="46"/>
      <c r="CR901" s="46"/>
    </row>
    <row r="902" spans="1:96" ht="16.5">
      <c r="A902" s="46"/>
      <c r="B902" s="46"/>
      <c r="C902" s="33"/>
      <c r="D902" s="46"/>
      <c r="E902" s="46"/>
      <c r="F902" s="33"/>
      <c r="G902" s="46"/>
      <c r="H902" s="46"/>
      <c r="I902" s="45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  <c r="CK902" s="46"/>
      <c r="CL902" s="46"/>
      <c r="CM902" s="46"/>
      <c r="CN902" s="46"/>
      <c r="CO902" s="46"/>
      <c r="CP902" s="46"/>
      <c r="CQ902" s="46"/>
      <c r="CR902" s="46"/>
    </row>
    <row r="903" spans="1:96" ht="16.5">
      <c r="A903" s="46"/>
      <c r="B903" s="46"/>
      <c r="C903" s="33"/>
      <c r="D903" s="46"/>
      <c r="E903" s="46"/>
      <c r="F903" s="33"/>
      <c r="G903" s="46"/>
      <c r="H903" s="46"/>
      <c r="I903" s="45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  <c r="CK903" s="46"/>
      <c r="CL903" s="46"/>
      <c r="CM903" s="46"/>
      <c r="CN903" s="46"/>
      <c r="CO903" s="46"/>
      <c r="CP903" s="46"/>
      <c r="CQ903" s="46"/>
      <c r="CR903" s="46"/>
    </row>
    <row r="904" spans="1:96" ht="16.5">
      <c r="A904" s="46"/>
      <c r="B904" s="46"/>
      <c r="C904" s="33"/>
      <c r="D904" s="46"/>
      <c r="E904" s="46"/>
      <c r="F904" s="33"/>
      <c r="G904" s="46"/>
      <c r="H904" s="46"/>
      <c r="I904" s="45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  <c r="CK904" s="46"/>
      <c r="CL904" s="46"/>
      <c r="CM904" s="46"/>
      <c r="CN904" s="46"/>
      <c r="CO904" s="46"/>
      <c r="CP904" s="46"/>
      <c r="CQ904" s="46"/>
      <c r="CR904" s="46"/>
    </row>
    <row r="905" spans="1:96" ht="16.5">
      <c r="A905" s="46"/>
      <c r="B905" s="46"/>
      <c r="C905" s="33"/>
      <c r="D905" s="46"/>
      <c r="E905" s="46"/>
      <c r="F905" s="33"/>
      <c r="G905" s="46"/>
      <c r="H905" s="46"/>
      <c r="I905" s="45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  <c r="CK905" s="46"/>
      <c r="CL905" s="46"/>
      <c r="CM905" s="46"/>
      <c r="CN905" s="46"/>
      <c r="CO905" s="46"/>
      <c r="CP905" s="46"/>
      <c r="CQ905" s="46"/>
      <c r="CR905" s="46"/>
    </row>
    <row r="906" spans="1:96" ht="16.5">
      <c r="A906" s="46"/>
      <c r="B906" s="46"/>
      <c r="C906" s="33"/>
      <c r="D906" s="46"/>
      <c r="E906" s="46"/>
      <c r="F906" s="33"/>
      <c r="G906" s="46"/>
      <c r="H906" s="46"/>
      <c r="I906" s="45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  <c r="CK906" s="46"/>
      <c r="CL906" s="46"/>
      <c r="CM906" s="46"/>
      <c r="CN906" s="46"/>
      <c r="CO906" s="46"/>
      <c r="CP906" s="46"/>
      <c r="CQ906" s="46"/>
      <c r="CR906" s="46"/>
    </row>
    <row r="907" spans="1:96" ht="16.5">
      <c r="A907" s="46"/>
      <c r="B907" s="46"/>
      <c r="C907" s="33"/>
      <c r="D907" s="46"/>
      <c r="E907" s="46"/>
      <c r="F907" s="33"/>
      <c r="G907" s="46"/>
      <c r="H907" s="46"/>
      <c r="I907" s="45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  <c r="CK907" s="46"/>
      <c r="CL907" s="46"/>
      <c r="CM907" s="46"/>
      <c r="CN907" s="46"/>
      <c r="CO907" s="46"/>
      <c r="CP907" s="46"/>
      <c r="CQ907" s="46"/>
      <c r="CR907" s="46"/>
    </row>
    <row r="908" spans="1:96" ht="16.5">
      <c r="A908" s="46"/>
      <c r="B908" s="46"/>
      <c r="C908" s="33"/>
      <c r="D908" s="46"/>
      <c r="E908" s="46"/>
      <c r="F908" s="33"/>
      <c r="G908" s="46"/>
      <c r="H908" s="46"/>
      <c r="I908" s="45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  <c r="CK908" s="46"/>
      <c r="CL908" s="46"/>
      <c r="CM908" s="46"/>
      <c r="CN908" s="46"/>
      <c r="CO908" s="46"/>
      <c r="CP908" s="46"/>
      <c r="CQ908" s="46"/>
      <c r="CR908" s="46"/>
    </row>
    <row r="909" spans="1:96" ht="16.5">
      <c r="A909" s="46"/>
      <c r="B909" s="46"/>
      <c r="C909" s="33"/>
      <c r="D909" s="46"/>
      <c r="E909" s="46"/>
      <c r="F909" s="33"/>
      <c r="G909" s="46"/>
      <c r="H909" s="46"/>
      <c r="I909" s="45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  <c r="CK909" s="46"/>
      <c r="CL909" s="46"/>
      <c r="CM909" s="46"/>
      <c r="CN909" s="46"/>
      <c r="CO909" s="46"/>
      <c r="CP909" s="46"/>
      <c r="CQ909" s="46"/>
      <c r="CR909" s="46"/>
    </row>
    <row r="910" spans="1:96" ht="16.5">
      <c r="A910" s="46"/>
      <c r="B910" s="46"/>
      <c r="C910" s="33"/>
      <c r="D910" s="46"/>
      <c r="E910" s="46"/>
      <c r="F910" s="33"/>
      <c r="G910" s="46"/>
      <c r="H910" s="46"/>
      <c r="I910" s="45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  <c r="CK910" s="46"/>
      <c r="CL910" s="46"/>
      <c r="CM910" s="46"/>
      <c r="CN910" s="46"/>
      <c r="CO910" s="46"/>
      <c r="CP910" s="46"/>
      <c r="CQ910" s="46"/>
      <c r="CR910" s="46"/>
    </row>
    <row r="911" spans="1:96" ht="16.5">
      <c r="A911" s="46"/>
      <c r="B911" s="46"/>
      <c r="C911" s="33"/>
      <c r="D911" s="46"/>
      <c r="E911" s="46"/>
      <c r="F911" s="33"/>
      <c r="G911" s="46"/>
      <c r="H911" s="46"/>
      <c r="I911" s="45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  <c r="CK911" s="46"/>
      <c r="CL911" s="46"/>
      <c r="CM911" s="46"/>
      <c r="CN911" s="46"/>
      <c r="CO911" s="46"/>
      <c r="CP911" s="46"/>
      <c r="CQ911" s="46"/>
      <c r="CR911" s="46"/>
    </row>
    <row r="912" spans="1:96" ht="16.5">
      <c r="A912" s="46"/>
      <c r="B912" s="46"/>
      <c r="C912" s="33"/>
      <c r="D912" s="46"/>
      <c r="E912" s="46"/>
      <c r="F912" s="33"/>
      <c r="G912" s="46"/>
      <c r="H912" s="46"/>
      <c r="I912" s="45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  <c r="CK912" s="46"/>
      <c r="CL912" s="46"/>
      <c r="CM912" s="46"/>
      <c r="CN912" s="46"/>
      <c r="CO912" s="46"/>
      <c r="CP912" s="46"/>
      <c r="CQ912" s="46"/>
      <c r="CR912" s="46"/>
    </row>
    <row r="913" spans="1:96" ht="16.5">
      <c r="A913" s="46"/>
      <c r="B913" s="46"/>
      <c r="C913" s="33"/>
      <c r="D913" s="46"/>
      <c r="E913" s="46"/>
      <c r="F913" s="33"/>
      <c r="G913" s="46"/>
      <c r="H913" s="46"/>
      <c r="I913" s="45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  <c r="CK913" s="46"/>
      <c r="CL913" s="46"/>
      <c r="CM913" s="46"/>
      <c r="CN913" s="46"/>
      <c r="CO913" s="46"/>
      <c r="CP913" s="46"/>
      <c r="CQ913" s="46"/>
      <c r="CR913" s="46"/>
    </row>
    <row r="914" spans="1:96" ht="16.5">
      <c r="A914" s="46"/>
      <c r="B914" s="46"/>
      <c r="C914" s="33"/>
      <c r="D914" s="46"/>
      <c r="E914" s="46"/>
      <c r="F914" s="33"/>
      <c r="G914" s="46"/>
      <c r="H914" s="46"/>
      <c r="I914" s="45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  <c r="CK914" s="46"/>
      <c r="CL914" s="46"/>
      <c r="CM914" s="46"/>
      <c r="CN914" s="46"/>
      <c r="CO914" s="46"/>
      <c r="CP914" s="46"/>
      <c r="CQ914" s="46"/>
      <c r="CR914" s="46"/>
    </row>
    <row r="915" spans="1:96" ht="16.5">
      <c r="A915" s="46"/>
      <c r="B915" s="46"/>
      <c r="C915" s="33"/>
      <c r="D915" s="46"/>
      <c r="E915" s="46"/>
      <c r="F915" s="33"/>
      <c r="G915" s="46"/>
      <c r="H915" s="46"/>
      <c r="I915" s="45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  <c r="CK915" s="46"/>
      <c r="CL915" s="46"/>
      <c r="CM915" s="46"/>
      <c r="CN915" s="46"/>
      <c r="CO915" s="46"/>
      <c r="CP915" s="46"/>
      <c r="CQ915" s="46"/>
      <c r="CR915" s="46"/>
    </row>
    <row r="916" spans="1:96" ht="16.5">
      <c r="A916" s="46"/>
      <c r="B916" s="46"/>
      <c r="C916" s="33"/>
      <c r="D916" s="46"/>
      <c r="E916" s="46"/>
      <c r="F916" s="33"/>
      <c r="G916" s="46"/>
      <c r="H916" s="46"/>
      <c r="I916" s="45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  <c r="CK916" s="46"/>
      <c r="CL916" s="46"/>
      <c r="CM916" s="46"/>
      <c r="CN916" s="46"/>
      <c r="CO916" s="46"/>
      <c r="CP916" s="46"/>
      <c r="CQ916" s="46"/>
      <c r="CR916" s="46"/>
    </row>
    <row r="917" spans="1:96" ht="16.5">
      <c r="A917" s="46"/>
      <c r="B917" s="46"/>
      <c r="C917" s="33"/>
      <c r="D917" s="46"/>
      <c r="E917" s="46"/>
      <c r="F917" s="33"/>
      <c r="G917" s="46"/>
      <c r="H917" s="46"/>
      <c r="I917" s="45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  <c r="CK917" s="46"/>
      <c r="CL917" s="46"/>
      <c r="CM917" s="46"/>
      <c r="CN917" s="46"/>
      <c r="CO917" s="46"/>
      <c r="CP917" s="46"/>
      <c r="CQ917" s="46"/>
      <c r="CR917" s="46"/>
    </row>
    <row r="918" spans="1:96" ht="16.5">
      <c r="A918" s="46"/>
      <c r="B918" s="46"/>
      <c r="C918" s="33"/>
      <c r="D918" s="46"/>
      <c r="E918" s="46"/>
      <c r="F918" s="33"/>
      <c r="G918" s="46"/>
      <c r="H918" s="46"/>
      <c r="I918" s="45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  <c r="CK918" s="46"/>
      <c r="CL918" s="46"/>
      <c r="CM918" s="46"/>
      <c r="CN918" s="46"/>
      <c r="CO918" s="46"/>
      <c r="CP918" s="46"/>
      <c r="CQ918" s="46"/>
      <c r="CR918" s="46"/>
    </row>
    <row r="919" spans="1:96" ht="16.5">
      <c r="A919" s="46"/>
      <c r="B919" s="46"/>
      <c r="C919" s="33"/>
      <c r="D919" s="46"/>
      <c r="E919" s="46"/>
      <c r="F919" s="33"/>
      <c r="G919" s="46"/>
      <c r="H919" s="46"/>
      <c r="I919" s="45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  <c r="CK919" s="46"/>
      <c r="CL919" s="46"/>
      <c r="CM919" s="46"/>
      <c r="CN919" s="46"/>
      <c r="CO919" s="46"/>
      <c r="CP919" s="46"/>
      <c r="CQ919" s="46"/>
      <c r="CR919" s="46"/>
    </row>
    <row r="920" spans="1:96" ht="16.5">
      <c r="A920" s="46"/>
      <c r="B920" s="46"/>
      <c r="C920" s="33"/>
      <c r="D920" s="46"/>
      <c r="E920" s="46"/>
      <c r="F920" s="33"/>
      <c r="G920" s="46"/>
      <c r="H920" s="46"/>
      <c r="I920" s="45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  <c r="CK920" s="46"/>
      <c r="CL920" s="46"/>
      <c r="CM920" s="46"/>
      <c r="CN920" s="46"/>
      <c r="CO920" s="46"/>
      <c r="CP920" s="46"/>
      <c r="CQ920" s="46"/>
      <c r="CR920" s="46"/>
    </row>
    <row r="921" spans="1:96" ht="16.5">
      <c r="A921" s="46"/>
      <c r="B921" s="46"/>
      <c r="C921" s="33"/>
      <c r="D921" s="46"/>
      <c r="E921" s="46"/>
      <c r="F921" s="33"/>
      <c r="G921" s="46"/>
      <c r="H921" s="46"/>
      <c r="I921" s="45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  <c r="CK921" s="46"/>
      <c r="CL921" s="46"/>
      <c r="CM921" s="46"/>
      <c r="CN921" s="46"/>
      <c r="CO921" s="46"/>
      <c r="CP921" s="46"/>
      <c r="CQ921" s="46"/>
      <c r="CR921" s="46"/>
    </row>
    <row r="922" spans="1:96" ht="16.5">
      <c r="A922" s="46"/>
      <c r="B922" s="46"/>
      <c r="C922" s="33"/>
      <c r="D922" s="46"/>
      <c r="E922" s="46"/>
      <c r="F922" s="33"/>
      <c r="G922" s="46"/>
      <c r="H922" s="46"/>
      <c r="I922" s="45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  <c r="CK922" s="46"/>
      <c r="CL922" s="46"/>
      <c r="CM922" s="46"/>
      <c r="CN922" s="46"/>
      <c r="CO922" s="46"/>
      <c r="CP922" s="46"/>
      <c r="CQ922" s="46"/>
      <c r="CR922" s="46"/>
    </row>
    <row r="923" spans="1:96" ht="16.5">
      <c r="A923" s="46"/>
      <c r="B923" s="46"/>
      <c r="C923" s="33"/>
      <c r="D923" s="46"/>
      <c r="E923" s="46"/>
      <c r="F923" s="33"/>
      <c r="G923" s="46"/>
      <c r="H923" s="46"/>
      <c r="I923" s="45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  <c r="CK923" s="46"/>
      <c r="CL923" s="46"/>
      <c r="CM923" s="46"/>
      <c r="CN923" s="46"/>
      <c r="CO923" s="46"/>
      <c r="CP923" s="46"/>
      <c r="CQ923" s="46"/>
      <c r="CR923" s="46"/>
    </row>
    <row r="924" spans="1:96" ht="16.5">
      <c r="A924" s="46"/>
      <c r="B924" s="46"/>
      <c r="C924" s="33"/>
      <c r="D924" s="46"/>
      <c r="E924" s="46"/>
      <c r="F924" s="33"/>
      <c r="G924" s="46"/>
      <c r="H924" s="46"/>
      <c r="I924" s="45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  <c r="CK924" s="46"/>
      <c r="CL924" s="46"/>
      <c r="CM924" s="46"/>
      <c r="CN924" s="46"/>
      <c r="CO924" s="46"/>
      <c r="CP924" s="46"/>
      <c r="CQ924" s="46"/>
      <c r="CR924" s="46"/>
    </row>
    <row r="925" spans="1:96" ht="16.5">
      <c r="A925" s="46"/>
      <c r="B925" s="46"/>
      <c r="C925" s="33"/>
      <c r="D925" s="46"/>
      <c r="E925" s="46"/>
      <c r="F925" s="33"/>
      <c r="G925" s="46"/>
      <c r="H925" s="46"/>
      <c r="I925" s="45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  <c r="CK925" s="46"/>
      <c r="CL925" s="46"/>
      <c r="CM925" s="46"/>
      <c r="CN925" s="46"/>
      <c r="CO925" s="46"/>
      <c r="CP925" s="46"/>
      <c r="CQ925" s="46"/>
      <c r="CR925" s="46"/>
    </row>
    <row r="926" spans="1:96" ht="16.5">
      <c r="A926" s="46"/>
      <c r="B926" s="46"/>
      <c r="C926" s="33"/>
      <c r="D926" s="46"/>
      <c r="E926" s="46"/>
      <c r="F926" s="33"/>
      <c r="G926" s="46"/>
      <c r="H926" s="46"/>
      <c r="I926" s="45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  <c r="CK926" s="46"/>
      <c r="CL926" s="46"/>
      <c r="CM926" s="46"/>
      <c r="CN926" s="46"/>
      <c r="CO926" s="46"/>
      <c r="CP926" s="46"/>
      <c r="CQ926" s="46"/>
      <c r="CR926" s="46"/>
    </row>
    <row r="927" spans="1:96" ht="16.5">
      <c r="A927" s="46"/>
      <c r="B927" s="46"/>
      <c r="C927" s="33"/>
      <c r="D927" s="46"/>
      <c r="E927" s="46"/>
      <c r="F927" s="33"/>
      <c r="G927" s="46"/>
      <c r="H927" s="46"/>
      <c r="I927" s="45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  <c r="CK927" s="46"/>
      <c r="CL927" s="46"/>
      <c r="CM927" s="46"/>
      <c r="CN927" s="46"/>
      <c r="CO927" s="46"/>
      <c r="CP927" s="46"/>
      <c r="CQ927" s="46"/>
      <c r="CR927" s="46"/>
    </row>
    <row r="928" spans="1:96" ht="16.5">
      <c r="A928" s="46"/>
      <c r="B928" s="46"/>
      <c r="C928" s="33"/>
      <c r="D928" s="46"/>
      <c r="E928" s="46"/>
      <c r="F928" s="33"/>
      <c r="G928" s="46"/>
      <c r="H928" s="46"/>
      <c r="I928" s="45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  <c r="CK928" s="46"/>
      <c r="CL928" s="46"/>
      <c r="CM928" s="46"/>
      <c r="CN928" s="46"/>
      <c r="CO928" s="46"/>
      <c r="CP928" s="46"/>
      <c r="CQ928" s="46"/>
      <c r="CR928" s="46"/>
    </row>
    <row r="929" spans="1:96" ht="16.5">
      <c r="A929" s="46"/>
      <c r="B929" s="46"/>
      <c r="C929" s="33"/>
      <c r="D929" s="46"/>
      <c r="E929" s="46"/>
      <c r="F929" s="33"/>
      <c r="G929" s="46"/>
      <c r="H929" s="46"/>
      <c r="I929" s="45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  <c r="CK929" s="46"/>
      <c r="CL929" s="46"/>
      <c r="CM929" s="46"/>
      <c r="CN929" s="46"/>
      <c r="CO929" s="46"/>
      <c r="CP929" s="46"/>
      <c r="CQ929" s="46"/>
      <c r="CR929" s="46"/>
    </row>
    <row r="930" spans="1:96" ht="16.5">
      <c r="A930" s="46"/>
      <c r="B930" s="46"/>
      <c r="C930" s="33"/>
      <c r="D930" s="46"/>
      <c r="E930" s="46"/>
      <c r="F930" s="33"/>
      <c r="G930" s="46"/>
      <c r="H930" s="46"/>
      <c r="I930" s="45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  <c r="CK930" s="46"/>
      <c r="CL930" s="46"/>
      <c r="CM930" s="46"/>
      <c r="CN930" s="46"/>
      <c r="CO930" s="46"/>
      <c r="CP930" s="46"/>
      <c r="CQ930" s="46"/>
      <c r="CR930" s="46"/>
    </row>
    <row r="931" spans="1:96" ht="16.5">
      <c r="A931" s="46"/>
      <c r="B931" s="46"/>
      <c r="C931" s="33"/>
      <c r="D931" s="46"/>
      <c r="E931" s="46"/>
      <c r="F931" s="33"/>
      <c r="G931" s="46"/>
      <c r="H931" s="46"/>
      <c r="I931" s="45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  <c r="CK931" s="46"/>
      <c r="CL931" s="46"/>
      <c r="CM931" s="46"/>
      <c r="CN931" s="46"/>
      <c r="CO931" s="46"/>
      <c r="CP931" s="46"/>
      <c r="CQ931" s="46"/>
      <c r="CR931" s="46"/>
    </row>
    <row r="932" spans="1:96" ht="16.5">
      <c r="A932" s="46"/>
      <c r="B932" s="46"/>
      <c r="C932" s="33"/>
      <c r="D932" s="46"/>
      <c r="E932" s="46"/>
      <c r="F932" s="33"/>
      <c r="G932" s="46"/>
      <c r="H932" s="46"/>
      <c r="I932" s="45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  <c r="CK932" s="46"/>
      <c r="CL932" s="46"/>
      <c r="CM932" s="46"/>
      <c r="CN932" s="46"/>
      <c r="CO932" s="46"/>
      <c r="CP932" s="46"/>
      <c r="CQ932" s="46"/>
      <c r="CR932" s="46"/>
    </row>
    <row r="933" spans="1:96" ht="16.5">
      <c r="A933" s="46"/>
      <c r="B933" s="46"/>
      <c r="C933" s="33"/>
      <c r="D933" s="46"/>
      <c r="E933" s="46"/>
      <c r="F933" s="33"/>
      <c r="G933" s="46"/>
      <c r="H933" s="46"/>
      <c r="I933" s="45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  <c r="CK933" s="46"/>
      <c r="CL933" s="46"/>
      <c r="CM933" s="46"/>
      <c r="CN933" s="46"/>
      <c r="CO933" s="46"/>
      <c r="CP933" s="46"/>
      <c r="CQ933" s="46"/>
      <c r="CR933" s="46"/>
    </row>
    <row r="934" spans="1:96" ht="16.5">
      <c r="A934" s="46"/>
      <c r="B934" s="46"/>
      <c r="C934" s="33"/>
      <c r="D934" s="46"/>
      <c r="E934" s="46"/>
      <c r="F934" s="33"/>
      <c r="G934" s="46"/>
      <c r="H934" s="46"/>
      <c r="I934" s="45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  <c r="CK934" s="46"/>
      <c r="CL934" s="46"/>
      <c r="CM934" s="46"/>
      <c r="CN934" s="46"/>
      <c r="CO934" s="46"/>
      <c r="CP934" s="46"/>
      <c r="CQ934" s="46"/>
      <c r="CR934" s="46"/>
    </row>
    <row r="935" spans="1:96" ht="16.5">
      <c r="A935" s="46"/>
      <c r="B935" s="46"/>
      <c r="C935" s="33"/>
      <c r="D935" s="46"/>
      <c r="E935" s="46"/>
      <c r="F935" s="33"/>
      <c r="G935" s="46"/>
      <c r="H935" s="46"/>
      <c r="I935" s="45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  <c r="CK935" s="46"/>
      <c r="CL935" s="46"/>
      <c r="CM935" s="46"/>
      <c r="CN935" s="46"/>
      <c r="CO935" s="46"/>
      <c r="CP935" s="46"/>
      <c r="CQ935" s="46"/>
      <c r="CR935" s="46"/>
    </row>
    <row r="936" spans="1:96" ht="16.5">
      <c r="A936" s="46"/>
      <c r="B936" s="46"/>
      <c r="C936" s="33"/>
      <c r="D936" s="46"/>
      <c r="E936" s="46"/>
      <c r="F936" s="33"/>
      <c r="G936" s="46"/>
      <c r="H936" s="46"/>
      <c r="I936" s="45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  <c r="CK936" s="46"/>
      <c r="CL936" s="46"/>
      <c r="CM936" s="46"/>
      <c r="CN936" s="46"/>
      <c r="CO936" s="46"/>
      <c r="CP936" s="46"/>
      <c r="CQ936" s="46"/>
      <c r="CR936" s="46"/>
    </row>
    <row r="937" spans="1:96" ht="16.5">
      <c r="A937" s="46"/>
      <c r="B937" s="46"/>
      <c r="C937" s="33"/>
      <c r="D937" s="46"/>
      <c r="E937" s="46"/>
      <c r="F937" s="33"/>
      <c r="G937" s="46"/>
      <c r="H937" s="46"/>
      <c r="I937" s="45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  <c r="CK937" s="46"/>
      <c r="CL937" s="46"/>
      <c r="CM937" s="46"/>
      <c r="CN937" s="46"/>
      <c r="CO937" s="46"/>
      <c r="CP937" s="46"/>
      <c r="CQ937" s="46"/>
      <c r="CR937" s="46"/>
    </row>
    <row r="938" spans="1:96" ht="16.5">
      <c r="A938" s="46"/>
      <c r="B938" s="46"/>
      <c r="C938" s="33"/>
      <c r="D938" s="46"/>
      <c r="E938" s="46"/>
      <c r="F938" s="33"/>
      <c r="G938" s="46"/>
      <c r="H938" s="46"/>
      <c r="I938" s="45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  <c r="CK938" s="46"/>
      <c r="CL938" s="46"/>
      <c r="CM938" s="46"/>
      <c r="CN938" s="46"/>
      <c r="CO938" s="46"/>
      <c r="CP938" s="46"/>
      <c r="CQ938" s="46"/>
      <c r="CR938" s="46"/>
    </row>
    <row r="939" spans="1:96" ht="16.5">
      <c r="A939" s="46"/>
      <c r="B939" s="46"/>
      <c r="C939" s="33"/>
      <c r="D939" s="46"/>
      <c r="E939" s="46"/>
      <c r="F939" s="33"/>
      <c r="G939" s="46"/>
      <c r="H939" s="46"/>
      <c r="I939" s="45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  <c r="CK939" s="46"/>
      <c r="CL939" s="46"/>
      <c r="CM939" s="46"/>
      <c r="CN939" s="46"/>
      <c r="CO939" s="46"/>
      <c r="CP939" s="46"/>
      <c r="CQ939" s="46"/>
      <c r="CR939" s="46"/>
    </row>
    <row r="940" spans="1:96" ht="16.5">
      <c r="A940" s="46"/>
      <c r="B940" s="46"/>
      <c r="C940" s="33"/>
      <c r="D940" s="46"/>
      <c r="E940" s="46"/>
      <c r="F940" s="33"/>
      <c r="G940" s="46"/>
      <c r="H940" s="46"/>
      <c r="I940" s="45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  <c r="CK940" s="46"/>
      <c r="CL940" s="46"/>
      <c r="CM940" s="46"/>
      <c r="CN940" s="46"/>
      <c r="CO940" s="46"/>
      <c r="CP940" s="46"/>
      <c r="CQ940" s="46"/>
      <c r="CR940" s="46"/>
    </row>
    <row r="941" spans="1:96" ht="16.5">
      <c r="A941" s="46"/>
      <c r="B941" s="46"/>
      <c r="C941" s="33"/>
      <c r="D941" s="46"/>
      <c r="E941" s="46"/>
      <c r="F941" s="33"/>
      <c r="G941" s="46"/>
      <c r="H941" s="46"/>
      <c r="I941" s="45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  <c r="CK941" s="46"/>
      <c r="CL941" s="46"/>
      <c r="CM941" s="46"/>
      <c r="CN941" s="46"/>
      <c r="CO941" s="46"/>
      <c r="CP941" s="46"/>
      <c r="CQ941" s="46"/>
      <c r="CR941" s="46"/>
    </row>
    <row r="942" spans="1:96" ht="16.5">
      <c r="A942" s="46"/>
      <c r="B942" s="46"/>
      <c r="C942" s="33"/>
      <c r="D942" s="46"/>
      <c r="E942" s="46"/>
      <c r="F942" s="33"/>
      <c r="G942" s="46"/>
      <c r="H942" s="46"/>
      <c r="I942" s="45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  <c r="CK942" s="46"/>
      <c r="CL942" s="46"/>
      <c r="CM942" s="46"/>
      <c r="CN942" s="46"/>
      <c r="CO942" s="46"/>
      <c r="CP942" s="46"/>
      <c r="CQ942" s="46"/>
      <c r="CR942" s="46"/>
    </row>
    <row r="943" spans="1:96" ht="16.5">
      <c r="A943" s="46"/>
      <c r="B943" s="46"/>
      <c r="C943" s="33"/>
      <c r="D943" s="46"/>
      <c r="E943" s="46"/>
      <c r="F943" s="33"/>
      <c r="G943" s="46"/>
      <c r="H943" s="46"/>
      <c r="I943" s="45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  <c r="CK943" s="46"/>
      <c r="CL943" s="46"/>
      <c r="CM943" s="46"/>
      <c r="CN943" s="46"/>
      <c r="CO943" s="46"/>
      <c r="CP943" s="46"/>
      <c r="CQ943" s="46"/>
      <c r="CR943" s="46"/>
    </row>
    <row r="944" spans="1:96" ht="16.5">
      <c r="A944" s="46"/>
      <c r="B944" s="46"/>
      <c r="C944" s="33"/>
      <c r="D944" s="46"/>
      <c r="E944" s="46"/>
      <c r="F944" s="33"/>
      <c r="G944" s="46"/>
      <c r="H944" s="46"/>
      <c r="I944" s="45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  <c r="CK944" s="46"/>
      <c r="CL944" s="46"/>
      <c r="CM944" s="46"/>
      <c r="CN944" s="46"/>
      <c r="CO944" s="46"/>
      <c r="CP944" s="46"/>
      <c r="CQ944" s="46"/>
      <c r="CR944" s="46"/>
    </row>
    <row r="945" spans="1:96" ht="16.5">
      <c r="A945" s="46"/>
      <c r="B945" s="46"/>
      <c r="C945" s="33"/>
      <c r="D945" s="46"/>
      <c r="E945" s="46"/>
      <c r="F945" s="33"/>
      <c r="G945" s="46"/>
      <c r="H945" s="46"/>
      <c r="I945" s="45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  <c r="CK945" s="46"/>
      <c r="CL945" s="46"/>
      <c r="CM945" s="46"/>
      <c r="CN945" s="46"/>
      <c r="CO945" s="46"/>
      <c r="CP945" s="46"/>
      <c r="CQ945" s="46"/>
      <c r="CR945" s="46"/>
    </row>
    <row r="946" spans="1:96" ht="16.5">
      <c r="A946" s="46"/>
      <c r="B946" s="46"/>
      <c r="C946" s="33"/>
      <c r="D946" s="46"/>
      <c r="E946" s="46"/>
      <c r="F946" s="33"/>
      <c r="G946" s="46"/>
      <c r="H946" s="46"/>
      <c r="I946" s="45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  <c r="CK946" s="46"/>
      <c r="CL946" s="46"/>
      <c r="CM946" s="46"/>
      <c r="CN946" s="46"/>
      <c r="CO946" s="46"/>
      <c r="CP946" s="46"/>
      <c r="CQ946" s="46"/>
      <c r="CR946" s="46"/>
    </row>
    <row r="947" spans="1:96" ht="16.5">
      <c r="A947" s="46"/>
      <c r="B947" s="46"/>
      <c r="C947" s="33"/>
      <c r="D947" s="46"/>
      <c r="E947" s="46"/>
      <c r="F947" s="33"/>
      <c r="G947" s="46"/>
      <c r="H947" s="46"/>
      <c r="I947" s="45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  <c r="CK947" s="46"/>
      <c r="CL947" s="46"/>
      <c r="CM947" s="46"/>
      <c r="CN947" s="46"/>
      <c r="CO947" s="46"/>
      <c r="CP947" s="46"/>
      <c r="CQ947" s="46"/>
      <c r="CR947" s="46"/>
    </row>
    <row r="948" spans="1:96" ht="16.5">
      <c r="A948" s="46"/>
      <c r="B948" s="46"/>
      <c r="C948" s="33"/>
      <c r="D948" s="46"/>
      <c r="E948" s="46"/>
      <c r="F948" s="33"/>
      <c r="G948" s="46"/>
      <c r="H948" s="46"/>
      <c r="I948" s="45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  <c r="CK948" s="46"/>
      <c r="CL948" s="46"/>
      <c r="CM948" s="46"/>
      <c r="CN948" s="46"/>
      <c r="CO948" s="46"/>
      <c r="CP948" s="46"/>
      <c r="CQ948" s="46"/>
      <c r="CR948" s="46"/>
    </row>
    <row r="949" spans="1:96" ht="16.5">
      <c r="A949" s="46"/>
      <c r="B949" s="46"/>
      <c r="C949" s="33"/>
      <c r="D949" s="46"/>
      <c r="E949" s="46"/>
      <c r="F949" s="33"/>
      <c r="G949" s="46"/>
      <c r="H949" s="46"/>
      <c r="I949" s="45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  <c r="CK949" s="46"/>
      <c r="CL949" s="46"/>
      <c r="CM949" s="46"/>
      <c r="CN949" s="46"/>
      <c r="CO949" s="46"/>
      <c r="CP949" s="46"/>
      <c r="CQ949" s="46"/>
      <c r="CR949" s="46"/>
    </row>
    <row r="950" spans="1:96" ht="16.5">
      <c r="A950" s="46"/>
      <c r="B950" s="46"/>
      <c r="C950" s="33"/>
      <c r="D950" s="46"/>
      <c r="E950" s="46"/>
      <c r="F950" s="33"/>
      <c r="G950" s="46"/>
      <c r="H950" s="46"/>
      <c r="I950" s="45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  <c r="CK950" s="46"/>
      <c r="CL950" s="46"/>
      <c r="CM950" s="46"/>
      <c r="CN950" s="46"/>
      <c r="CO950" s="46"/>
      <c r="CP950" s="46"/>
      <c r="CQ950" s="46"/>
      <c r="CR950" s="46"/>
    </row>
    <row r="951" spans="1:96" ht="16.5">
      <c r="A951" s="46"/>
      <c r="B951" s="46"/>
      <c r="C951" s="33"/>
      <c r="D951" s="46"/>
      <c r="E951" s="46"/>
      <c r="F951" s="33"/>
      <c r="G951" s="46"/>
      <c r="H951" s="46"/>
      <c r="I951" s="45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  <c r="CK951" s="46"/>
      <c r="CL951" s="46"/>
      <c r="CM951" s="46"/>
      <c r="CN951" s="46"/>
      <c r="CO951" s="46"/>
      <c r="CP951" s="46"/>
      <c r="CQ951" s="46"/>
      <c r="CR951" s="46"/>
    </row>
    <row r="952" spans="1:96" ht="16.5">
      <c r="A952" s="46"/>
      <c r="B952" s="46"/>
      <c r="C952" s="33"/>
      <c r="D952" s="46"/>
      <c r="E952" s="46"/>
      <c r="F952" s="33"/>
      <c r="G952" s="46"/>
      <c r="H952" s="46"/>
      <c r="I952" s="45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  <c r="CK952" s="46"/>
      <c r="CL952" s="46"/>
      <c r="CM952" s="46"/>
      <c r="CN952" s="46"/>
      <c r="CO952" s="46"/>
      <c r="CP952" s="46"/>
      <c r="CQ952" s="46"/>
      <c r="CR952" s="46"/>
    </row>
    <row r="953" spans="1:96" ht="16.5">
      <c r="A953" s="46"/>
      <c r="B953" s="46"/>
      <c r="C953" s="33"/>
      <c r="D953" s="46"/>
      <c r="E953" s="46"/>
      <c r="F953" s="33"/>
      <c r="G953" s="46"/>
      <c r="H953" s="46"/>
      <c r="I953" s="45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  <c r="CK953" s="46"/>
      <c r="CL953" s="46"/>
      <c r="CM953" s="46"/>
      <c r="CN953" s="46"/>
      <c r="CO953" s="46"/>
      <c r="CP953" s="46"/>
      <c r="CQ953" s="46"/>
      <c r="CR953" s="46"/>
    </row>
    <row r="954" spans="1:96" ht="16.5">
      <c r="A954" s="46"/>
      <c r="B954" s="46"/>
      <c r="C954" s="33"/>
      <c r="D954" s="46"/>
      <c r="E954" s="46"/>
      <c r="F954" s="33"/>
      <c r="G954" s="46"/>
      <c r="H954" s="46"/>
      <c r="I954" s="45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  <c r="CK954" s="46"/>
      <c r="CL954" s="46"/>
      <c r="CM954" s="46"/>
      <c r="CN954" s="46"/>
      <c r="CO954" s="46"/>
      <c r="CP954" s="46"/>
      <c r="CQ954" s="46"/>
      <c r="CR954" s="46"/>
    </row>
    <row r="955" spans="1:96" ht="16.5">
      <c r="A955" s="46"/>
      <c r="B955" s="46"/>
      <c r="C955" s="33"/>
      <c r="D955" s="46"/>
      <c r="E955" s="46"/>
      <c r="F955" s="33"/>
      <c r="G955" s="46"/>
      <c r="H955" s="46"/>
      <c r="I955" s="45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  <c r="CK955" s="46"/>
      <c r="CL955" s="46"/>
      <c r="CM955" s="46"/>
      <c r="CN955" s="46"/>
      <c r="CO955" s="46"/>
      <c r="CP955" s="46"/>
      <c r="CQ955" s="46"/>
      <c r="CR955" s="46"/>
    </row>
    <row r="956" spans="1:96" ht="16.5">
      <c r="A956" s="46"/>
      <c r="B956" s="46"/>
      <c r="C956" s="33"/>
      <c r="D956" s="46"/>
      <c r="E956" s="46"/>
      <c r="F956" s="33"/>
      <c r="G956" s="46"/>
      <c r="H956" s="46"/>
      <c r="I956" s="45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  <c r="CK956" s="46"/>
      <c r="CL956" s="46"/>
      <c r="CM956" s="46"/>
      <c r="CN956" s="46"/>
      <c r="CO956" s="46"/>
      <c r="CP956" s="46"/>
      <c r="CQ956" s="46"/>
      <c r="CR956" s="46"/>
    </row>
    <row r="957" spans="1:96" ht="16.5">
      <c r="A957" s="46"/>
      <c r="B957" s="46"/>
      <c r="C957" s="33"/>
      <c r="D957" s="46"/>
      <c r="E957" s="46"/>
      <c r="F957" s="33"/>
      <c r="G957" s="46"/>
      <c r="H957" s="46"/>
      <c r="I957" s="45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  <c r="CK957" s="46"/>
      <c r="CL957" s="46"/>
      <c r="CM957" s="46"/>
      <c r="CN957" s="46"/>
      <c r="CO957" s="46"/>
      <c r="CP957" s="46"/>
      <c r="CQ957" s="46"/>
      <c r="CR957" s="46"/>
    </row>
    <row r="958" spans="1:96" ht="16.5">
      <c r="A958" s="46"/>
      <c r="B958" s="46"/>
      <c r="C958" s="33"/>
      <c r="D958" s="46"/>
      <c r="E958" s="46"/>
      <c r="F958" s="33"/>
      <c r="G958" s="46"/>
      <c r="H958" s="46"/>
      <c r="I958" s="45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  <c r="CK958" s="46"/>
      <c r="CL958" s="46"/>
      <c r="CM958" s="46"/>
      <c r="CN958" s="46"/>
      <c r="CO958" s="46"/>
      <c r="CP958" s="46"/>
      <c r="CQ958" s="46"/>
      <c r="CR958" s="46"/>
    </row>
    <row r="959" spans="1:96" ht="16.5">
      <c r="A959" s="46"/>
      <c r="B959" s="46"/>
      <c r="C959" s="33"/>
      <c r="D959" s="46"/>
      <c r="E959" s="46"/>
      <c r="F959" s="33"/>
      <c r="G959" s="46"/>
      <c r="H959" s="46"/>
      <c r="I959" s="45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  <c r="CK959" s="46"/>
      <c r="CL959" s="46"/>
      <c r="CM959" s="46"/>
      <c r="CN959" s="46"/>
      <c r="CO959" s="46"/>
      <c r="CP959" s="46"/>
      <c r="CQ959" s="46"/>
      <c r="CR959" s="46"/>
    </row>
    <row r="960" spans="1:96" ht="16.5">
      <c r="A960" s="46"/>
      <c r="B960" s="46"/>
      <c r="C960" s="33"/>
      <c r="D960" s="46"/>
      <c r="E960" s="46"/>
      <c r="F960" s="33"/>
      <c r="G960" s="46"/>
      <c r="H960" s="46"/>
      <c r="I960" s="45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  <c r="CK960" s="46"/>
      <c r="CL960" s="46"/>
      <c r="CM960" s="46"/>
      <c r="CN960" s="46"/>
      <c r="CO960" s="46"/>
      <c r="CP960" s="46"/>
      <c r="CQ960" s="46"/>
      <c r="CR960" s="46"/>
    </row>
    <row r="961" spans="1:96" ht="16.5">
      <c r="A961" s="46"/>
      <c r="B961" s="46"/>
      <c r="C961" s="33"/>
      <c r="D961" s="46"/>
      <c r="E961" s="46"/>
      <c r="F961" s="33"/>
      <c r="G961" s="46"/>
      <c r="H961" s="46"/>
      <c r="I961" s="45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  <c r="CK961" s="46"/>
      <c r="CL961" s="46"/>
      <c r="CM961" s="46"/>
      <c r="CN961" s="46"/>
      <c r="CO961" s="46"/>
      <c r="CP961" s="46"/>
      <c r="CQ961" s="46"/>
      <c r="CR961" s="46"/>
    </row>
    <row r="962" spans="1:96" ht="16.5">
      <c r="A962" s="46"/>
      <c r="B962" s="46"/>
      <c r="C962" s="33"/>
      <c r="D962" s="46"/>
      <c r="E962" s="46"/>
      <c r="F962" s="33"/>
      <c r="G962" s="46"/>
      <c r="H962" s="46"/>
      <c r="I962" s="45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  <c r="CK962" s="46"/>
      <c r="CL962" s="46"/>
      <c r="CM962" s="46"/>
      <c r="CN962" s="46"/>
      <c r="CO962" s="46"/>
      <c r="CP962" s="46"/>
      <c r="CQ962" s="46"/>
      <c r="CR962" s="46"/>
    </row>
    <row r="963" spans="1:96" ht="16.5">
      <c r="A963" s="46"/>
      <c r="B963" s="46"/>
      <c r="C963" s="33"/>
      <c r="D963" s="46"/>
      <c r="E963" s="46"/>
      <c r="F963" s="33"/>
      <c r="G963" s="46"/>
      <c r="H963" s="46"/>
      <c r="I963" s="45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  <c r="CK963" s="46"/>
      <c r="CL963" s="46"/>
      <c r="CM963" s="46"/>
      <c r="CN963" s="46"/>
      <c r="CO963" s="46"/>
      <c r="CP963" s="46"/>
      <c r="CQ963" s="46"/>
      <c r="CR963" s="46"/>
    </row>
    <row r="964" spans="1:96" ht="16.5">
      <c r="A964" s="46"/>
      <c r="B964" s="46"/>
      <c r="C964" s="33"/>
      <c r="D964" s="46"/>
      <c r="E964" s="46"/>
      <c r="F964" s="33"/>
      <c r="G964" s="46"/>
      <c r="H964" s="46"/>
      <c r="I964" s="45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  <c r="CK964" s="46"/>
      <c r="CL964" s="46"/>
      <c r="CM964" s="46"/>
      <c r="CN964" s="46"/>
      <c r="CO964" s="46"/>
      <c r="CP964" s="46"/>
      <c r="CQ964" s="46"/>
      <c r="CR964" s="46"/>
    </row>
    <row r="965" spans="1:96" ht="16.5">
      <c r="A965" s="46"/>
      <c r="B965" s="46"/>
      <c r="C965" s="33"/>
      <c r="D965" s="46"/>
      <c r="E965" s="46"/>
      <c r="F965" s="33"/>
      <c r="G965" s="46"/>
      <c r="H965" s="46"/>
      <c r="I965" s="45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  <c r="CK965" s="46"/>
      <c r="CL965" s="46"/>
      <c r="CM965" s="46"/>
      <c r="CN965" s="46"/>
      <c r="CO965" s="46"/>
      <c r="CP965" s="46"/>
      <c r="CQ965" s="46"/>
      <c r="CR965" s="46"/>
    </row>
    <row r="966" spans="1:96" ht="16.5">
      <c r="A966" s="46"/>
      <c r="B966" s="46"/>
      <c r="C966" s="33"/>
      <c r="D966" s="46"/>
      <c r="E966" s="46"/>
      <c r="F966" s="33"/>
      <c r="G966" s="46"/>
      <c r="H966" s="46"/>
      <c r="I966" s="45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  <c r="CK966" s="46"/>
      <c r="CL966" s="46"/>
      <c r="CM966" s="46"/>
      <c r="CN966" s="46"/>
      <c r="CO966" s="46"/>
      <c r="CP966" s="46"/>
      <c r="CQ966" s="46"/>
      <c r="CR966" s="46"/>
    </row>
    <row r="967" spans="1:96" ht="16.5">
      <c r="A967" s="46"/>
      <c r="B967" s="46"/>
      <c r="C967" s="33"/>
      <c r="D967" s="46"/>
      <c r="E967" s="46"/>
      <c r="F967" s="33"/>
      <c r="G967" s="46"/>
      <c r="H967" s="46"/>
      <c r="I967" s="45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  <c r="CK967" s="46"/>
      <c r="CL967" s="46"/>
      <c r="CM967" s="46"/>
      <c r="CN967" s="46"/>
      <c r="CO967" s="46"/>
      <c r="CP967" s="46"/>
      <c r="CQ967" s="46"/>
      <c r="CR967" s="46"/>
    </row>
    <row r="968" spans="1:96" ht="16.5">
      <c r="A968" s="46"/>
      <c r="B968" s="46"/>
      <c r="C968" s="33"/>
      <c r="D968" s="46"/>
      <c r="E968" s="46"/>
      <c r="F968" s="33"/>
      <c r="G968" s="46"/>
      <c r="H968" s="46"/>
      <c r="I968" s="45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  <c r="CK968" s="46"/>
      <c r="CL968" s="46"/>
      <c r="CM968" s="46"/>
      <c r="CN968" s="46"/>
      <c r="CO968" s="46"/>
      <c r="CP968" s="46"/>
      <c r="CQ968" s="46"/>
      <c r="CR968" s="46"/>
    </row>
    <row r="969" spans="1:96" ht="16.5">
      <c r="A969" s="46"/>
      <c r="B969" s="46"/>
      <c r="C969" s="33"/>
      <c r="D969" s="46"/>
      <c r="E969" s="46"/>
      <c r="F969" s="33"/>
      <c r="G969" s="46"/>
      <c r="H969" s="46"/>
      <c r="I969" s="45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  <c r="CK969" s="46"/>
      <c r="CL969" s="46"/>
      <c r="CM969" s="46"/>
      <c r="CN969" s="46"/>
      <c r="CO969" s="46"/>
      <c r="CP969" s="46"/>
      <c r="CQ969" s="46"/>
      <c r="CR969" s="46"/>
    </row>
    <row r="970" spans="1:96" ht="16.5">
      <c r="A970" s="46"/>
      <c r="B970" s="46"/>
      <c r="C970" s="33"/>
      <c r="D970" s="46"/>
      <c r="E970" s="46"/>
      <c r="F970" s="33"/>
      <c r="G970" s="46"/>
      <c r="H970" s="46"/>
      <c r="I970" s="45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  <c r="CK970" s="46"/>
      <c r="CL970" s="46"/>
      <c r="CM970" s="46"/>
      <c r="CN970" s="46"/>
      <c r="CO970" s="46"/>
      <c r="CP970" s="46"/>
      <c r="CQ970" s="46"/>
      <c r="CR970" s="46"/>
    </row>
    <row r="971" spans="1:96" ht="16.5">
      <c r="A971" s="46"/>
      <c r="B971" s="46"/>
      <c r="C971" s="33"/>
      <c r="D971" s="46"/>
      <c r="E971" s="46"/>
      <c r="F971" s="33"/>
      <c r="G971" s="46"/>
      <c r="H971" s="46"/>
      <c r="I971" s="45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  <c r="CK971" s="46"/>
      <c r="CL971" s="46"/>
      <c r="CM971" s="46"/>
      <c r="CN971" s="46"/>
      <c r="CO971" s="46"/>
      <c r="CP971" s="46"/>
      <c r="CQ971" s="46"/>
      <c r="CR971" s="46"/>
    </row>
    <row r="972" spans="1:96" ht="16.5">
      <c r="A972" s="46"/>
      <c r="B972" s="46"/>
      <c r="C972" s="33"/>
      <c r="D972" s="46"/>
      <c r="E972" s="46"/>
      <c r="F972" s="33"/>
      <c r="G972" s="46"/>
      <c r="H972" s="46"/>
      <c r="I972" s="45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  <c r="CK972" s="46"/>
      <c r="CL972" s="46"/>
      <c r="CM972" s="46"/>
      <c r="CN972" s="46"/>
      <c r="CO972" s="46"/>
      <c r="CP972" s="46"/>
      <c r="CQ972" s="46"/>
      <c r="CR972" s="46"/>
    </row>
    <row r="973" spans="1:96" ht="16.5">
      <c r="A973" s="46"/>
      <c r="B973" s="46"/>
      <c r="C973" s="33"/>
      <c r="D973" s="46"/>
      <c r="E973" s="46"/>
      <c r="F973" s="33"/>
      <c r="G973" s="46"/>
      <c r="H973" s="46"/>
      <c r="I973" s="45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  <c r="CK973" s="46"/>
      <c r="CL973" s="46"/>
      <c r="CM973" s="46"/>
      <c r="CN973" s="46"/>
      <c r="CO973" s="46"/>
      <c r="CP973" s="46"/>
      <c r="CQ973" s="46"/>
      <c r="CR973" s="46"/>
    </row>
    <row r="974" spans="1:96" ht="16.5">
      <c r="A974" s="46"/>
      <c r="B974" s="46"/>
      <c r="C974" s="33"/>
      <c r="D974" s="46"/>
      <c r="E974" s="46"/>
      <c r="F974" s="33"/>
      <c r="G974" s="46"/>
      <c r="H974" s="46"/>
      <c r="I974" s="45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  <c r="CK974" s="46"/>
      <c r="CL974" s="46"/>
      <c r="CM974" s="46"/>
      <c r="CN974" s="46"/>
      <c r="CO974" s="46"/>
      <c r="CP974" s="46"/>
      <c r="CQ974" s="46"/>
      <c r="CR974" s="46"/>
    </row>
    <row r="975" spans="1:96" ht="16.5">
      <c r="A975" s="46"/>
      <c r="B975" s="46"/>
      <c r="C975" s="33"/>
      <c r="D975" s="46"/>
      <c r="E975" s="46"/>
      <c r="F975" s="33"/>
      <c r="G975" s="46"/>
      <c r="H975" s="46"/>
      <c r="I975" s="45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  <c r="CK975" s="46"/>
      <c r="CL975" s="46"/>
      <c r="CM975" s="46"/>
      <c r="CN975" s="46"/>
      <c r="CO975" s="46"/>
      <c r="CP975" s="46"/>
      <c r="CQ975" s="46"/>
      <c r="CR975" s="46"/>
    </row>
    <row r="976" spans="1:96" ht="16.5">
      <c r="A976" s="46"/>
      <c r="B976" s="46"/>
      <c r="C976" s="33"/>
      <c r="D976" s="46"/>
      <c r="E976" s="46"/>
      <c r="F976" s="33"/>
      <c r="G976" s="46"/>
      <c r="H976" s="46"/>
      <c r="I976" s="45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  <c r="CK976" s="46"/>
      <c r="CL976" s="46"/>
      <c r="CM976" s="46"/>
      <c r="CN976" s="46"/>
      <c r="CO976" s="46"/>
      <c r="CP976" s="46"/>
      <c r="CQ976" s="46"/>
      <c r="CR976" s="46"/>
    </row>
    <row r="977" spans="1:96" ht="16.5">
      <c r="A977" s="46"/>
      <c r="B977" s="46"/>
      <c r="C977" s="33"/>
      <c r="D977" s="46"/>
      <c r="E977" s="46"/>
      <c r="F977" s="33"/>
      <c r="G977" s="46"/>
      <c r="H977" s="46"/>
      <c r="I977" s="45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  <c r="CK977" s="46"/>
      <c r="CL977" s="46"/>
      <c r="CM977" s="46"/>
      <c r="CN977" s="46"/>
      <c r="CO977" s="46"/>
      <c r="CP977" s="46"/>
      <c r="CQ977" s="46"/>
      <c r="CR977" s="46"/>
    </row>
    <row r="978" spans="1:96" ht="16.5">
      <c r="A978" s="46"/>
      <c r="B978" s="46"/>
      <c r="C978" s="33"/>
      <c r="D978" s="46"/>
      <c r="E978" s="46"/>
      <c r="F978" s="33"/>
      <c r="G978" s="46"/>
      <c r="H978" s="46"/>
      <c r="I978" s="45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  <c r="CK978" s="46"/>
      <c r="CL978" s="46"/>
      <c r="CM978" s="46"/>
      <c r="CN978" s="46"/>
      <c r="CO978" s="46"/>
      <c r="CP978" s="46"/>
      <c r="CQ978" s="46"/>
      <c r="CR978" s="46"/>
    </row>
    <row r="979" spans="1:96" ht="16.5">
      <c r="A979" s="46"/>
      <c r="B979" s="46"/>
      <c r="C979" s="33"/>
      <c r="D979" s="46"/>
      <c r="E979" s="46"/>
      <c r="F979" s="33"/>
      <c r="G979" s="46"/>
      <c r="H979" s="46"/>
      <c r="I979" s="45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  <c r="CK979" s="46"/>
      <c r="CL979" s="46"/>
      <c r="CM979" s="46"/>
      <c r="CN979" s="46"/>
      <c r="CO979" s="46"/>
      <c r="CP979" s="46"/>
      <c r="CQ979" s="46"/>
      <c r="CR979" s="46"/>
    </row>
    <row r="980" spans="1:96" ht="16.5">
      <c r="A980" s="46"/>
      <c r="B980" s="46"/>
      <c r="C980" s="33"/>
      <c r="D980" s="46"/>
      <c r="E980" s="46"/>
      <c r="F980" s="33"/>
      <c r="G980" s="46"/>
      <c r="H980" s="46"/>
      <c r="I980" s="45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  <c r="CK980" s="46"/>
      <c r="CL980" s="46"/>
      <c r="CM980" s="46"/>
      <c r="CN980" s="46"/>
      <c r="CO980" s="46"/>
      <c r="CP980" s="46"/>
      <c r="CQ980" s="46"/>
      <c r="CR980" s="46"/>
    </row>
    <row r="981" spans="1:96" ht="16.5">
      <c r="A981" s="46"/>
      <c r="B981" s="46"/>
      <c r="C981" s="33"/>
      <c r="D981" s="46"/>
      <c r="E981" s="46"/>
      <c r="F981" s="33"/>
      <c r="G981" s="46"/>
      <c r="H981" s="46"/>
      <c r="I981" s="45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  <c r="CK981" s="46"/>
      <c r="CL981" s="46"/>
      <c r="CM981" s="46"/>
      <c r="CN981" s="46"/>
      <c r="CO981" s="46"/>
      <c r="CP981" s="46"/>
      <c r="CQ981" s="46"/>
      <c r="CR981" s="46"/>
    </row>
    <row r="982" spans="1:96" ht="16.5">
      <c r="A982" s="46"/>
      <c r="B982" s="46"/>
      <c r="C982" s="33"/>
      <c r="D982" s="46"/>
      <c r="E982" s="46"/>
      <c r="F982" s="33"/>
      <c r="G982" s="46"/>
      <c r="H982" s="46"/>
      <c r="I982" s="45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  <c r="CK982" s="46"/>
      <c r="CL982" s="46"/>
      <c r="CM982" s="46"/>
      <c r="CN982" s="46"/>
      <c r="CO982" s="46"/>
      <c r="CP982" s="46"/>
      <c r="CQ982" s="46"/>
      <c r="CR982" s="46"/>
    </row>
    <row r="983" spans="1:96" ht="16.5">
      <c r="A983" s="46"/>
      <c r="B983" s="46"/>
      <c r="C983" s="33"/>
      <c r="D983" s="46"/>
      <c r="E983" s="46"/>
      <c r="F983" s="33"/>
      <c r="G983" s="46"/>
      <c r="H983" s="46"/>
      <c r="I983" s="45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  <c r="CK983" s="46"/>
      <c r="CL983" s="46"/>
      <c r="CM983" s="46"/>
      <c r="CN983" s="46"/>
      <c r="CO983" s="46"/>
      <c r="CP983" s="46"/>
      <c r="CQ983" s="46"/>
      <c r="CR983" s="46"/>
    </row>
    <row r="984" spans="1:96" ht="16.5">
      <c r="A984" s="46"/>
      <c r="B984" s="46"/>
      <c r="C984" s="33"/>
      <c r="D984" s="46"/>
      <c r="E984" s="46"/>
      <c r="F984" s="33"/>
      <c r="G984" s="46"/>
      <c r="H984" s="46"/>
      <c r="I984" s="45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  <c r="CK984" s="46"/>
      <c r="CL984" s="46"/>
      <c r="CM984" s="46"/>
      <c r="CN984" s="46"/>
      <c r="CO984" s="46"/>
      <c r="CP984" s="46"/>
      <c r="CQ984" s="46"/>
      <c r="CR984" s="46"/>
    </row>
    <row r="985" spans="1:96" ht="16.5">
      <c r="A985" s="46"/>
      <c r="B985" s="46"/>
      <c r="C985" s="33"/>
      <c r="D985" s="46"/>
      <c r="E985" s="46"/>
      <c r="F985" s="33"/>
      <c r="G985" s="46"/>
      <c r="H985" s="46"/>
      <c r="I985" s="45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  <c r="CK985" s="46"/>
      <c r="CL985" s="46"/>
      <c r="CM985" s="46"/>
      <c r="CN985" s="46"/>
      <c r="CO985" s="46"/>
      <c r="CP985" s="46"/>
      <c r="CQ985" s="46"/>
      <c r="CR985" s="46"/>
    </row>
    <row r="986" spans="1:96" ht="16.5">
      <c r="A986" s="46"/>
      <c r="B986" s="46"/>
      <c r="C986" s="33"/>
      <c r="D986" s="46"/>
      <c r="E986" s="46"/>
      <c r="F986" s="33"/>
      <c r="G986" s="46"/>
      <c r="H986" s="46"/>
      <c r="I986" s="45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  <c r="CK986" s="46"/>
      <c r="CL986" s="46"/>
      <c r="CM986" s="46"/>
      <c r="CN986" s="46"/>
      <c r="CO986" s="46"/>
      <c r="CP986" s="46"/>
      <c r="CQ986" s="46"/>
      <c r="CR986" s="46"/>
    </row>
    <row r="987" spans="1:96" ht="16.5">
      <c r="A987" s="46"/>
      <c r="B987" s="46"/>
      <c r="C987" s="33"/>
      <c r="D987" s="46"/>
      <c r="E987" s="46"/>
      <c r="F987" s="33"/>
      <c r="G987" s="46"/>
      <c r="H987" s="46"/>
      <c r="I987" s="45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  <c r="CK987" s="46"/>
      <c r="CL987" s="46"/>
      <c r="CM987" s="46"/>
      <c r="CN987" s="46"/>
      <c r="CO987" s="46"/>
      <c r="CP987" s="46"/>
      <c r="CQ987" s="46"/>
      <c r="CR987" s="46"/>
    </row>
    <row r="988" spans="1:96" ht="16.5">
      <c r="A988" s="46"/>
      <c r="B988" s="46"/>
      <c r="C988" s="33"/>
      <c r="D988" s="46"/>
      <c r="E988" s="46"/>
      <c r="F988" s="33"/>
      <c r="G988" s="46"/>
      <c r="H988" s="46"/>
      <c r="I988" s="45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  <c r="CK988" s="46"/>
      <c r="CL988" s="46"/>
      <c r="CM988" s="46"/>
      <c r="CN988" s="46"/>
      <c r="CO988" s="46"/>
      <c r="CP988" s="46"/>
      <c r="CQ988" s="46"/>
      <c r="CR988" s="46"/>
    </row>
    <row r="989" spans="1:96" ht="16.5">
      <c r="A989" s="46"/>
      <c r="B989" s="46"/>
      <c r="C989" s="33"/>
      <c r="D989" s="46"/>
      <c r="E989" s="46"/>
      <c r="F989" s="33"/>
      <c r="G989" s="46"/>
      <c r="H989" s="46"/>
      <c r="I989" s="45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  <c r="CK989" s="46"/>
      <c r="CL989" s="46"/>
      <c r="CM989" s="46"/>
      <c r="CN989" s="46"/>
      <c r="CO989" s="46"/>
      <c r="CP989" s="46"/>
      <c r="CQ989" s="46"/>
      <c r="CR989" s="46"/>
    </row>
    <row r="990" spans="1:96" ht="16.5">
      <c r="A990" s="46"/>
      <c r="B990" s="46"/>
      <c r="C990" s="33"/>
      <c r="D990" s="46"/>
      <c r="E990" s="46"/>
      <c r="F990" s="33"/>
      <c r="G990" s="46"/>
      <c r="H990" s="46"/>
      <c r="I990" s="45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  <c r="CK990" s="46"/>
      <c r="CL990" s="46"/>
      <c r="CM990" s="46"/>
      <c r="CN990" s="46"/>
      <c r="CO990" s="46"/>
      <c r="CP990" s="46"/>
      <c r="CQ990" s="46"/>
      <c r="CR990" s="46"/>
    </row>
    <row r="991" spans="1:96" ht="16.5">
      <c r="A991" s="46"/>
      <c r="B991" s="46"/>
      <c r="C991" s="33"/>
      <c r="D991" s="46"/>
      <c r="E991" s="46"/>
      <c r="F991" s="33"/>
      <c r="G991" s="46"/>
      <c r="H991" s="46"/>
      <c r="I991" s="45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  <c r="CK991" s="46"/>
      <c r="CL991" s="46"/>
      <c r="CM991" s="46"/>
      <c r="CN991" s="46"/>
      <c r="CO991" s="46"/>
      <c r="CP991" s="46"/>
      <c r="CQ991" s="46"/>
      <c r="CR991" s="46"/>
    </row>
    <row r="992" spans="1:96" ht="16.5">
      <c r="A992" s="46"/>
      <c r="B992" s="46"/>
      <c r="C992" s="33"/>
      <c r="D992" s="46"/>
      <c r="E992" s="46"/>
      <c r="F992" s="33"/>
      <c r="G992" s="46"/>
      <c r="H992" s="46"/>
      <c r="I992" s="45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  <c r="CK992" s="46"/>
      <c r="CL992" s="46"/>
      <c r="CM992" s="46"/>
      <c r="CN992" s="46"/>
      <c r="CO992" s="46"/>
      <c r="CP992" s="46"/>
      <c r="CQ992" s="46"/>
      <c r="CR992" s="46"/>
    </row>
    <row r="993" spans="1:96" ht="16.5">
      <c r="A993" s="46"/>
      <c r="B993" s="46"/>
      <c r="C993" s="33"/>
      <c r="D993" s="46"/>
      <c r="E993" s="46"/>
      <c r="F993" s="33"/>
      <c r="G993" s="46"/>
      <c r="H993" s="46"/>
      <c r="I993" s="45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  <c r="CK993" s="46"/>
      <c r="CL993" s="46"/>
      <c r="CM993" s="46"/>
      <c r="CN993" s="46"/>
      <c r="CO993" s="46"/>
      <c r="CP993" s="46"/>
      <c r="CQ993" s="46"/>
      <c r="CR993" s="46"/>
    </row>
    <row r="994" spans="1:96" ht="16.5">
      <c r="A994" s="46"/>
      <c r="B994" s="46"/>
      <c r="C994" s="33"/>
      <c r="D994" s="46"/>
      <c r="E994" s="46"/>
      <c r="F994" s="33"/>
      <c r="G994" s="46"/>
      <c r="H994" s="46"/>
      <c r="I994" s="45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  <c r="CK994" s="46"/>
      <c r="CL994" s="46"/>
      <c r="CM994" s="46"/>
      <c r="CN994" s="46"/>
      <c r="CO994" s="46"/>
      <c r="CP994" s="46"/>
      <c r="CQ994" s="46"/>
      <c r="CR994" s="46"/>
    </row>
    <row r="995" spans="1:96" ht="16.5">
      <c r="A995" s="46"/>
      <c r="B995" s="46"/>
      <c r="C995" s="33"/>
      <c r="D995" s="46"/>
      <c r="E995" s="46"/>
      <c r="F995" s="33"/>
      <c r="G995" s="46"/>
      <c r="H995" s="46"/>
      <c r="I995" s="45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  <c r="CK995" s="46"/>
      <c r="CL995" s="46"/>
      <c r="CM995" s="46"/>
      <c r="CN995" s="46"/>
      <c r="CO995" s="46"/>
      <c r="CP995" s="46"/>
      <c r="CQ995" s="46"/>
      <c r="CR995" s="46"/>
    </row>
    <row r="996" spans="1:96" ht="16.5">
      <c r="A996" s="46"/>
      <c r="B996" s="46"/>
      <c r="C996" s="33"/>
      <c r="D996" s="46"/>
      <c r="E996" s="46"/>
      <c r="F996" s="33"/>
      <c r="G996" s="46"/>
      <c r="H996" s="46"/>
      <c r="I996" s="45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  <c r="CK996" s="46"/>
      <c r="CL996" s="46"/>
      <c r="CM996" s="46"/>
      <c r="CN996" s="46"/>
      <c r="CO996" s="46"/>
      <c r="CP996" s="46"/>
      <c r="CQ996" s="46"/>
      <c r="CR996" s="46"/>
    </row>
    <row r="997" spans="1:96" ht="16.5">
      <c r="A997" s="46"/>
      <c r="B997" s="46"/>
      <c r="C997" s="33"/>
      <c r="D997" s="46"/>
      <c r="E997" s="46"/>
      <c r="F997" s="33"/>
      <c r="G997" s="46"/>
      <c r="H997" s="46"/>
      <c r="I997" s="45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  <c r="CK997" s="46"/>
      <c r="CL997" s="46"/>
      <c r="CM997" s="46"/>
      <c r="CN997" s="46"/>
      <c r="CO997" s="46"/>
      <c r="CP997" s="46"/>
      <c r="CQ997" s="46"/>
      <c r="CR997" s="46"/>
    </row>
    <row r="998" spans="1:96" ht="16.5">
      <c r="A998" s="46"/>
      <c r="B998" s="46"/>
      <c r="C998" s="33"/>
      <c r="D998" s="46"/>
      <c r="E998" s="46"/>
      <c r="F998" s="33"/>
      <c r="G998" s="46"/>
      <c r="H998" s="46"/>
      <c r="I998" s="45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  <c r="CK998" s="46"/>
      <c r="CL998" s="46"/>
      <c r="CM998" s="46"/>
      <c r="CN998" s="46"/>
      <c r="CO998" s="46"/>
      <c r="CP998" s="46"/>
      <c r="CQ998" s="46"/>
      <c r="CR998" s="46"/>
    </row>
    <row r="999" spans="1:96" ht="16.5">
      <c r="A999" s="46"/>
      <c r="B999" s="46"/>
      <c r="C999" s="33"/>
      <c r="D999" s="46"/>
      <c r="E999" s="46"/>
      <c r="F999" s="33"/>
      <c r="G999" s="46"/>
      <c r="H999" s="46"/>
      <c r="I999" s="45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  <c r="CK999" s="46"/>
      <c r="CL999" s="46"/>
      <c r="CM999" s="46"/>
      <c r="CN999" s="46"/>
      <c r="CO999" s="46"/>
      <c r="CP999" s="46"/>
      <c r="CQ999" s="46"/>
      <c r="CR999" s="46"/>
    </row>
  </sheetData>
  <mergeCells count="3">
    <mergeCell ref="A3:B3"/>
    <mergeCell ref="D3:E3"/>
    <mergeCell ref="G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Y999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4.42578125" customWidth="1"/>
    <col min="3" max="3" width="4.42578125" customWidth="1"/>
    <col min="4" max="4" width="18.42578125" customWidth="1"/>
    <col min="5" max="5" width="64.7109375" customWidth="1"/>
    <col min="6" max="6" width="3.7109375" customWidth="1"/>
    <col min="7" max="7" width="18.42578125" customWidth="1"/>
    <col min="8" max="8" width="46.85546875" customWidth="1"/>
    <col min="9" max="9" width="4" customWidth="1"/>
    <col min="10" max="25" width="12.7109375" customWidth="1"/>
  </cols>
  <sheetData>
    <row r="1" spans="1:25" ht="27">
      <c r="A1" s="31" t="s">
        <v>175</v>
      </c>
      <c r="B1" s="32" t="s">
        <v>1</v>
      </c>
      <c r="C1" s="33"/>
      <c r="D1" s="34" t="s">
        <v>176</v>
      </c>
      <c r="E1" s="32" t="s">
        <v>1</v>
      </c>
      <c r="F1" s="35"/>
      <c r="G1" s="34" t="s">
        <v>177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4">
      <c r="A2" s="37" t="s">
        <v>5</v>
      </c>
      <c r="B2" s="38" t="s">
        <v>6</v>
      </c>
      <c r="C2" s="33"/>
      <c r="D2" s="39" t="s">
        <v>5</v>
      </c>
      <c r="E2" s="38" t="s">
        <v>6</v>
      </c>
      <c r="F2" s="35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27">
      <c r="A3" s="193" t="s">
        <v>7</v>
      </c>
      <c r="B3" s="192"/>
      <c r="C3" s="33"/>
      <c r="D3" s="193" t="s">
        <v>7</v>
      </c>
      <c r="E3" s="192"/>
      <c r="F3" s="35"/>
      <c r="G3" s="194" t="s">
        <v>7</v>
      </c>
      <c r="H3" s="192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5" ht="16.5">
      <c r="A4" s="42" t="s">
        <v>178</v>
      </c>
      <c r="B4" s="48" t="s">
        <v>179</v>
      </c>
      <c r="C4" s="33"/>
      <c r="D4" s="42" t="s">
        <v>180</v>
      </c>
      <c r="E4" s="22" t="s">
        <v>181</v>
      </c>
      <c r="F4" s="35"/>
      <c r="G4" s="49" t="s">
        <v>182</v>
      </c>
      <c r="H4" s="43"/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16.5">
      <c r="A5" s="42" t="s">
        <v>183</v>
      </c>
      <c r="B5" s="48" t="s">
        <v>184</v>
      </c>
      <c r="C5" s="33"/>
      <c r="D5" s="42" t="s">
        <v>185</v>
      </c>
      <c r="F5" s="35"/>
      <c r="G5" s="49" t="s">
        <v>186</v>
      </c>
      <c r="H5" s="44"/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5" ht="16.5">
      <c r="A6" s="42" t="s">
        <v>187</v>
      </c>
      <c r="B6" s="48" t="s">
        <v>188</v>
      </c>
      <c r="C6" s="33"/>
      <c r="D6" s="42" t="s">
        <v>189</v>
      </c>
      <c r="F6" s="35"/>
      <c r="G6" s="49" t="s">
        <v>190</v>
      </c>
      <c r="H6" s="44"/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16.5">
      <c r="A7" s="42" t="s">
        <v>191</v>
      </c>
      <c r="B7" s="48" t="s">
        <v>192</v>
      </c>
      <c r="C7" s="33"/>
      <c r="D7" s="42" t="s">
        <v>193</v>
      </c>
      <c r="F7" s="35"/>
      <c r="G7" s="49" t="s">
        <v>194</v>
      </c>
      <c r="H7" s="44"/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ht="16.5">
      <c r="A8" s="42" t="s">
        <v>195</v>
      </c>
      <c r="B8" s="48" t="s">
        <v>196</v>
      </c>
      <c r="C8" s="33"/>
      <c r="D8" s="42" t="s">
        <v>197</v>
      </c>
      <c r="F8" s="35"/>
      <c r="G8" s="49" t="s">
        <v>198</v>
      </c>
      <c r="H8" s="44"/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ht="16.5">
      <c r="A9" s="49" t="s">
        <v>199</v>
      </c>
      <c r="B9" s="50" t="s">
        <v>200</v>
      </c>
      <c r="C9" s="51"/>
      <c r="D9" s="52"/>
      <c r="E9" s="52"/>
      <c r="F9" s="53"/>
      <c r="G9" s="52"/>
      <c r="H9" s="52"/>
      <c r="I9" s="54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ht="16.5">
      <c r="A10" s="49" t="s">
        <v>201</v>
      </c>
      <c r="B10" s="55"/>
      <c r="C10" s="51"/>
      <c r="D10" s="52"/>
      <c r="E10" s="52"/>
      <c r="F10" s="53"/>
      <c r="G10" s="52"/>
      <c r="H10" s="52"/>
      <c r="I10" s="54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16.5">
      <c r="A11" s="49" t="s">
        <v>202</v>
      </c>
      <c r="B11" s="55"/>
      <c r="C11" s="51"/>
      <c r="D11" s="52"/>
      <c r="E11" s="52"/>
      <c r="F11" s="53"/>
      <c r="G11" s="52"/>
      <c r="H11" s="52"/>
      <c r="I11" s="54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16.5">
      <c r="A12" s="56" t="s">
        <v>59</v>
      </c>
      <c r="B12" s="55"/>
      <c r="C12" s="51"/>
      <c r="D12" s="52"/>
      <c r="E12" s="52"/>
      <c r="F12" s="53"/>
      <c r="G12" s="52"/>
      <c r="H12" s="52"/>
      <c r="I12" s="54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ht="16.5">
      <c r="A13" s="56" t="s">
        <v>59</v>
      </c>
      <c r="B13" s="55"/>
      <c r="C13" s="51"/>
      <c r="D13" s="52"/>
      <c r="E13" s="52"/>
      <c r="F13" s="53"/>
      <c r="G13" s="52"/>
      <c r="H13" s="52"/>
      <c r="I13" s="54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 ht="16.5">
      <c r="A14" s="56" t="s">
        <v>59</v>
      </c>
      <c r="B14" s="55"/>
      <c r="C14" s="51"/>
      <c r="D14" s="52"/>
      <c r="E14" s="52"/>
      <c r="F14" s="53"/>
      <c r="G14" s="52"/>
      <c r="H14" s="52"/>
      <c r="I14" s="54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16.5">
      <c r="A15" s="56" t="s">
        <v>59</v>
      </c>
      <c r="B15" s="55"/>
      <c r="C15" s="51"/>
      <c r="D15" s="52"/>
      <c r="E15" s="52"/>
      <c r="F15" s="53"/>
      <c r="G15" s="52"/>
      <c r="H15" s="52"/>
      <c r="I15" s="54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 ht="16.5">
      <c r="A16" s="56" t="s">
        <v>59</v>
      </c>
      <c r="B16" s="55"/>
      <c r="C16" s="51"/>
      <c r="D16" s="52"/>
      <c r="E16" s="52"/>
      <c r="F16" s="53"/>
      <c r="G16" s="52"/>
      <c r="H16" s="52"/>
      <c r="I16" s="54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 ht="16.5">
      <c r="A17" s="56" t="s">
        <v>59</v>
      </c>
      <c r="B17" s="55"/>
      <c r="C17" s="51"/>
      <c r="D17" s="52"/>
      <c r="E17" s="52"/>
      <c r="F17" s="53"/>
      <c r="G17" s="52"/>
      <c r="H17" s="52"/>
      <c r="I17" s="54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 ht="16.5">
      <c r="A18" s="56" t="s">
        <v>59</v>
      </c>
      <c r="B18" s="55"/>
      <c r="C18" s="51"/>
      <c r="D18" s="52"/>
      <c r="E18" s="52"/>
      <c r="F18" s="53"/>
      <c r="G18" s="52"/>
      <c r="H18" s="52"/>
      <c r="I18" s="54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 ht="16.5">
      <c r="A19" s="56" t="s">
        <v>59</v>
      </c>
      <c r="B19" s="55"/>
      <c r="C19" s="51"/>
      <c r="D19" s="52"/>
      <c r="E19" s="52"/>
      <c r="F19" s="53"/>
      <c r="G19" s="52"/>
      <c r="H19" s="52"/>
      <c r="I19" s="54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 ht="16.5">
      <c r="A20" s="56" t="s">
        <v>59</v>
      </c>
      <c r="B20" s="55"/>
      <c r="C20" s="51"/>
      <c r="D20" s="52"/>
      <c r="E20" s="52"/>
      <c r="F20" s="53"/>
      <c r="G20" s="52"/>
      <c r="H20" s="52"/>
      <c r="I20" s="54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ht="16.5">
      <c r="A21" s="56" t="s">
        <v>59</v>
      </c>
      <c r="B21" s="55"/>
      <c r="C21" s="51"/>
      <c r="D21" s="52"/>
      <c r="E21" s="52"/>
      <c r="F21" s="53"/>
      <c r="G21" s="52"/>
      <c r="H21" s="52"/>
      <c r="I21" s="54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 ht="16.5">
      <c r="A22" s="56" t="s">
        <v>59</v>
      </c>
      <c r="B22" s="55"/>
      <c r="C22" s="51"/>
      <c r="D22" s="52"/>
      <c r="E22" s="52"/>
      <c r="F22" s="53"/>
      <c r="G22" s="52"/>
      <c r="H22" s="52"/>
      <c r="I22" s="54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ht="16.5">
      <c r="A23" s="56" t="s">
        <v>59</v>
      </c>
      <c r="B23" s="55"/>
      <c r="C23" s="51"/>
      <c r="D23" s="52"/>
      <c r="E23" s="52"/>
      <c r="F23" s="53"/>
      <c r="G23" s="52"/>
      <c r="H23" s="52"/>
      <c r="I23" s="54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 ht="16.5">
      <c r="A24" s="56" t="s">
        <v>59</v>
      </c>
      <c r="B24" s="55"/>
      <c r="C24" s="51"/>
      <c r="D24" s="52"/>
      <c r="E24" s="52"/>
      <c r="F24" s="53"/>
      <c r="G24" s="52"/>
      <c r="H24" s="52"/>
      <c r="I24" s="54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 ht="16.5">
      <c r="A25" s="56" t="s">
        <v>59</v>
      </c>
      <c r="B25" s="55"/>
      <c r="C25" s="51"/>
      <c r="D25" s="52"/>
      <c r="E25" s="52"/>
      <c r="F25" s="53"/>
      <c r="G25" s="52"/>
      <c r="H25" s="52"/>
      <c r="I25" s="54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 ht="16.5">
      <c r="A26" s="56" t="s">
        <v>59</v>
      </c>
      <c r="B26" s="55"/>
      <c r="C26" s="51"/>
      <c r="D26" s="52"/>
      <c r="E26" s="52"/>
      <c r="F26" s="53"/>
      <c r="G26" s="52"/>
      <c r="H26" s="52"/>
      <c r="I26" s="54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 ht="16.5">
      <c r="A27" s="56" t="s">
        <v>59</v>
      </c>
      <c r="B27" s="55"/>
      <c r="C27" s="51"/>
      <c r="D27" s="52"/>
      <c r="E27" s="52"/>
      <c r="F27" s="53"/>
      <c r="G27" s="52"/>
      <c r="H27" s="52"/>
      <c r="I27" s="54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 ht="16.5">
      <c r="A28" s="56" t="s">
        <v>59</v>
      </c>
      <c r="B28" s="55"/>
      <c r="C28" s="51"/>
      <c r="D28" s="52"/>
      <c r="E28" s="52"/>
      <c r="F28" s="53"/>
      <c r="G28" s="52"/>
      <c r="H28" s="52"/>
      <c r="I28" s="54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 ht="16.5">
      <c r="A29" s="56" t="s">
        <v>59</v>
      </c>
      <c r="B29" s="55"/>
      <c r="C29" s="51"/>
      <c r="D29" s="52"/>
      <c r="E29" s="52"/>
      <c r="F29" s="53"/>
      <c r="G29" s="52"/>
      <c r="H29" s="52"/>
      <c r="I29" s="54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 ht="16.5">
      <c r="A30" s="56" t="s">
        <v>59</v>
      </c>
      <c r="B30" s="55"/>
      <c r="C30" s="51"/>
      <c r="D30" s="52"/>
      <c r="E30" s="52"/>
      <c r="F30" s="53"/>
      <c r="G30" s="52"/>
      <c r="H30" s="52"/>
      <c r="I30" s="54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16.5">
      <c r="A31" s="56" t="s">
        <v>59</v>
      </c>
      <c r="B31" s="55"/>
      <c r="C31" s="51"/>
      <c r="D31" s="52"/>
      <c r="E31" s="52"/>
      <c r="F31" s="53"/>
      <c r="G31" s="52"/>
      <c r="H31" s="52"/>
      <c r="I31" s="54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 ht="16.5">
      <c r="A32" s="56" t="s">
        <v>59</v>
      </c>
      <c r="B32" s="55"/>
      <c r="C32" s="51"/>
      <c r="D32" s="52"/>
      <c r="E32" s="52"/>
      <c r="F32" s="53"/>
      <c r="G32" s="52"/>
      <c r="H32" s="52"/>
      <c r="I32" s="54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 ht="16.5">
      <c r="A33" s="56" t="s">
        <v>59</v>
      </c>
      <c r="B33" s="55"/>
      <c r="C33" s="51"/>
      <c r="D33" s="52"/>
      <c r="E33" s="52"/>
      <c r="F33" s="53"/>
      <c r="G33" s="52"/>
      <c r="H33" s="52"/>
      <c r="I33" s="54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 ht="17.25" customHeight="1">
      <c r="A34" s="56" t="s">
        <v>59</v>
      </c>
      <c r="B34" s="55"/>
      <c r="C34" s="51"/>
      <c r="D34" s="52"/>
      <c r="E34" s="52"/>
      <c r="F34" s="53"/>
      <c r="G34" s="52"/>
      <c r="H34" s="52"/>
      <c r="I34" s="54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 ht="16.5">
      <c r="A35" s="56" t="s">
        <v>59</v>
      </c>
      <c r="B35" s="55"/>
      <c r="C35" s="51"/>
      <c r="D35" s="52"/>
      <c r="E35" s="52"/>
      <c r="F35" s="53"/>
      <c r="G35" s="52"/>
      <c r="H35" s="52"/>
      <c r="I35" s="54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 ht="16.5">
      <c r="A36" s="56" t="s">
        <v>59</v>
      </c>
      <c r="B36" s="55"/>
      <c r="C36" s="51"/>
      <c r="D36" s="52"/>
      <c r="E36" s="52"/>
      <c r="F36" s="53"/>
      <c r="G36" s="52"/>
      <c r="H36" s="52"/>
      <c r="I36" s="54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16.5">
      <c r="A37" s="56" t="s">
        <v>59</v>
      </c>
      <c r="B37" s="55"/>
      <c r="C37" s="51"/>
      <c r="D37" s="52"/>
      <c r="E37" s="52"/>
      <c r="F37" s="53"/>
      <c r="G37" s="52"/>
      <c r="H37" s="52"/>
      <c r="I37" s="54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1:25" ht="16.5">
      <c r="A38" s="56" t="s">
        <v>59</v>
      </c>
      <c r="B38" s="55"/>
      <c r="C38" s="51"/>
      <c r="D38" s="52"/>
      <c r="E38" s="52"/>
      <c r="F38" s="53"/>
      <c r="G38" s="52"/>
      <c r="H38" s="52"/>
      <c r="I38" s="54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 ht="16.5">
      <c r="A39" s="56" t="s">
        <v>59</v>
      </c>
      <c r="B39" s="55"/>
      <c r="C39" s="51"/>
      <c r="D39" s="52"/>
      <c r="E39" s="52"/>
      <c r="F39" s="53"/>
      <c r="G39" s="52"/>
      <c r="H39" s="52"/>
      <c r="I39" s="54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1:25" ht="16.5">
      <c r="A40" s="56" t="s">
        <v>59</v>
      </c>
      <c r="B40" s="55"/>
      <c r="C40" s="51"/>
      <c r="D40" s="52"/>
      <c r="E40" s="52"/>
      <c r="F40" s="53"/>
      <c r="G40" s="52"/>
      <c r="H40" s="52"/>
      <c r="I40" s="54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 ht="16.5">
      <c r="A41" s="56" t="s">
        <v>59</v>
      </c>
      <c r="B41" s="55"/>
      <c r="C41" s="51"/>
      <c r="D41" s="52"/>
      <c r="E41" s="52"/>
      <c r="F41" s="53"/>
      <c r="G41" s="52"/>
      <c r="H41" s="52"/>
      <c r="I41" s="54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 ht="16.5">
      <c r="A42" s="56" t="s">
        <v>59</v>
      </c>
      <c r="B42" s="55"/>
      <c r="C42" s="51"/>
      <c r="D42" s="52"/>
      <c r="E42" s="52"/>
      <c r="F42" s="53"/>
      <c r="G42" s="52"/>
      <c r="H42" s="52"/>
      <c r="I42" s="54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 ht="16.5">
      <c r="A43" s="56" t="s">
        <v>59</v>
      </c>
      <c r="B43" s="55"/>
      <c r="C43" s="51"/>
      <c r="D43" s="52"/>
      <c r="E43" s="52"/>
      <c r="F43" s="53"/>
      <c r="G43" s="52"/>
      <c r="H43" s="52"/>
      <c r="I43" s="5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 ht="16.5">
      <c r="A44" s="56" t="s">
        <v>59</v>
      </c>
      <c r="B44" s="55"/>
      <c r="C44" s="51"/>
      <c r="D44" s="52"/>
      <c r="E44" s="52"/>
      <c r="F44" s="53"/>
      <c r="G44" s="52"/>
      <c r="H44" s="52"/>
      <c r="I44" s="54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 ht="16.5">
      <c r="A45" s="56" t="s">
        <v>59</v>
      </c>
      <c r="B45" s="55"/>
      <c r="C45" s="51"/>
      <c r="D45" s="52"/>
      <c r="E45" s="52"/>
      <c r="F45" s="53"/>
      <c r="G45" s="52"/>
      <c r="H45" s="52"/>
      <c r="I45" s="54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 ht="16.5">
      <c r="A46" s="56" t="s">
        <v>59</v>
      </c>
      <c r="B46" s="55"/>
      <c r="C46" s="51"/>
      <c r="D46" s="52"/>
      <c r="E46" s="52"/>
      <c r="F46" s="53"/>
      <c r="G46" s="52"/>
      <c r="H46" s="52"/>
      <c r="I46" s="54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 ht="16.5">
      <c r="A47" s="56" t="s">
        <v>59</v>
      </c>
      <c r="B47" s="55"/>
      <c r="C47" s="51"/>
      <c r="D47" s="52"/>
      <c r="E47" s="52"/>
      <c r="F47" s="53"/>
      <c r="G47" s="52"/>
      <c r="H47" s="52"/>
      <c r="I47" s="54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 ht="16.5">
      <c r="A48" s="56" t="s">
        <v>59</v>
      </c>
      <c r="B48" s="55"/>
      <c r="C48" s="51"/>
      <c r="D48" s="52"/>
      <c r="E48" s="52"/>
      <c r="F48" s="53"/>
      <c r="G48" s="52"/>
      <c r="H48" s="52"/>
      <c r="I48" s="54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 ht="16.5">
      <c r="A49" s="56" t="s">
        <v>59</v>
      </c>
      <c r="B49" s="55"/>
      <c r="C49" s="51"/>
      <c r="D49" s="52"/>
      <c r="E49" s="52"/>
      <c r="F49" s="53"/>
      <c r="G49" s="52"/>
      <c r="H49" s="52"/>
      <c r="I49" s="54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ht="16.5">
      <c r="A50" s="56" t="s">
        <v>59</v>
      </c>
      <c r="B50" s="55"/>
      <c r="C50" s="51"/>
      <c r="D50" s="52"/>
      <c r="E50" s="52"/>
      <c r="F50" s="53"/>
      <c r="G50" s="52"/>
      <c r="H50" s="52"/>
      <c r="I50" s="54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 ht="16.5">
      <c r="A51" s="56" t="s">
        <v>59</v>
      </c>
      <c r="B51" s="55"/>
      <c r="C51" s="51"/>
      <c r="D51" s="52"/>
      <c r="E51" s="52"/>
      <c r="F51" s="53"/>
      <c r="G51" s="52"/>
      <c r="H51" s="52"/>
      <c r="I51" s="54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 ht="16.5">
      <c r="A52" s="56" t="s">
        <v>59</v>
      </c>
      <c r="B52" s="55"/>
      <c r="C52" s="51"/>
      <c r="D52" s="52"/>
      <c r="E52" s="52"/>
      <c r="F52" s="53"/>
      <c r="G52" s="52"/>
      <c r="H52" s="52"/>
      <c r="I52" s="54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ht="16.5">
      <c r="A53" s="56" t="s">
        <v>59</v>
      </c>
      <c r="B53" s="55"/>
      <c r="C53" s="51"/>
      <c r="D53" s="52"/>
      <c r="E53" s="52"/>
      <c r="F53" s="53"/>
      <c r="G53" s="52"/>
      <c r="H53" s="52"/>
      <c r="I53" s="54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ht="16.5">
      <c r="A54" s="56" t="s">
        <v>59</v>
      </c>
      <c r="B54" s="55"/>
      <c r="C54" s="51"/>
      <c r="D54" s="52"/>
      <c r="E54" s="52"/>
      <c r="F54" s="53"/>
      <c r="G54" s="52"/>
      <c r="H54" s="52"/>
      <c r="I54" s="54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ht="16.5">
      <c r="A55" s="46"/>
      <c r="B55" s="46"/>
      <c r="C55" s="57"/>
      <c r="D55" s="46"/>
      <c r="E55" s="46"/>
      <c r="F55" s="58"/>
      <c r="G55" s="46"/>
      <c r="H55" s="46"/>
      <c r="I55" s="59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 ht="16.5">
      <c r="A56" s="46"/>
      <c r="B56" s="46"/>
      <c r="C56" s="57"/>
      <c r="D56" s="46"/>
      <c r="E56" s="46"/>
      <c r="F56" s="58"/>
      <c r="G56" s="46"/>
      <c r="H56" s="46"/>
      <c r="I56" s="59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1:25" ht="16.5">
      <c r="A57" s="46"/>
      <c r="B57" s="46"/>
      <c r="C57" s="57"/>
      <c r="D57" s="46"/>
      <c r="E57" s="46"/>
      <c r="F57" s="58"/>
      <c r="G57" s="46"/>
      <c r="H57" s="46"/>
      <c r="I57" s="59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1:25" ht="16.5">
      <c r="A58" s="46"/>
      <c r="B58" s="46"/>
      <c r="C58" s="57"/>
      <c r="D58" s="46"/>
      <c r="E58" s="46"/>
      <c r="F58" s="58"/>
      <c r="G58" s="46"/>
      <c r="H58" s="46"/>
      <c r="I58" s="59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 ht="16.5">
      <c r="A59" s="46"/>
      <c r="B59" s="46"/>
      <c r="C59" s="57"/>
      <c r="D59" s="46"/>
      <c r="E59" s="46"/>
      <c r="F59" s="58"/>
      <c r="G59" s="46"/>
      <c r="H59" s="46"/>
      <c r="I59" s="59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 ht="16.5">
      <c r="A60" s="46"/>
      <c r="B60" s="46"/>
      <c r="C60" s="57"/>
      <c r="D60" s="46"/>
      <c r="E60" s="46"/>
      <c r="F60" s="58"/>
      <c r="G60" s="46"/>
      <c r="H60" s="46"/>
      <c r="I60" s="5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16.5">
      <c r="A61" s="46"/>
      <c r="B61" s="46"/>
      <c r="C61" s="57"/>
      <c r="D61" s="46"/>
      <c r="E61" s="46"/>
      <c r="F61" s="58"/>
      <c r="G61" s="46"/>
      <c r="H61" s="46"/>
      <c r="I61" s="5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16.5">
      <c r="A62" s="46"/>
      <c r="B62" s="46"/>
      <c r="C62" s="57"/>
      <c r="D62" s="46"/>
      <c r="E62" s="46"/>
      <c r="F62" s="58"/>
      <c r="G62" s="46"/>
      <c r="H62" s="46"/>
      <c r="I62" s="59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6.5">
      <c r="A63" s="46"/>
      <c r="B63" s="46"/>
      <c r="C63" s="57"/>
      <c r="D63" s="46"/>
      <c r="E63" s="46"/>
      <c r="F63" s="58"/>
      <c r="G63" s="46"/>
      <c r="H63" s="46"/>
      <c r="I63" s="59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16.5">
      <c r="A64" s="46"/>
      <c r="B64" s="46"/>
      <c r="C64" s="57"/>
      <c r="D64" s="46"/>
      <c r="E64" s="46"/>
      <c r="F64" s="58"/>
      <c r="G64" s="46"/>
      <c r="H64" s="46"/>
      <c r="I64" s="59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16.5">
      <c r="A65" s="46"/>
      <c r="B65" s="46"/>
      <c r="C65" s="57"/>
      <c r="D65" s="46"/>
      <c r="E65" s="46"/>
      <c r="F65" s="58"/>
      <c r="G65" s="46"/>
      <c r="H65" s="46"/>
      <c r="I65" s="59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16.5">
      <c r="A66" s="46"/>
      <c r="B66" s="46"/>
      <c r="C66" s="57"/>
      <c r="D66" s="46"/>
      <c r="E66" s="46"/>
      <c r="F66" s="58"/>
      <c r="G66" s="46"/>
      <c r="H66" s="46"/>
      <c r="I66" s="59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16.5">
      <c r="A67" s="46"/>
      <c r="B67" s="46"/>
      <c r="C67" s="57"/>
      <c r="D67" s="46"/>
      <c r="E67" s="46"/>
      <c r="F67" s="58"/>
      <c r="G67" s="46"/>
      <c r="H67" s="46"/>
      <c r="I67" s="59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16.5">
      <c r="A68" s="46"/>
      <c r="B68" s="46"/>
      <c r="C68" s="57"/>
      <c r="D68" s="46"/>
      <c r="E68" s="46"/>
      <c r="F68" s="58"/>
      <c r="G68" s="46"/>
      <c r="H68" s="46"/>
      <c r="I68" s="59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16.5">
      <c r="A69" s="46"/>
      <c r="B69" s="46"/>
      <c r="C69" s="57"/>
      <c r="D69" s="46"/>
      <c r="E69" s="46"/>
      <c r="F69" s="58"/>
      <c r="G69" s="46"/>
      <c r="H69" s="46"/>
      <c r="I69" s="59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16.5">
      <c r="A70" s="46"/>
      <c r="B70" s="46"/>
      <c r="C70" s="57"/>
      <c r="D70" s="46"/>
      <c r="E70" s="46"/>
      <c r="F70" s="58"/>
      <c r="G70" s="46"/>
      <c r="H70" s="46"/>
      <c r="I70" s="5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16.5">
      <c r="A71" s="46"/>
      <c r="B71" s="46"/>
      <c r="C71" s="57"/>
      <c r="D71" s="46"/>
      <c r="E71" s="46"/>
      <c r="F71" s="58"/>
      <c r="G71" s="46"/>
      <c r="H71" s="46"/>
      <c r="I71" s="5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6.5">
      <c r="A72" s="46"/>
      <c r="B72" s="46"/>
      <c r="C72" s="57"/>
      <c r="D72" s="46"/>
      <c r="E72" s="46"/>
      <c r="F72" s="58"/>
      <c r="G72" s="46"/>
      <c r="H72" s="46"/>
      <c r="I72" s="5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16.5">
      <c r="A73" s="46"/>
      <c r="B73" s="46"/>
      <c r="C73" s="57"/>
      <c r="D73" s="46"/>
      <c r="E73" s="46"/>
      <c r="F73" s="58"/>
      <c r="G73" s="46"/>
      <c r="H73" s="46"/>
      <c r="I73" s="59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16.5">
      <c r="A74" s="46"/>
      <c r="B74" s="46"/>
      <c r="C74" s="57"/>
      <c r="D74" s="46"/>
      <c r="E74" s="46"/>
      <c r="F74" s="58"/>
      <c r="G74" s="46"/>
      <c r="H74" s="46"/>
      <c r="I74" s="59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16.5">
      <c r="A75" s="46"/>
      <c r="B75" s="46"/>
      <c r="C75" s="57"/>
      <c r="D75" s="46"/>
      <c r="E75" s="46"/>
      <c r="F75" s="58"/>
      <c r="G75" s="46"/>
      <c r="H75" s="46"/>
      <c r="I75" s="59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6.5">
      <c r="A76" s="46"/>
      <c r="B76" s="46"/>
      <c r="C76" s="57"/>
      <c r="D76" s="46"/>
      <c r="E76" s="46"/>
      <c r="F76" s="58"/>
      <c r="G76" s="46"/>
      <c r="H76" s="46"/>
      <c r="I76" s="59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16.5">
      <c r="A77" s="46"/>
      <c r="B77" s="46"/>
      <c r="C77" s="57"/>
      <c r="D77" s="46"/>
      <c r="E77" s="46"/>
      <c r="F77" s="58"/>
      <c r="G77" s="46"/>
      <c r="H77" s="46"/>
      <c r="I77" s="59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16.5">
      <c r="A78" s="46"/>
      <c r="B78" s="46"/>
      <c r="C78" s="57"/>
      <c r="D78" s="46"/>
      <c r="E78" s="46"/>
      <c r="F78" s="58"/>
      <c r="G78" s="46"/>
      <c r="H78" s="46"/>
      <c r="I78" s="59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16.5">
      <c r="A79" s="46"/>
      <c r="B79" s="46"/>
      <c r="C79" s="57"/>
      <c r="D79" s="46"/>
      <c r="E79" s="46"/>
      <c r="F79" s="58"/>
      <c r="G79" s="46"/>
      <c r="H79" s="46"/>
      <c r="I79" s="5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16.5">
      <c r="A80" s="46"/>
      <c r="B80" s="46"/>
      <c r="C80" s="57"/>
      <c r="D80" s="46"/>
      <c r="E80" s="46"/>
      <c r="F80" s="58"/>
      <c r="G80" s="46"/>
      <c r="H80" s="46"/>
      <c r="I80" s="59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6.5">
      <c r="A81" s="46"/>
      <c r="B81" s="46"/>
      <c r="C81" s="57"/>
      <c r="D81" s="46"/>
      <c r="E81" s="46"/>
      <c r="F81" s="58"/>
      <c r="G81" s="46"/>
      <c r="H81" s="46"/>
      <c r="I81" s="59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16.5">
      <c r="A82" s="46"/>
      <c r="B82" s="46"/>
      <c r="C82" s="57"/>
      <c r="D82" s="46"/>
      <c r="E82" s="46"/>
      <c r="F82" s="58"/>
      <c r="G82" s="46"/>
      <c r="H82" s="46"/>
      <c r="I82" s="59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16.5">
      <c r="A83" s="46"/>
      <c r="B83" s="46"/>
      <c r="C83" s="57"/>
      <c r="D83" s="46"/>
      <c r="E83" s="46"/>
      <c r="F83" s="58"/>
      <c r="G83" s="46"/>
      <c r="H83" s="46"/>
      <c r="I83" s="59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16.5">
      <c r="A84" s="46"/>
      <c r="B84" s="46"/>
      <c r="C84" s="57"/>
      <c r="D84" s="46"/>
      <c r="E84" s="46"/>
      <c r="F84" s="58"/>
      <c r="G84" s="46"/>
      <c r="H84" s="46"/>
      <c r="I84" s="59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16.5">
      <c r="A85" s="46"/>
      <c r="B85" s="46"/>
      <c r="C85" s="57"/>
      <c r="D85" s="46"/>
      <c r="E85" s="46"/>
      <c r="F85" s="58"/>
      <c r="G85" s="46"/>
      <c r="H85" s="46"/>
      <c r="I85" s="59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 ht="16.5">
      <c r="A86" s="46"/>
      <c r="B86" s="46"/>
      <c r="C86" s="57"/>
      <c r="D86" s="46"/>
      <c r="E86" s="46"/>
      <c r="F86" s="58"/>
      <c r="G86" s="46"/>
      <c r="H86" s="46"/>
      <c r="I86" s="59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 ht="16.5">
      <c r="A87" s="46"/>
      <c r="B87" s="46"/>
      <c r="C87" s="57"/>
      <c r="D87" s="46"/>
      <c r="E87" s="46"/>
      <c r="F87" s="58"/>
      <c r="G87" s="46"/>
      <c r="H87" s="46"/>
      <c r="I87" s="59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 ht="16.5">
      <c r="A88" s="46"/>
      <c r="B88" s="46"/>
      <c r="C88" s="57"/>
      <c r="D88" s="46"/>
      <c r="E88" s="46"/>
      <c r="F88" s="58"/>
      <c r="G88" s="46"/>
      <c r="H88" s="46"/>
      <c r="I88" s="59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 ht="16.5">
      <c r="A89" s="46"/>
      <c r="B89" s="46"/>
      <c r="C89" s="57"/>
      <c r="D89" s="46"/>
      <c r="E89" s="46"/>
      <c r="F89" s="58"/>
      <c r="G89" s="46"/>
      <c r="H89" s="46"/>
      <c r="I89" s="5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 ht="16.5">
      <c r="A90" s="46"/>
      <c r="B90" s="46"/>
      <c r="C90" s="57"/>
      <c r="D90" s="46"/>
      <c r="E90" s="46"/>
      <c r="F90" s="58"/>
      <c r="G90" s="46"/>
      <c r="H90" s="46"/>
      <c r="I90" s="59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 ht="16.5">
      <c r="A91" s="46"/>
      <c r="B91" s="46"/>
      <c r="C91" s="57"/>
      <c r="D91" s="46"/>
      <c r="E91" s="46"/>
      <c r="F91" s="58"/>
      <c r="G91" s="46"/>
      <c r="H91" s="46"/>
      <c r="I91" s="59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 ht="16.5">
      <c r="A92" s="46"/>
      <c r="B92" s="46"/>
      <c r="C92" s="57"/>
      <c r="D92" s="46"/>
      <c r="E92" s="46"/>
      <c r="F92" s="58"/>
      <c r="G92" s="46"/>
      <c r="H92" s="46"/>
      <c r="I92" s="59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 ht="16.5">
      <c r="A93" s="46"/>
      <c r="B93" s="46"/>
      <c r="C93" s="57"/>
      <c r="D93" s="46"/>
      <c r="E93" s="46"/>
      <c r="F93" s="58"/>
      <c r="G93" s="46"/>
      <c r="H93" s="46"/>
      <c r="I93" s="59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 ht="16.5">
      <c r="A94" s="46"/>
      <c r="B94" s="46"/>
      <c r="C94" s="57"/>
      <c r="D94" s="46"/>
      <c r="E94" s="46"/>
      <c r="F94" s="58"/>
      <c r="G94" s="46"/>
      <c r="H94" s="46"/>
      <c r="I94" s="59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 ht="16.5">
      <c r="A95" s="46"/>
      <c r="B95" s="46"/>
      <c r="C95" s="57"/>
      <c r="D95" s="46"/>
      <c r="E95" s="46"/>
      <c r="F95" s="58"/>
      <c r="G95" s="46"/>
      <c r="H95" s="46"/>
      <c r="I95" s="59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 ht="16.5">
      <c r="A96" s="46"/>
      <c r="B96" s="46"/>
      <c r="C96" s="57"/>
      <c r="D96" s="46"/>
      <c r="E96" s="46"/>
      <c r="F96" s="58"/>
      <c r="G96" s="46"/>
      <c r="H96" s="46"/>
      <c r="I96" s="59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 ht="16.5">
      <c r="A97" s="46"/>
      <c r="B97" s="46"/>
      <c r="C97" s="57"/>
      <c r="D97" s="46"/>
      <c r="E97" s="46"/>
      <c r="F97" s="58"/>
      <c r="G97" s="46"/>
      <c r="H97" s="46"/>
      <c r="I97" s="59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 ht="16.5">
      <c r="A98" s="46"/>
      <c r="B98" s="46"/>
      <c r="C98" s="57"/>
      <c r="D98" s="46"/>
      <c r="E98" s="46"/>
      <c r="F98" s="58"/>
      <c r="G98" s="46"/>
      <c r="H98" s="46"/>
      <c r="I98" s="59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 ht="16.5">
      <c r="A99" s="46"/>
      <c r="B99" s="46"/>
      <c r="C99" s="57"/>
      <c r="D99" s="46"/>
      <c r="E99" s="46"/>
      <c r="F99" s="58"/>
      <c r="G99" s="46"/>
      <c r="H99" s="46"/>
      <c r="I99" s="59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 ht="16.5">
      <c r="A100" s="46"/>
      <c r="B100" s="46"/>
      <c r="C100" s="57"/>
      <c r="D100" s="46"/>
      <c r="E100" s="46"/>
      <c r="F100" s="58"/>
      <c r="G100" s="46"/>
      <c r="H100" s="46"/>
      <c r="I100" s="59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 ht="16.5">
      <c r="A101" s="46"/>
      <c r="B101" s="46"/>
      <c r="C101" s="57"/>
      <c r="D101" s="46"/>
      <c r="E101" s="46"/>
      <c r="F101" s="58"/>
      <c r="G101" s="46"/>
      <c r="H101" s="46"/>
      <c r="I101" s="59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 ht="16.5">
      <c r="A102" s="46"/>
      <c r="B102" s="46"/>
      <c r="C102" s="57"/>
      <c r="D102" s="46"/>
      <c r="E102" s="46"/>
      <c r="F102" s="58"/>
      <c r="G102" s="46"/>
      <c r="H102" s="46"/>
      <c r="I102" s="59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 ht="16.5">
      <c r="A103" s="46"/>
      <c r="B103" s="46"/>
      <c r="C103" s="57"/>
      <c r="D103" s="46"/>
      <c r="E103" s="46"/>
      <c r="F103" s="58"/>
      <c r="G103" s="46"/>
      <c r="H103" s="46"/>
      <c r="I103" s="59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 ht="16.5">
      <c r="A104" s="46"/>
      <c r="B104" s="46"/>
      <c r="C104" s="57"/>
      <c r="D104" s="46"/>
      <c r="E104" s="46"/>
      <c r="F104" s="58"/>
      <c r="G104" s="46"/>
      <c r="H104" s="46"/>
      <c r="I104" s="5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 ht="16.5">
      <c r="A105" s="46"/>
      <c r="B105" s="46"/>
      <c r="C105" s="57"/>
      <c r="D105" s="46"/>
      <c r="E105" s="46"/>
      <c r="F105" s="58"/>
      <c r="G105" s="46"/>
      <c r="H105" s="46"/>
      <c r="I105" s="5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 ht="16.5">
      <c r="A106" s="46"/>
      <c r="B106" s="46"/>
      <c r="C106" s="57"/>
      <c r="D106" s="46"/>
      <c r="E106" s="46"/>
      <c r="F106" s="58"/>
      <c r="G106" s="46"/>
      <c r="H106" s="46"/>
      <c r="I106" s="59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 ht="16.5">
      <c r="A107" s="46"/>
      <c r="B107" s="46"/>
      <c r="C107" s="57"/>
      <c r="D107" s="46"/>
      <c r="E107" s="46"/>
      <c r="F107" s="58"/>
      <c r="G107" s="46"/>
      <c r="H107" s="46"/>
      <c r="I107" s="59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 ht="16.5">
      <c r="A108" s="46"/>
      <c r="B108" s="46"/>
      <c r="C108" s="57"/>
      <c r="D108" s="46"/>
      <c r="E108" s="46"/>
      <c r="F108" s="58"/>
      <c r="G108" s="46"/>
      <c r="H108" s="46"/>
      <c r="I108" s="59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 ht="16.5">
      <c r="A109" s="46"/>
      <c r="B109" s="46"/>
      <c r="C109" s="57"/>
      <c r="D109" s="46"/>
      <c r="E109" s="46"/>
      <c r="F109" s="58"/>
      <c r="G109" s="46"/>
      <c r="H109" s="46"/>
      <c r="I109" s="59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 ht="16.5">
      <c r="A110" s="46"/>
      <c r="B110" s="46"/>
      <c r="C110" s="57"/>
      <c r="D110" s="46"/>
      <c r="E110" s="46"/>
      <c r="F110" s="58"/>
      <c r="G110" s="46"/>
      <c r="H110" s="46"/>
      <c r="I110" s="59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 ht="16.5">
      <c r="A111" s="46"/>
      <c r="B111" s="46"/>
      <c r="C111" s="57"/>
      <c r="D111" s="46"/>
      <c r="E111" s="46"/>
      <c r="F111" s="58"/>
      <c r="G111" s="46"/>
      <c r="H111" s="46"/>
      <c r="I111" s="59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 ht="16.5">
      <c r="A112" s="46"/>
      <c r="B112" s="46"/>
      <c r="C112" s="57"/>
      <c r="D112" s="46"/>
      <c r="E112" s="46"/>
      <c r="F112" s="58"/>
      <c r="G112" s="46"/>
      <c r="H112" s="46"/>
      <c r="I112" s="59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 ht="16.5">
      <c r="A113" s="46"/>
      <c r="B113" s="46"/>
      <c r="C113" s="57"/>
      <c r="D113" s="46"/>
      <c r="E113" s="46"/>
      <c r="F113" s="58"/>
      <c r="G113" s="46"/>
      <c r="H113" s="46"/>
      <c r="I113" s="59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 ht="16.5">
      <c r="A114" s="46"/>
      <c r="B114" s="46"/>
      <c r="C114" s="57"/>
      <c r="D114" s="46"/>
      <c r="E114" s="46"/>
      <c r="F114" s="58"/>
      <c r="G114" s="46"/>
      <c r="H114" s="46"/>
      <c r="I114" s="5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 ht="16.5">
      <c r="A115" s="46"/>
      <c r="B115" s="46"/>
      <c r="C115" s="57"/>
      <c r="D115" s="46"/>
      <c r="E115" s="46"/>
      <c r="F115" s="58"/>
      <c r="G115" s="46"/>
      <c r="H115" s="46"/>
      <c r="I115" s="5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 ht="16.5">
      <c r="A116" s="46"/>
      <c r="B116" s="46"/>
      <c r="C116" s="57"/>
      <c r="D116" s="46"/>
      <c r="E116" s="46"/>
      <c r="F116" s="58"/>
      <c r="G116" s="46"/>
      <c r="H116" s="46"/>
      <c r="I116" s="59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 ht="16.5">
      <c r="A117" s="46"/>
      <c r="B117" s="46"/>
      <c r="C117" s="57"/>
      <c r="D117" s="46"/>
      <c r="E117" s="46"/>
      <c r="F117" s="58"/>
      <c r="G117" s="46"/>
      <c r="H117" s="46"/>
      <c r="I117" s="59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 ht="16.5">
      <c r="A118" s="46"/>
      <c r="B118" s="46"/>
      <c r="C118" s="57"/>
      <c r="D118" s="46"/>
      <c r="E118" s="46"/>
      <c r="F118" s="58"/>
      <c r="G118" s="46"/>
      <c r="H118" s="46"/>
      <c r="I118" s="59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 ht="16.5">
      <c r="A119" s="46"/>
      <c r="B119" s="46"/>
      <c r="C119" s="57"/>
      <c r="D119" s="46"/>
      <c r="E119" s="46"/>
      <c r="F119" s="58"/>
      <c r="G119" s="46"/>
      <c r="H119" s="46"/>
      <c r="I119" s="59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 ht="16.5">
      <c r="A120" s="46"/>
      <c r="B120" s="46"/>
      <c r="C120" s="57"/>
      <c r="D120" s="46"/>
      <c r="E120" s="46"/>
      <c r="F120" s="58"/>
      <c r="G120" s="46"/>
      <c r="H120" s="46"/>
      <c r="I120" s="59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 ht="16.5">
      <c r="A121" s="46"/>
      <c r="B121" s="46"/>
      <c r="C121" s="57"/>
      <c r="D121" s="46"/>
      <c r="E121" s="46"/>
      <c r="F121" s="58"/>
      <c r="G121" s="46"/>
      <c r="H121" s="46"/>
      <c r="I121" s="59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 ht="16.5">
      <c r="A122" s="46"/>
      <c r="B122" s="46"/>
      <c r="C122" s="57"/>
      <c r="D122" s="46"/>
      <c r="E122" s="46"/>
      <c r="F122" s="58"/>
      <c r="G122" s="46"/>
      <c r="H122" s="46"/>
      <c r="I122" s="59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 ht="16.5">
      <c r="A123" s="46"/>
      <c r="B123" s="46"/>
      <c r="C123" s="57"/>
      <c r="D123" s="46"/>
      <c r="E123" s="46"/>
      <c r="F123" s="58"/>
      <c r="G123" s="46"/>
      <c r="H123" s="46"/>
      <c r="I123" s="59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 ht="16.5">
      <c r="A124" s="46"/>
      <c r="B124" s="46"/>
      <c r="C124" s="57"/>
      <c r="D124" s="46"/>
      <c r="E124" s="46"/>
      <c r="F124" s="58"/>
      <c r="G124" s="46"/>
      <c r="H124" s="46"/>
      <c r="I124" s="59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 ht="16.5">
      <c r="A125" s="46"/>
      <c r="B125" s="46"/>
      <c r="C125" s="57"/>
      <c r="D125" s="46"/>
      <c r="E125" s="46"/>
      <c r="F125" s="58"/>
      <c r="G125" s="46"/>
      <c r="H125" s="46"/>
      <c r="I125" s="59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 ht="16.5">
      <c r="A126" s="46"/>
      <c r="B126" s="46"/>
      <c r="C126" s="57"/>
      <c r="D126" s="46"/>
      <c r="E126" s="46"/>
      <c r="F126" s="58"/>
      <c r="G126" s="46"/>
      <c r="H126" s="46"/>
      <c r="I126" s="59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 ht="16.5">
      <c r="A127" s="46"/>
      <c r="B127" s="46"/>
      <c r="C127" s="57"/>
      <c r="D127" s="46"/>
      <c r="E127" s="46"/>
      <c r="F127" s="58"/>
      <c r="G127" s="46"/>
      <c r="H127" s="46"/>
      <c r="I127" s="59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 ht="16.5">
      <c r="A128" s="46"/>
      <c r="B128" s="46"/>
      <c r="C128" s="57"/>
      <c r="D128" s="46"/>
      <c r="E128" s="46"/>
      <c r="F128" s="58"/>
      <c r="G128" s="46"/>
      <c r="H128" s="46"/>
      <c r="I128" s="59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 ht="16.5">
      <c r="A129" s="46"/>
      <c r="B129" s="46"/>
      <c r="C129" s="57"/>
      <c r="D129" s="46"/>
      <c r="E129" s="46"/>
      <c r="F129" s="58"/>
      <c r="G129" s="46"/>
      <c r="H129" s="46"/>
      <c r="I129" s="59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 ht="16.5">
      <c r="A130" s="46"/>
      <c r="B130" s="46"/>
      <c r="C130" s="57"/>
      <c r="D130" s="46"/>
      <c r="E130" s="46"/>
      <c r="F130" s="58"/>
      <c r="G130" s="46"/>
      <c r="H130" s="46"/>
      <c r="I130" s="59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 ht="16.5">
      <c r="A131" s="46"/>
      <c r="B131" s="46"/>
      <c r="C131" s="57"/>
      <c r="D131" s="46"/>
      <c r="E131" s="46"/>
      <c r="F131" s="58"/>
      <c r="G131" s="46"/>
      <c r="H131" s="46"/>
      <c r="I131" s="59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 ht="16.5">
      <c r="A132" s="46"/>
      <c r="B132" s="46"/>
      <c r="C132" s="57"/>
      <c r="D132" s="46"/>
      <c r="E132" s="46"/>
      <c r="F132" s="58"/>
      <c r="G132" s="46"/>
      <c r="H132" s="46"/>
      <c r="I132" s="59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 ht="16.5">
      <c r="A133" s="46"/>
      <c r="B133" s="46"/>
      <c r="C133" s="57"/>
      <c r="D133" s="46"/>
      <c r="E133" s="46"/>
      <c r="F133" s="58"/>
      <c r="G133" s="46"/>
      <c r="H133" s="46"/>
      <c r="I133" s="59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 ht="16.5">
      <c r="A134" s="46"/>
      <c r="B134" s="46"/>
      <c r="C134" s="57"/>
      <c r="D134" s="46"/>
      <c r="E134" s="46"/>
      <c r="F134" s="58"/>
      <c r="G134" s="46"/>
      <c r="H134" s="46"/>
      <c r="I134" s="59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 ht="16.5">
      <c r="A135" s="46"/>
      <c r="B135" s="46"/>
      <c r="C135" s="57"/>
      <c r="D135" s="46"/>
      <c r="E135" s="46"/>
      <c r="F135" s="58"/>
      <c r="G135" s="46"/>
      <c r="H135" s="46"/>
      <c r="I135" s="59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 ht="16.5">
      <c r="A136" s="46"/>
      <c r="B136" s="46"/>
      <c r="C136" s="57"/>
      <c r="D136" s="46"/>
      <c r="E136" s="46"/>
      <c r="F136" s="58"/>
      <c r="G136" s="46"/>
      <c r="H136" s="46"/>
      <c r="I136" s="59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 ht="16.5">
      <c r="A137" s="46"/>
      <c r="B137" s="46"/>
      <c r="C137" s="57"/>
      <c r="D137" s="46"/>
      <c r="E137" s="46"/>
      <c r="F137" s="58"/>
      <c r="G137" s="46"/>
      <c r="H137" s="46"/>
      <c r="I137" s="59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 ht="16.5">
      <c r="A138" s="46"/>
      <c r="B138" s="46"/>
      <c r="C138" s="57"/>
      <c r="D138" s="46"/>
      <c r="E138" s="46"/>
      <c r="F138" s="58"/>
      <c r="G138" s="46"/>
      <c r="H138" s="46"/>
      <c r="I138" s="59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 ht="16.5">
      <c r="A139" s="46"/>
      <c r="B139" s="46"/>
      <c r="C139" s="57"/>
      <c r="D139" s="46"/>
      <c r="E139" s="46"/>
      <c r="F139" s="58"/>
      <c r="G139" s="46"/>
      <c r="H139" s="46"/>
      <c r="I139" s="59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 ht="16.5">
      <c r="A140" s="46"/>
      <c r="B140" s="46"/>
      <c r="C140" s="57"/>
      <c r="D140" s="46"/>
      <c r="E140" s="46"/>
      <c r="F140" s="58"/>
      <c r="G140" s="46"/>
      <c r="H140" s="46"/>
      <c r="I140" s="59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 ht="16.5">
      <c r="A141" s="46"/>
      <c r="B141" s="46"/>
      <c r="C141" s="57"/>
      <c r="D141" s="46"/>
      <c r="E141" s="46"/>
      <c r="F141" s="58"/>
      <c r="G141" s="46"/>
      <c r="H141" s="46"/>
      <c r="I141" s="59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 ht="16.5">
      <c r="A142" s="46"/>
      <c r="B142" s="46"/>
      <c r="C142" s="57"/>
      <c r="D142" s="46"/>
      <c r="E142" s="46"/>
      <c r="F142" s="58"/>
      <c r="G142" s="46"/>
      <c r="H142" s="46"/>
      <c r="I142" s="59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 ht="16.5">
      <c r="A143" s="46"/>
      <c r="B143" s="46"/>
      <c r="C143" s="57"/>
      <c r="D143" s="46"/>
      <c r="E143" s="46"/>
      <c r="F143" s="58"/>
      <c r="G143" s="46"/>
      <c r="H143" s="46"/>
      <c r="I143" s="59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 ht="16.5">
      <c r="A144" s="46"/>
      <c r="B144" s="46"/>
      <c r="C144" s="57"/>
      <c r="D144" s="46"/>
      <c r="E144" s="46"/>
      <c r="F144" s="58"/>
      <c r="G144" s="46"/>
      <c r="H144" s="46"/>
      <c r="I144" s="59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 ht="16.5">
      <c r="A145" s="46"/>
      <c r="B145" s="46"/>
      <c r="C145" s="57"/>
      <c r="D145" s="46"/>
      <c r="E145" s="46"/>
      <c r="F145" s="58"/>
      <c r="G145" s="46"/>
      <c r="H145" s="46"/>
      <c r="I145" s="59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 ht="16.5">
      <c r="A146" s="46"/>
      <c r="B146" s="46"/>
      <c r="C146" s="57"/>
      <c r="D146" s="46"/>
      <c r="E146" s="46"/>
      <c r="F146" s="58"/>
      <c r="G146" s="46"/>
      <c r="H146" s="46"/>
      <c r="I146" s="59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 ht="16.5">
      <c r="A147" s="46"/>
      <c r="B147" s="46"/>
      <c r="C147" s="57"/>
      <c r="D147" s="46"/>
      <c r="E147" s="46"/>
      <c r="F147" s="58"/>
      <c r="G147" s="46"/>
      <c r="H147" s="46"/>
      <c r="I147" s="59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 ht="16.5">
      <c r="A148" s="46"/>
      <c r="B148" s="46"/>
      <c r="C148" s="57"/>
      <c r="D148" s="46"/>
      <c r="E148" s="46"/>
      <c r="F148" s="58"/>
      <c r="G148" s="46"/>
      <c r="H148" s="46"/>
      <c r="I148" s="59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 ht="16.5">
      <c r="A149" s="46"/>
      <c r="B149" s="46"/>
      <c r="C149" s="57"/>
      <c r="D149" s="46"/>
      <c r="E149" s="46"/>
      <c r="F149" s="58"/>
      <c r="G149" s="46"/>
      <c r="H149" s="46"/>
      <c r="I149" s="5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 ht="16.5">
      <c r="A150" s="46"/>
      <c r="B150" s="46"/>
      <c r="C150" s="57"/>
      <c r="D150" s="46"/>
      <c r="E150" s="46"/>
      <c r="F150" s="58"/>
      <c r="G150" s="46"/>
      <c r="H150" s="46"/>
      <c r="I150" s="59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 ht="16.5">
      <c r="A151" s="46"/>
      <c r="B151" s="46"/>
      <c r="C151" s="57"/>
      <c r="D151" s="46"/>
      <c r="E151" s="46"/>
      <c r="F151" s="58"/>
      <c r="G151" s="46"/>
      <c r="H151" s="46"/>
      <c r="I151" s="59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 ht="16.5">
      <c r="A152" s="46"/>
      <c r="B152" s="46"/>
      <c r="C152" s="57"/>
      <c r="D152" s="46"/>
      <c r="E152" s="46"/>
      <c r="F152" s="58"/>
      <c r="G152" s="46"/>
      <c r="H152" s="46"/>
      <c r="I152" s="59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ht="16.5">
      <c r="A153" s="46"/>
      <c r="B153" s="46"/>
      <c r="C153" s="57"/>
      <c r="D153" s="46"/>
      <c r="E153" s="46"/>
      <c r="F153" s="58"/>
      <c r="G153" s="46"/>
      <c r="H153" s="46"/>
      <c r="I153" s="59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ht="16.5">
      <c r="A154" s="46"/>
      <c r="B154" s="46"/>
      <c r="C154" s="57"/>
      <c r="D154" s="46"/>
      <c r="E154" s="46"/>
      <c r="F154" s="58"/>
      <c r="G154" s="46"/>
      <c r="H154" s="46"/>
      <c r="I154" s="59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ht="16.5">
      <c r="A155" s="46"/>
      <c r="B155" s="46"/>
      <c r="C155" s="57"/>
      <c r="D155" s="46"/>
      <c r="E155" s="46"/>
      <c r="F155" s="58"/>
      <c r="G155" s="46"/>
      <c r="H155" s="46"/>
      <c r="I155" s="59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ht="16.5">
      <c r="A156" s="46"/>
      <c r="B156" s="46"/>
      <c r="C156" s="57"/>
      <c r="D156" s="46"/>
      <c r="E156" s="46"/>
      <c r="F156" s="58"/>
      <c r="G156" s="46"/>
      <c r="H156" s="46"/>
      <c r="I156" s="59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ht="16.5">
      <c r="A157" s="46"/>
      <c r="B157" s="46"/>
      <c r="C157" s="57"/>
      <c r="D157" s="46"/>
      <c r="E157" s="46"/>
      <c r="F157" s="58"/>
      <c r="G157" s="46"/>
      <c r="H157" s="46"/>
      <c r="I157" s="59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ht="16.5">
      <c r="A158" s="46"/>
      <c r="B158" s="46"/>
      <c r="C158" s="57"/>
      <c r="D158" s="46"/>
      <c r="E158" s="46"/>
      <c r="F158" s="58"/>
      <c r="G158" s="46"/>
      <c r="H158" s="46"/>
      <c r="I158" s="59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 ht="16.5">
      <c r="A159" s="46"/>
      <c r="B159" s="46"/>
      <c r="C159" s="57"/>
      <c r="D159" s="46"/>
      <c r="E159" s="46"/>
      <c r="F159" s="58"/>
      <c r="G159" s="46"/>
      <c r="H159" s="46"/>
      <c r="I159" s="59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 ht="16.5">
      <c r="A160" s="46"/>
      <c r="B160" s="46"/>
      <c r="C160" s="57"/>
      <c r="D160" s="46"/>
      <c r="E160" s="46"/>
      <c r="F160" s="58"/>
      <c r="G160" s="46"/>
      <c r="H160" s="46"/>
      <c r="I160" s="59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 ht="16.5">
      <c r="A161" s="46"/>
      <c r="B161" s="46"/>
      <c r="C161" s="57"/>
      <c r="D161" s="46"/>
      <c r="E161" s="46"/>
      <c r="F161" s="58"/>
      <c r="G161" s="46"/>
      <c r="H161" s="46"/>
      <c r="I161" s="59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 ht="16.5">
      <c r="A162" s="46"/>
      <c r="B162" s="46"/>
      <c r="C162" s="57"/>
      <c r="D162" s="46"/>
      <c r="E162" s="46"/>
      <c r="F162" s="58"/>
      <c r="G162" s="46"/>
      <c r="H162" s="46"/>
      <c r="I162" s="59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 ht="16.5">
      <c r="A163" s="46"/>
      <c r="B163" s="46"/>
      <c r="C163" s="57"/>
      <c r="D163" s="46"/>
      <c r="E163" s="46"/>
      <c r="F163" s="58"/>
      <c r="G163" s="46"/>
      <c r="H163" s="46"/>
      <c r="I163" s="59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 ht="16.5">
      <c r="A164" s="46"/>
      <c r="B164" s="46"/>
      <c r="C164" s="57"/>
      <c r="D164" s="46"/>
      <c r="E164" s="46"/>
      <c r="F164" s="58"/>
      <c r="G164" s="46"/>
      <c r="H164" s="46"/>
      <c r="I164" s="59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 ht="16.5">
      <c r="A165" s="46"/>
      <c r="B165" s="46"/>
      <c r="C165" s="57"/>
      <c r="D165" s="46"/>
      <c r="E165" s="46"/>
      <c r="F165" s="58"/>
      <c r="G165" s="46"/>
      <c r="H165" s="46"/>
      <c r="I165" s="59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 ht="16.5">
      <c r="A166" s="46"/>
      <c r="B166" s="46"/>
      <c r="C166" s="57"/>
      <c r="D166" s="46"/>
      <c r="E166" s="46"/>
      <c r="F166" s="58"/>
      <c r="G166" s="46"/>
      <c r="H166" s="46"/>
      <c r="I166" s="59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 ht="16.5">
      <c r="A167" s="46"/>
      <c r="B167" s="46"/>
      <c r="C167" s="57"/>
      <c r="D167" s="46"/>
      <c r="E167" s="46"/>
      <c r="F167" s="58"/>
      <c r="G167" s="46"/>
      <c r="H167" s="46"/>
      <c r="I167" s="59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 ht="16.5">
      <c r="A168" s="46"/>
      <c r="B168" s="46"/>
      <c r="C168" s="57"/>
      <c r="D168" s="46"/>
      <c r="E168" s="46"/>
      <c r="F168" s="58"/>
      <c r="G168" s="46"/>
      <c r="H168" s="46"/>
      <c r="I168" s="59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16.5">
      <c r="A169" s="46"/>
      <c r="B169" s="46"/>
      <c r="C169" s="57"/>
      <c r="D169" s="46"/>
      <c r="E169" s="46"/>
      <c r="F169" s="58"/>
      <c r="G169" s="46"/>
      <c r="H169" s="46"/>
      <c r="I169" s="59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 ht="16.5">
      <c r="A170" s="46"/>
      <c r="B170" s="46"/>
      <c r="C170" s="57"/>
      <c r="D170" s="46"/>
      <c r="E170" s="46"/>
      <c r="F170" s="58"/>
      <c r="G170" s="46"/>
      <c r="H170" s="46"/>
      <c r="I170" s="59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 ht="16.5">
      <c r="A171" s="46"/>
      <c r="B171" s="46"/>
      <c r="C171" s="57"/>
      <c r="D171" s="46"/>
      <c r="E171" s="46"/>
      <c r="F171" s="58"/>
      <c r="G171" s="46"/>
      <c r="H171" s="46"/>
      <c r="I171" s="59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 ht="16.5">
      <c r="A172" s="46"/>
      <c r="B172" s="46"/>
      <c r="C172" s="57"/>
      <c r="D172" s="46"/>
      <c r="E172" s="46"/>
      <c r="F172" s="58"/>
      <c r="G172" s="46"/>
      <c r="H172" s="46"/>
      <c r="I172" s="59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 ht="16.5">
      <c r="A173" s="46"/>
      <c r="B173" s="46"/>
      <c r="C173" s="57"/>
      <c r="D173" s="46"/>
      <c r="E173" s="46"/>
      <c r="F173" s="58"/>
      <c r="G173" s="46"/>
      <c r="H173" s="46"/>
      <c r="I173" s="59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 ht="16.5">
      <c r="A174" s="46"/>
      <c r="B174" s="46"/>
      <c r="C174" s="57"/>
      <c r="D174" s="46"/>
      <c r="E174" s="46"/>
      <c r="F174" s="58"/>
      <c r="G174" s="46"/>
      <c r="H174" s="46"/>
      <c r="I174" s="59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 ht="16.5">
      <c r="A175" s="46"/>
      <c r="B175" s="46"/>
      <c r="C175" s="57"/>
      <c r="D175" s="46"/>
      <c r="E175" s="46"/>
      <c r="F175" s="58"/>
      <c r="G175" s="46"/>
      <c r="H175" s="46"/>
      <c r="I175" s="59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 ht="16.5">
      <c r="A176" s="46"/>
      <c r="B176" s="46"/>
      <c r="C176" s="57"/>
      <c r="D176" s="46"/>
      <c r="E176" s="46"/>
      <c r="F176" s="58"/>
      <c r="G176" s="46"/>
      <c r="H176" s="46"/>
      <c r="I176" s="59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 ht="16.5">
      <c r="A177" s="46"/>
      <c r="B177" s="46"/>
      <c r="C177" s="57"/>
      <c r="D177" s="46"/>
      <c r="E177" s="46"/>
      <c r="F177" s="58"/>
      <c r="G177" s="46"/>
      <c r="H177" s="46"/>
      <c r="I177" s="59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 ht="16.5">
      <c r="A178" s="46"/>
      <c r="B178" s="46"/>
      <c r="C178" s="57"/>
      <c r="D178" s="46"/>
      <c r="E178" s="46"/>
      <c r="F178" s="58"/>
      <c r="G178" s="46"/>
      <c r="H178" s="46"/>
      <c r="I178" s="59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 ht="16.5">
      <c r="A179" s="46"/>
      <c r="B179" s="46"/>
      <c r="C179" s="57"/>
      <c r="D179" s="46"/>
      <c r="E179" s="46"/>
      <c r="F179" s="58"/>
      <c r="G179" s="46"/>
      <c r="H179" s="46"/>
      <c r="I179" s="59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 ht="16.5">
      <c r="A180" s="46"/>
      <c r="B180" s="46"/>
      <c r="C180" s="57"/>
      <c r="D180" s="46"/>
      <c r="E180" s="46"/>
      <c r="F180" s="58"/>
      <c r="G180" s="46"/>
      <c r="H180" s="46"/>
      <c r="I180" s="59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16.5">
      <c r="A181" s="46"/>
      <c r="B181" s="46"/>
      <c r="C181" s="57"/>
      <c r="D181" s="46"/>
      <c r="E181" s="46"/>
      <c r="F181" s="58"/>
      <c r="G181" s="46"/>
      <c r="H181" s="46"/>
      <c r="I181" s="59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16.5">
      <c r="A182" s="46"/>
      <c r="B182" s="46"/>
      <c r="C182" s="57"/>
      <c r="D182" s="46"/>
      <c r="E182" s="46"/>
      <c r="F182" s="58"/>
      <c r="G182" s="46"/>
      <c r="H182" s="46"/>
      <c r="I182" s="59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 ht="16.5">
      <c r="A183" s="46"/>
      <c r="B183" s="46"/>
      <c r="C183" s="57"/>
      <c r="D183" s="46"/>
      <c r="E183" s="46"/>
      <c r="F183" s="58"/>
      <c r="G183" s="46"/>
      <c r="H183" s="46"/>
      <c r="I183" s="59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 ht="16.5">
      <c r="A184" s="46"/>
      <c r="B184" s="46"/>
      <c r="C184" s="57"/>
      <c r="D184" s="46"/>
      <c r="E184" s="46"/>
      <c r="F184" s="58"/>
      <c r="G184" s="46"/>
      <c r="H184" s="46"/>
      <c r="I184" s="59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 ht="16.5">
      <c r="A185" s="46"/>
      <c r="B185" s="46"/>
      <c r="C185" s="57"/>
      <c r="D185" s="46"/>
      <c r="E185" s="46"/>
      <c r="F185" s="58"/>
      <c r="G185" s="46"/>
      <c r="H185" s="46"/>
      <c r="I185" s="59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 ht="16.5">
      <c r="A186" s="46"/>
      <c r="B186" s="46"/>
      <c r="C186" s="57"/>
      <c r="D186" s="46"/>
      <c r="E186" s="46"/>
      <c r="F186" s="58"/>
      <c r="G186" s="46"/>
      <c r="H186" s="46"/>
      <c r="I186" s="59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 ht="16.5">
      <c r="A187" s="46"/>
      <c r="B187" s="46"/>
      <c r="C187" s="57"/>
      <c r="D187" s="46"/>
      <c r="E187" s="46"/>
      <c r="F187" s="58"/>
      <c r="G187" s="46"/>
      <c r="H187" s="46"/>
      <c r="I187" s="59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 ht="16.5">
      <c r="A188" s="46"/>
      <c r="B188" s="46"/>
      <c r="C188" s="57"/>
      <c r="D188" s="46"/>
      <c r="E188" s="46"/>
      <c r="F188" s="58"/>
      <c r="G188" s="46"/>
      <c r="H188" s="46"/>
      <c r="I188" s="59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 ht="16.5">
      <c r="A189" s="46"/>
      <c r="B189" s="46"/>
      <c r="C189" s="57"/>
      <c r="D189" s="46"/>
      <c r="E189" s="46"/>
      <c r="F189" s="58"/>
      <c r="G189" s="46"/>
      <c r="H189" s="46"/>
      <c r="I189" s="59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 ht="16.5">
      <c r="A190" s="46"/>
      <c r="B190" s="46"/>
      <c r="C190" s="57"/>
      <c r="D190" s="46"/>
      <c r="E190" s="46"/>
      <c r="F190" s="58"/>
      <c r="G190" s="46"/>
      <c r="H190" s="46"/>
      <c r="I190" s="59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 ht="16.5">
      <c r="A191" s="46"/>
      <c r="B191" s="46"/>
      <c r="C191" s="57"/>
      <c r="D191" s="46"/>
      <c r="E191" s="46"/>
      <c r="F191" s="58"/>
      <c r="G191" s="46"/>
      <c r="H191" s="46"/>
      <c r="I191" s="59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 ht="16.5">
      <c r="A192" s="46"/>
      <c r="B192" s="46"/>
      <c r="C192" s="57"/>
      <c r="D192" s="46"/>
      <c r="E192" s="46"/>
      <c r="F192" s="58"/>
      <c r="G192" s="46"/>
      <c r="H192" s="46"/>
      <c r="I192" s="59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 ht="16.5">
      <c r="A193" s="46"/>
      <c r="B193" s="46"/>
      <c r="C193" s="57"/>
      <c r="D193" s="46"/>
      <c r="E193" s="46"/>
      <c r="F193" s="58"/>
      <c r="G193" s="46"/>
      <c r="H193" s="46"/>
      <c r="I193" s="59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 ht="16.5">
      <c r="A194" s="46"/>
      <c r="B194" s="46"/>
      <c r="C194" s="57"/>
      <c r="D194" s="46"/>
      <c r="E194" s="46"/>
      <c r="F194" s="58"/>
      <c r="G194" s="46"/>
      <c r="H194" s="46"/>
      <c r="I194" s="59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 ht="16.5">
      <c r="A195" s="46"/>
      <c r="B195" s="46"/>
      <c r="C195" s="57"/>
      <c r="D195" s="46"/>
      <c r="E195" s="46"/>
      <c r="F195" s="58"/>
      <c r="G195" s="46"/>
      <c r="H195" s="46"/>
      <c r="I195" s="59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 ht="16.5">
      <c r="A196" s="46"/>
      <c r="B196" s="46"/>
      <c r="C196" s="57"/>
      <c r="D196" s="46"/>
      <c r="E196" s="46"/>
      <c r="F196" s="58"/>
      <c r="G196" s="46"/>
      <c r="H196" s="46"/>
      <c r="I196" s="59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 ht="16.5">
      <c r="A197" s="46"/>
      <c r="B197" s="46"/>
      <c r="C197" s="57"/>
      <c r="D197" s="46"/>
      <c r="E197" s="46"/>
      <c r="F197" s="58"/>
      <c r="G197" s="46"/>
      <c r="H197" s="46"/>
      <c r="I197" s="59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 ht="16.5">
      <c r="A198" s="46"/>
      <c r="B198" s="46"/>
      <c r="C198" s="57"/>
      <c r="D198" s="46"/>
      <c r="E198" s="46"/>
      <c r="F198" s="58"/>
      <c r="G198" s="46"/>
      <c r="H198" s="46"/>
      <c r="I198" s="59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 ht="16.5">
      <c r="A199" s="46"/>
      <c r="B199" s="46"/>
      <c r="C199" s="57"/>
      <c r="D199" s="46"/>
      <c r="E199" s="46"/>
      <c r="F199" s="58"/>
      <c r="G199" s="46"/>
      <c r="H199" s="46"/>
      <c r="I199" s="59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 ht="16.5">
      <c r="A200" s="46"/>
      <c r="B200" s="46"/>
      <c r="C200" s="57"/>
      <c r="D200" s="46"/>
      <c r="E200" s="46"/>
      <c r="F200" s="58"/>
      <c r="G200" s="46"/>
      <c r="H200" s="46"/>
      <c r="I200" s="59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 ht="16.5">
      <c r="A201" s="46"/>
      <c r="B201" s="46"/>
      <c r="C201" s="57"/>
      <c r="D201" s="46"/>
      <c r="E201" s="46"/>
      <c r="F201" s="58"/>
      <c r="G201" s="46"/>
      <c r="H201" s="46"/>
      <c r="I201" s="59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 ht="16.5">
      <c r="A202" s="46"/>
      <c r="B202" s="46"/>
      <c r="C202" s="57"/>
      <c r="D202" s="46"/>
      <c r="E202" s="46"/>
      <c r="F202" s="58"/>
      <c r="G202" s="46"/>
      <c r="H202" s="46"/>
      <c r="I202" s="59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16.5">
      <c r="A203" s="46"/>
      <c r="B203" s="46"/>
      <c r="C203" s="57"/>
      <c r="D203" s="46"/>
      <c r="E203" s="46"/>
      <c r="F203" s="58"/>
      <c r="G203" s="46"/>
      <c r="H203" s="46"/>
      <c r="I203" s="59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 ht="16.5">
      <c r="A204" s="46"/>
      <c r="B204" s="46"/>
      <c r="C204" s="57"/>
      <c r="D204" s="46"/>
      <c r="E204" s="46"/>
      <c r="F204" s="58"/>
      <c r="G204" s="46"/>
      <c r="H204" s="46"/>
      <c r="I204" s="59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 ht="16.5">
      <c r="A205" s="46"/>
      <c r="B205" s="46"/>
      <c r="C205" s="57"/>
      <c r="D205" s="46"/>
      <c r="E205" s="46"/>
      <c r="F205" s="58"/>
      <c r="G205" s="46"/>
      <c r="H205" s="46"/>
      <c r="I205" s="59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 ht="16.5">
      <c r="A206" s="46"/>
      <c r="B206" s="46"/>
      <c r="C206" s="57"/>
      <c r="D206" s="46"/>
      <c r="E206" s="46"/>
      <c r="F206" s="58"/>
      <c r="G206" s="46"/>
      <c r="H206" s="46"/>
      <c r="I206" s="59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 ht="16.5">
      <c r="A207" s="46"/>
      <c r="B207" s="46"/>
      <c r="C207" s="57"/>
      <c r="D207" s="46"/>
      <c r="E207" s="46"/>
      <c r="F207" s="58"/>
      <c r="G207" s="46"/>
      <c r="H207" s="46"/>
      <c r="I207" s="59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 ht="16.5">
      <c r="A208" s="46"/>
      <c r="B208" s="46"/>
      <c r="C208" s="57"/>
      <c r="D208" s="46"/>
      <c r="E208" s="46"/>
      <c r="F208" s="58"/>
      <c r="G208" s="46"/>
      <c r="H208" s="46"/>
      <c r="I208" s="59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 ht="16.5">
      <c r="A209" s="46"/>
      <c r="B209" s="46"/>
      <c r="C209" s="57"/>
      <c r="D209" s="46"/>
      <c r="E209" s="46"/>
      <c r="F209" s="58"/>
      <c r="G209" s="46"/>
      <c r="H209" s="46"/>
      <c r="I209" s="59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 ht="16.5">
      <c r="A210" s="46"/>
      <c r="B210" s="46"/>
      <c r="C210" s="57"/>
      <c r="D210" s="46"/>
      <c r="E210" s="46"/>
      <c r="F210" s="58"/>
      <c r="G210" s="46"/>
      <c r="H210" s="46"/>
      <c r="I210" s="59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 ht="16.5">
      <c r="A211" s="46"/>
      <c r="B211" s="46"/>
      <c r="C211" s="57"/>
      <c r="D211" s="46"/>
      <c r="E211" s="46"/>
      <c r="F211" s="58"/>
      <c r="G211" s="46"/>
      <c r="H211" s="46"/>
      <c r="I211" s="59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 ht="16.5">
      <c r="A212" s="46"/>
      <c r="B212" s="46"/>
      <c r="C212" s="57"/>
      <c r="D212" s="46"/>
      <c r="E212" s="46"/>
      <c r="F212" s="58"/>
      <c r="G212" s="46"/>
      <c r="H212" s="46"/>
      <c r="I212" s="59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 ht="16.5">
      <c r="A213" s="46"/>
      <c r="B213" s="46"/>
      <c r="C213" s="57"/>
      <c r="D213" s="46"/>
      <c r="E213" s="46"/>
      <c r="F213" s="58"/>
      <c r="G213" s="46"/>
      <c r="H213" s="46"/>
      <c r="I213" s="59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6.5">
      <c r="A214" s="46"/>
      <c r="B214" s="46"/>
      <c r="C214" s="57"/>
      <c r="D214" s="46"/>
      <c r="E214" s="46"/>
      <c r="F214" s="58"/>
      <c r="G214" s="46"/>
      <c r="H214" s="46"/>
      <c r="I214" s="59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16.5">
      <c r="A215" s="46"/>
      <c r="B215" s="46"/>
      <c r="C215" s="57"/>
      <c r="D215" s="46"/>
      <c r="E215" s="46"/>
      <c r="F215" s="58"/>
      <c r="G215" s="46"/>
      <c r="H215" s="46"/>
      <c r="I215" s="59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 ht="16.5">
      <c r="A216" s="46"/>
      <c r="B216" s="46"/>
      <c r="C216" s="57"/>
      <c r="D216" s="46"/>
      <c r="E216" s="46"/>
      <c r="F216" s="58"/>
      <c r="G216" s="46"/>
      <c r="H216" s="46"/>
      <c r="I216" s="59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 ht="16.5">
      <c r="A217" s="46"/>
      <c r="B217" s="46"/>
      <c r="C217" s="57"/>
      <c r="D217" s="46"/>
      <c r="E217" s="46"/>
      <c r="F217" s="58"/>
      <c r="G217" s="46"/>
      <c r="H217" s="46"/>
      <c r="I217" s="59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 ht="16.5">
      <c r="A218" s="46"/>
      <c r="B218" s="46"/>
      <c r="C218" s="57"/>
      <c r="D218" s="46"/>
      <c r="E218" s="46"/>
      <c r="F218" s="58"/>
      <c r="G218" s="46"/>
      <c r="H218" s="46"/>
      <c r="I218" s="59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 ht="16.5">
      <c r="A219" s="46"/>
      <c r="B219" s="46"/>
      <c r="C219" s="57"/>
      <c r="D219" s="46"/>
      <c r="E219" s="46"/>
      <c r="F219" s="58"/>
      <c r="G219" s="46"/>
      <c r="H219" s="46"/>
      <c r="I219" s="59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 ht="16.5">
      <c r="A220" s="46"/>
      <c r="B220" s="46"/>
      <c r="C220" s="57"/>
      <c r="D220" s="46"/>
      <c r="E220" s="46"/>
      <c r="F220" s="58"/>
      <c r="G220" s="46"/>
      <c r="H220" s="46"/>
      <c r="I220" s="59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 ht="16.5">
      <c r="A221" s="46"/>
      <c r="B221" s="46"/>
      <c r="C221" s="57"/>
      <c r="D221" s="46"/>
      <c r="E221" s="46"/>
      <c r="F221" s="58"/>
      <c r="G221" s="46"/>
      <c r="H221" s="46"/>
      <c r="I221" s="59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 ht="16.5">
      <c r="A222" s="46"/>
      <c r="B222" s="46"/>
      <c r="C222" s="57"/>
      <c r="D222" s="46"/>
      <c r="E222" s="46"/>
      <c r="F222" s="58"/>
      <c r="G222" s="46"/>
      <c r="H222" s="46"/>
      <c r="I222" s="59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 ht="16.5">
      <c r="A223" s="46"/>
      <c r="B223" s="46"/>
      <c r="C223" s="57"/>
      <c r="D223" s="46"/>
      <c r="E223" s="46"/>
      <c r="F223" s="58"/>
      <c r="G223" s="46"/>
      <c r="H223" s="46"/>
      <c r="I223" s="59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 ht="16.5">
      <c r="A224" s="46"/>
      <c r="B224" s="46"/>
      <c r="C224" s="57"/>
      <c r="D224" s="46"/>
      <c r="E224" s="46"/>
      <c r="F224" s="58"/>
      <c r="G224" s="46"/>
      <c r="H224" s="46"/>
      <c r="I224" s="59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 ht="16.5">
      <c r="A225" s="46"/>
      <c r="B225" s="46"/>
      <c r="C225" s="57"/>
      <c r="D225" s="46"/>
      <c r="E225" s="46"/>
      <c r="F225" s="58"/>
      <c r="G225" s="46"/>
      <c r="H225" s="46"/>
      <c r="I225" s="59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 ht="16.5">
      <c r="A226" s="46"/>
      <c r="B226" s="46"/>
      <c r="C226" s="57"/>
      <c r="D226" s="46"/>
      <c r="E226" s="46"/>
      <c r="F226" s="58"/>
      <c r="G226" s="46"/>
      <c r="H226" s="46"/>
      <c r="I226" s="59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 ht="16.5">
      <c r="A227" s="46"/>
      <c r="B227" s="46"/>
      <c r="C227" s="57"/>
      <c r="D227" s="46"/>
      <c r="E227" s="46"/>
      <c r="F227" s="58"/>
      <c r="G227" s="46"/>
      <c r="H227" s="46"/>
      <c r="I227" s="59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 ht="16.5">
      <c r="A228" s="46"/>
      <c r="B228" s="46"/>
      <c r="C228" s="57"/>
      <c r="D228" s="46"/>
      <c r="E228" s="46"/>
      <c r="F228" s="58"/>
      <c r="G228" s="46"/>
      <c r="H228" s="46"/>
      <c r="I228" s="59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 ht="16.5">
      <c r="A229" s="46"/>
      <c r="B229" s="46"/>
      <c r="C229" s="57"/>
      <c r="D229" s="46"/>
      <c r="E229" s="46"/>
      <c r="F229" s="58"/>
      <c r="G229" s="46"/>
      <c r="H229" s="46"/>
      <c r="I229" s="59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 ht="16.5">
      <c r="A230" s="46"/>
      <c r="B230" s="46"/>
      <c r="C230" s="57"/>
      <c r="D230" s="46"/>
      <c r="E230" s="46"/>
      <c r="F230" s="58"/>
      <c r="G230" s="46"/>
      <c r="H230" s="46"/>
      <c r="I230" s="59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6.5">
      <c r="A231" s="46"/>
      <c r="B231" s="46"/>
      <c r="C231" s="57"/>
      <c r="D231" s="46"/>
      <c r="E231" s="46"/>
      <c r="F231" s="58"/>
      <c r="G231" s="46"/>
      <c r="H231" s="46"/>
      <c r="I231" s="59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 spans="1:25" ht="16.5">
      <c r="A232" s="46"/>
      <c r="B232" s="46"/>
      <c r="C232" s="57"/>
      <c r="D232" s="46"/>
      <c r="E232" s="46"/>
      <c r="F232" s="58"/>
      <c r="G232" s="46"/>
      <c r="H232" s="46"/>
      <c r="I232" s="59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 spans="1:25" ht="16.5">
      <c r="A233" s="46"/>
      <c r="B233" s="46"/>
      <c r="C233" s="57"/>
      <c r="D233" s="46"/>
      <c r="E233" s="46"/>
      <c r="F233" s="58"/>
      <c r="G233" s="46"/>
      <c r="H233" s="46"/>
      <c r="I233" s="59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 spans="1:25" ht="16.5">
      <c r="A234" s="46"/>
      <c r="B234" s="46"/>
      <c r="C234" s="57"/>
      <c r="D234" s="46"/>
      <c r="E234" s="46"/>
      <c r="F234" s="58"/>
      <c r="G234" s="46"/>
      <c r="H234" s="46"/>
      <c r="I234" s="59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 spans="1:25" ht="16.5">
      <c r="A235" s="46"/>
      <c r="B235" s="46"/>
      <c r="C235" s="57"/>
      <c r="D235" s="46"/>
      <c r="E235" s="46"/>
      <c r="F235" s="58"/>
      <c r="G235" s="46"/>
      <c r="H235" s="46"/>
      <c r="I235" s="59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 spans="1:25" ht="16.5">
      <c r="A236" s="46"/>
      <c r="B236" s="46"/>
      <c r="C236" s="57"/>
      <c r="D236" s="46"/>
      <c r="E236" s="46"/>
      <c r="F236" s="58"/>
      <c r="G236" s="46"/>
      <c r="H236" s="46"/>
      <c r="I236" s="59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 spans="1:25" ht="16.5">
      <c r="A237" s="46"/>
      <c r="B237" s="46"/>
      <c r="C237" s="57"/>
      <c r="D237" s="46"/>
      <c r="E237" s="46"/>
      <c r="F237" s="58"/>
      <c r="G237" s="46"/>
      <c r="H237" s="46"/>
      <c r="I237" s="59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 spans="1:25" ht="16.5">
      <c r="A238" s="46"/>
      <c r="B238" s="46"/>
      <c r="C238" s="57"/>
      <c r="D238" s="46"/>
      <c r="E238" s="46"/>
      <c r="F238" s="58"/>
      <c r="G238" s="46"/>
      <c r="H238" s="46"/>
      <c r="I238" s="59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 spans="1:25" ht="16.5">
      <c r="A239" s="46"/>
      <c r="B239" s="46"/>
      <c r="C239" s="57"/>
      <c r="D239" s="46"/>
      <c r="E239" s="46"/>
      <c r="F239" s="58"/>
      <c r="G239" s="46"/>
      <c r="H239" s="46"/>
      <c r="I239" s="59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 spans="1:25" ht="16.5">
      <c r="A240" s="46"/>
      <c r="B240" s="46"/>
      <c r="C240" s="57"/>
      <c r="D240" s="46"/>
      <c r="E240" s="46"/>
      <c r="F240" s="58"/>
      <c r="G240" s="46"/>
      <c r="H240" s="46"/>
      <c r="I240" s="59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 spans="1:25" ht="16.5">
      <c r="A241" s="46"/>
      <c r="B241" s="46"/>
      <c r="C241" s="57"/>
      <c r="D241" s="46"/>
      <c r="E241" s="46"/>
      <c r="F241" s="58"/>
      <c r="G241" s="46"/>
      <c r="H241" s="46"/>
      <c r="I241" s="59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 spans="1:25" ht="16.5">
      <c r="A242" s="46"/>
      <c r="B242" s="46"/>
      <c r="C242" s="57"/>
      <c r="D242" s="46"/>
      <c r="E242" s="46"/>
      <c r="F242" s="58"/>
      <c r="G242" s="46"/>
      <c r="H242" s="46"/>
      <c r="I242" s="59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 spans="1:25" ht="16.5">
      <c r="A243" s="46"/>
      <c r="B243" s="46"/>
      <c r="C243" s="57"/>
      <c r="D243" s="46"/>
      <c r="E243" s="46"/>
      <c r="F243" s="58"/>
      <c r="G243" s="46"/>
      <c r="H243" s="46"/>
      <c r="I243" s="59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 spans="1:25" ht="16.5">
      <c r="A244" s="46"/>
      <c r="B244" s="46"/>
      <c r="C244" s="57"/>
      <c r="D244" s="46"/>
      <c r="E244" s="46"/>
      <c r="F244" s="58"/>
      <c r="G244" s="46"/>
      <c r="H244" s="46"/>
      <c r="I244" s="59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 spans="1:25" ht="16.5">
      <c r="A245" s="46"/>
      <c r="B245" s="46"/>
      <c r="C245" s="57"/>
      <c r="D245" s="46"/>
      <c r="E245" s="46"/>
      <c r="F245" s="58"/>
      <c r="G245" s="46"/>
      <c r="H245" s="46"/>
      <c r="I245" s="59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 spans="1:25" ht="16.5">
      <c r="A246" s="46"/>
      <c r="B246" s="46"/>
      <c r="C246" s="57"/>
      <c r="D246" s="46"/>
      <c r="E246" s="46"/>
      <c r="F246" s="58"/>
      <c r="G246" s="46"/>
      <c r="H246" s="46"/>
      <c r="I246" s="59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 spans="1:25" ht="16.5">
      <c r="A247" s="46"/>
      <c r="B247" s="46"/>
      <c r="C247" s="57"/>
      <c r="D247" s="46"/>
      <c r="E247" s="46"/>
      <c r="F247" s="58"/>
      <c r="G247" s="46"/>
      <c r="H247" s="46"/>
      <c r="I247" s="59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 spans="1:25" ht="16.5">
      <c r="A248" s="46"/>
      <c r="B248" s="46"/>
      <c r="C248" s="57"/>
      <c r="D248" s="46"/>
      <c r="E248" s="46"/>
      <c r="F248" s="58"/>
      <c r="G248" s="46"/>
      <c r="H248" s="46"/>
      <c r="I248" s="59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 spans="1:25" ht="16.5">
      <c r="A249" s="46"/>
      <c r="B249" s="46"/>
      <c r="C249" s="57"/>
      <c r="D249" s="46"/>
      <c r="E249" s="46"/>
      <c r="F249" s="58"/>
      <c r="G249" s="46"/>
      <c r="H249" s="46"/>
      <c r="I249" s="59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 spans="1:25" ht="16.5">
      <c r="A250" s="46"/>
      <c r="B250" s="46"/>
      <c r="C250" s="57"/>
      <c r="D250" s="46"/>
      <c r="E250" s="46"/>
      <c r="F250" s="58"/>
      <c r="G250" s="46"/>
      <c r="H250" s="46"/>
      <c r="I250" s="59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 spans="1:25" ht="16.5">
      <c r="A251" s="46"/>
      <c r="B251" s="46"/>
      <c r="C251" s="57"/>
      <c r="D251" s="46"/>
      <c r="E251" s="46"/>
      <c r="F251" s="58"/>
      <c r="G251" s="46"/>
      <c r="H251" s="46"/>
      <c r="I251" s="59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 spans="1:25" ht="16.5">
      <c r="A252" s="46"/>
      <c r="B252" s="46"/>
      <c r="C252" s="57"/>
      <c r="D252" s="46"/>
      <c r="E252" s="46"/>
      <c r="F252" s="58"/>
      <c r="G252" s="46"/>
      <c r="H252" s="46"/>
      <c r="I252" s="59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 spans="1:25" ht="16.5">
      <c r="A253" s="46"/>
      <c r="B253" s="46"/>
      <c r="C253" s="57"/>
      <c r="D253" s="46"/>
      <c r="E253" s="46"/>
      <c r="F253" s="58"/>
      <c r="G253" s="46"/>
      <c r="H253" s="46"/>
      <c r="I253" s="59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 spans="1:25" ht="16.5">
      <c r="A254" s="46"/>
      <c r="B254" s="46"/>
      <c r="C254" s="57"/>
      <c r="D254" s="46"/>
      <c r="E254" s="46"/>
      <c r="F254" s="58"/>
      <c r="G254" s="46"/>
      <c r="H254" s="46"/>
      <c r="I254" s="59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 spans="1:25" ht="16.5">
      <c r="A255" s="46"/>
      <c r="B255" s="46"/>
      <c r="C255" s="57"/>
      <c r="D255" s="46"/>
      <c r="E255" s="46"/>
      <c r="F255" s="58"/>
      <c r="G255" s="46"/>
      <c r="H255" s="46"/>
      <c r="I255" s="59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 spans="1:25" ht="16.5">
      <c r="A256" s="46"/>
      <c r="B256" s="46"/>
      <c r="C256" s="57"/>
      <c r="D256" s="46"/>
      <c r="E256" s="46"/>
      <c r="F256" s="58"/>
      <c r="G256" s="46"/>
      <c r="H256" s="46"/>
      <c r="I256" s="59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 spans="1:25" ht="16.5">
      <c r="A257" s="46"/>
      <c r="B257" s="46"/>
      <c r="C257" s="57"/>
      <c r="D257" s="46"/>
      <c r="E257" s="46"/>
      <c r="F257" s="58"/>
      <c r="G257" s="46"/>
      <c r="H257" s="46"/>
      <c r="I257" s="59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 spans="1:25" ht="16.5">
      <c r="A258" s="46"/>
      <c r="B258" s="46"/>
      <c r="C258" s="57"/>
      <c r="D258" s="46"/>
      <c r="E258" s="46"/>
      <c r="F258" s="58"/>
      <c r="G258" s="46"/>
      <c r="H258" s="46"/>
      <c r="I258" s="59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 spans="1:25" ht="16.5">
      <c r="A259" s="46"/>
      <c r="B259" s="46"/>
      <c r="C259" s="57"/>
      <c r="D259" s="46"/>
      <c r="E259" s="46"/>
      <c r="F259" s="58"/>
      <c r="G259" s="46"/>
      <c r="H259" s="46"/>
      <c r="I259" s="59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 spans="1:25" ht="16.5">
      <c r="A260" s="46"/>
      <c r="B260" s="46"/>
      <c r="C260" s="57"/>
      <c r="D260" s="46"/>
      <c r="E260" s="46"/>
      <c r="F260" s="58"/>
      <c r="G260" s="46"/>
      <c r="H260" s="46"/>
      <c r="I260" s="59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 spans="1:25" ht="16.5">
      <c r="A261" s="46"/>
      <c r="B261" s="46"/>
      <c r="C261" s="57"/>
      <c r="D261" s="46"/>
      <c r="E261" s="46"/>
      <c r="F261" s="58"/>
      <c r="G261" s="46"/>
      <c r="H261" s="46"/>
      <c r="I261" s="59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 spans="1:25" ht="16.5">
      <c r="A262" s="46"/>
      <c r="B262" s="46"/>
      <c r="C262" s="57"/>
      <c r="D262" s="46"/>
      <c r="E262" s="46"/>
      <c r="F262" s="58"/>
      <c r="G262" s="46"/>
      <c r="H262" s="46"/>
      <c r="I262" s="59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 spans="1:25" ht="16.5">
      <c r="A263" s="46"/>
      <c r="B263" s="46"/>
      <c r="C263" s="57"/>
      <c r="D263" s="46"/>
      <c r="E263" s="46"/>
      <c r="F263" s="58"/>
      <c r="G263" s="46"/>
      <c r="H263" s="46"/>
      <c r="I263" s="59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 spans="1:25" ht="16.5">
      <c r="A264" s="46"/>
      <c r="B264" s="46"/>
      <c r="C264" s="57"/>
      <c r="D264" s="46"/>
      <c r="E264" s="46"/>
      <c r="F264" s="58"/>
      <c r="G264" s="46"/>
      <c r="H264" s="46"/>
      <c r="I264" s="59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 spans="1:25" ht="16.5">
      <c r="A265" s="46"/>
      <c r="B265" s="46"/>
      <c r="C265" s="57"/>
      <c r="D265" s="46"/>
      <c r="E265" s="46"/>
      <c r="F265" s="58"/>
      <c r="G265" s="46"/>
      <c r="H265" s="46"/>
      <c r="I265" s="59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 spans="1:25" ht="16.5">
      <c r="A266" s="46"/>
      <c r="B266" s="46"/>
      <c r="C266" s="57"/>
      <c r="D266" s="46"/>
      <c r="E266" s="46"/>
      <c r="F266" s="58"/>
      <c r="G266" s="46"/>
      <c r="H266" s="46"/>
      <c r="I266" s="59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 spans="1:25" ht="16.5">
      <c r="A267" s="46"/>
      <c r="B267" s="46"/>
      <c r="C267" s="57"/>
      <c r="D267" s="46"/>
      <c r="E267" s="46"/>
      <c r="F267" s="58"/>
      <c r="G267" s="46"/>
      <c r="H267" s="46"/>
      <c r="I267" s="59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 ht="16.5">
      <c r="A268" s="46"/>
      <c r="B268" s="46"/>
      <c r="C268" s="57"/>
      <c r="D268" s="46"/>
      <c r="E268" s="46"/>
      <c r="F268" s="58"/>
      <c r="G268" s="46"/>
      <c r="H268" s="46"/>
      <c r="I268" s="59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 ht="16.5">
      <c r="A269" s="46"/>
      <c r="B269" s="46"/>
      <c r="C269" s="57"/>
      <c r="D269" s="46"/>
      <c r="E269" s="46"/>
      <c r="F269" s="58"/>
      <c r="G269" s="46"/>
      <c r="H269" s="46"/>
      <c r="I269" s="59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 ht="16.5">
      <c r="A270" s="46"/>
      <c r="B270" s="46"/>
      <c r="C270" s="57"/>
      <c r="D270" s="46"/>
      <c r="E270" s="46"/>
      <c r="F270" s="58"/>
      <c r="G270" s="46"/>
      <c r="H270" s="46"/>
      <c r="I270" s="59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 ht="16.5">
      <c r="A271" s="46"/>
      <c r="B271" s="46"/>
      <c r="C271" s="57"/>
      <c r="D271" s="46"/>
      <c r="E271" s="46"/>
      <c r="F271" s="58"/>
      <c r="G271" s="46"/>
      <c r="H271" s="46"/>
      <c r="I271" s="59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 ht="16.5">
      <c r="A272" s="46"/>
      <c r="B272" s="46"/>
      <c r="C272" s="57"/>
      <c r="D272" s="46"/>
      <c r="E272" s="46"/>
      <c r="F272" s="58"/>
      <c r="G272" s="46"/>
      <c r="H272" s="46"/>
      <c r="I272" s="59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 ht="16.5">
      <c r="A273" s="46"/>
      <c r="B273" s="46"/>
      <c r="C273" s="57"/>
      <c r="D273" s="46"/>
      <c r="E273" s="46"/>
      <c r="F273" s="58"/>
      <c r="G273" s="46"/>
      <c r="H273" s="46"/>
      <c r="I273" s="59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 ht="16.5">
      <c r="A274" s="46"/>
      <c r="B274" s="46"/>
      <c r="C274" s="57"/>
      <c r="D274" s="46"/>
      <c r="E274" s="46"/>
      <c r="F274" s="58"/>
      <c r="G274" s="46"/>
      <c r="H274" s="46"/>
      <c r="I274" s="59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 ht="16.5">
      <c r="A275" s="46"/>
      <c r="B275" s="46"/>
      <c r="C275" s="57"/>
      <c r="D275" s="46"/>
      <c r="E275" s="46"/>
      <c r="F275" s="58"/>
      <c r="G275" s="46"/>
      <c r="H275" s="46"/>
      <c r="I275" s="59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 ht="16.5">
      <c r="A276" s="46"/>
      <c r="B276" s="46"/>
      <c r="C276" s="57"/>
      <c r="D276" s="46"/>
      <c r="E276" s="46"/>
      <c r="F276" s="58"/>
      <c r="G276" s="46"/>
      <c r="H276" s="46"/>
      <c r="I276" s="59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 ht="16.5">
      <c r="A277" s="46"/>
      <c r="B277" s="46"/>
      <c r="C277" s="57"/>
      <c r="D277" s="46"/>
      <c r="E277" s="46"/>
      <c r="F277" s="58"/>
      <c r="G277" s="46"/>
      <c r="H277" s="46"/>
      <c r="I277" s="59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 ht="16.5">
      <c r="A278" s="46"/>
      <c r="B278" s="46"/>
      <c r="C278" s="57"/>
      <c r="D278" s="46"/>
      <c r="E278" s="46"/>
      <c r="F278" s="58"/>
      <c r="G278" s="46"/>
      <c r="H278" s="46"/>
      <c r="I278" s="59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 ht="16.5">
      <c r="A279" s="46"/>
      <c r="B279" s="46"/>
      <c r="C279" s="57"/>
      <c r="D279" s="46"/>
      <c r="E279" s="46"/>
      <c r="F279" s="58"/>
      <c r="G279" s="46"/>
      <c r="H279" s="46"/>
      <c r="I279" s="59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16.5">
      <c r="A280" s="46"/>
      <c r="B280" s="46"/>
      <c r="C280" s="57"/>
      <c r="D280" s="46"/>
      <c r="E280" s="46"/>
      <c r="F280" s="58"/>
      <c r="G280" s="46"/>
      <c r="H280" s="46"/>
      <c r="I280" s="59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 ht="16.5">
      <c r="A281" s="46"/>
      <c r="B281" s="46"/>
      <c r="C281" s="57"/>
      <c r="D281" s="46"/>
      <c r="E281" s="46"/>
      <c r="F281" s="58"/>
      <c r="G281" s="46"/>
      <c r="H281" s="46"/>
      <c r="I281" s="59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 ht="16.5">
      <c r="A282" s="46"/>
      <c r="B282" s="46"/>
      <c r="C282" s="57"/>
      <c r="D282" s="46"/>
      <c r="E282" s="46"/>
      <c r="F282" s="58"/>
      <c r="G282" s="46"/>
      <c r="H282" s="46"/>
      <c r="I282" s="59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 ht="16.5">
      <c r="A283" s="46"/>
      <c r="B283" s="46"/>
      <c r="C283" s="57"/>
      <c r="D283" s="46"/>
      <c r="E283" s="46"/>
      <c r="F283" s="58"/>
      <c r="G283" s="46"/>
      <c r="H283" s="46"/>
      <c r="I283" s="59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 ht="16.5">
      <c r="A284" s="46"/>
      <c r="B284" s="46"/>
      <c r="C284" s="57"/>
      <c r="D284" s="46"/>
      <c r="E284" s="46"/>
      <c r="F284" s="58"/>
      <c r="G284" s="46"/>
      <c r="H284" s="46"/>
      <c r="I284" s="59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 ht="16.5">
      <c r="A285" s="46"/>
      <c r="B285" s="46"/>
      <c r="C285" s="57"/>
      <c r="D285" s="46"/>
      <c r="E285" s="46"/>
      <c r="F285" s="58"/>
      <c r="G285" s="46"/>
      <c r="H285" s="46"/>
      <c r="I285" s="59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 ht="16.5">
      <c r="A286" s="46"/>
      <c r="B286" s="46"/>
      <c r="C286" s="57"/>
      <c r="D286" s="46"/>
      <c r="E286" s="46"/>
      <c r="F286" s="58"/>
      <c r="G286" s="46"/>
      <c r="H286" s="46"/>
      <c r="I286" s="59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 ht="16.5">
      <c r="A287" s="46"/>
      <c r="B287" s="46"/>
      <c r="C287" s="57"/>
      <c r="D287" s="46"/>
      <c r="E287" s="46"/>
      <c r="F287" s="58"/>
      <c r="G287" s="46"/>
      <c r="H287" s="46"/>
      <c r="I287" s="59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 ht="16.5">
      <c r="A288" s="46"/>
      <c r="B288" s="46"/>
      <c r="C288" s="57"/>
      <c r="D288" s="46"/>
      <c r="E288" s="46"/>
      <c r="F288" s="58"/>
      <c r="G288" s="46"/>
      <c r="H288" s="46"/>
      <c r="I288" s="59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 ht="16.5">
      <c r="A289" s="46"/>
      <c r="B289" s="46"/>
      <c r="C289" s="57"/>
      <c r="D289" s="46"/>
      <c r="E289" s="46"/>
      <c r="F289" s="58"/>
      <c r="G289" s="46"/>
      <c r="H289" s="46"/>
      <c r="I289" s="59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 ht="16.5">
      <c r="A290" s="46"/>
      <c r="B290" s="46"/>
      <c r="C290" s="57"/>
      <c r="D290" s="46"/>
      <c r="E290" s="46"/>
      <c r="F290" s="58"/>
      <c r="G290" s="46"/>
      <c r="H290" s="46"/>
      <c r="I290" s="59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 ht="16.5">
      <c r="A291" s="46"/>
      <c r="B291" s="46"/>
      <c r="C291" s="57"/>
      <c r="D291" s="46"/>
      <c r="E291" s="46"/>
      <c r="F291" s="58"/>
      <c r="G291" s="46"/>
      <c r="H291" s="46"/>
      <c r="I291" s="59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 ht="16.5">
      <c r="A292" s="46"/>
      <c r="B292" s="46"/>
      <c r="C292" s="57"/>
      <c r="D292" s="46"/>
      <c r="E292" s="46"/>
      <c r="F292" s="58"/>
      <c r="G292" s="46"/>
      <c r="H292" s="46"/>
      <c r="I292" s="59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 ht="16.5">
      <c r="A293" s="46"/>
      <c r="B293" s="46"/>
      <c r="C293" s="57"/>
      <c r="D293" s="46"/>
      <c r="E293" s="46"/>
      <c r="F293" s="58"/>
      <c r="G293" s="46"/>
      <c r="H293" s="46"/>
      <c r="I293" s="59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 ht="16.5">
      <c r="A294" s="46"/>
      <c r="B294" s="46"/>
      <c r="C294" s="57"/>
      <c r="D294" s="46"/>
      <c r="E294" s="46"/>
      <c r="F294" s="58"/>
      <c r="G294" s="46"/>
      <c r="H294" s="46"/>
      <c r="I294" s="59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 ht="16.5">
      <c r="A295" s="46"/>
      <c r="B295" s="46"/>
      <c r="C295" s="57"/>
      <c r="D295" s="46"/>
      <c r="E295" s="46"/>
      <c r="F295" s="58"/>
      <c r="G295" s="46"/>
      <c r="H295" s="46"/>
      <c r="I295" s="59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 ht="16.5">
      <c r="A296" s="46"/>
      <c r="B296" s="46"/>
      <c r="C296" s="57"/>
      <c r="D296" s="46"/>
      <c r="E296" s="46"/>
      <c r="F296" s="58"/>
      <c r="G296" s="46"/>
      <c r="H296" s="46"/>
      <c r="I296" s="59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 ht="16.5">
      <c r="A297" s="46"/>
      <c r="B297" s="46"/>
      <c r="C297" s="57"/>
      <c r="D297" s="46"/>
      <c r="E297" s="46"/>
      <c r="F297" s="58"/>
      <c r="G297" s="46"/>
      <c r="H297" s="46"/>
      <c r="I297" s="59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 ht="16.5">
      <c r="A298" s="46"/>
      <c r="B298" s="46"/>
      <c r="C298" s="57"/>
      <c r="D298" s="46"/>
      <c r="E298" s="46"/>
      <c r="F298" s="58"/>
      <c r="G298" s="46"/>
      <c r="H298" s="46"/>
      <c r="I298" s="59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 ht="16.5">
      <c r="A299" s="46"/>
      <c r="B299" s="46"/>
      <c r="C299" s="57"/>
      <c r="D299" s="46"/>
      <c r="E299" s="46"/>
      <c r="F299" s="58"/>
      <c r="G299" s="46"/>
      <c r="H299" s="46"/>
      <c r="I299" s="59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 ht="16.5">
      <c r="A300" s="46"/>
      <c r="B300" s="46"/>
      <c r="C300" s="57"/>
      <c r="D300" s="46"/>
      <c r="E300" s="46"/>
      <c r="F300" s="58"/>
      <c r="G300" s="46"/>
      <c r="H300" s="46"/>
      <c r="I300" s="59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 ht="16.5">
      <c r="A301" s="46"/>
      <c r="B301" s="46"/>
      <c r="C301" s="57"/>
      <c r="D301" s="46"/>
      <c r="E301" s="46"/>
      <c r="F301" s="58"/>
      <c r="G301" s="46"/>
      <c r="H301" s="46"/>
      <c r="I301" s="59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 ht="16.5">
      <c r="A302" s="46"/>
      <c r="B302" s="46"/>
      <c r="C302" s="57"/>
      <c r="D302" s="46"/>
      <c r="E302" s="46"/>
      <c r="F302" s="58"/>
      <c r="G302" s="46"/>
      <c r="H302" s="46"/>
      <c r="I302" s="59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 ht="16.5">
      <c r="A303" s="46"/>
      <c r="B303" s="46"/>
      <c r="C303" s="57"/>
      <c r="D303" s="46"/>
      <c r="E303" s="46"/>
      <c r="F303" s="58"/>
      <c r="G303" s="46"/>
      <c r="H303" s="46"/>
      <c r="I303" s="59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 ht="16.5">
      <c r="A304" s="46"/>
      <c r="B304" s="46"/>
      <c r="C304" s="57"/>
      <c r="D304" s="46"/>
      <c r="E304" s="46"/>
      <c r="F304" s="58"/>
      <c r="G304" s="46"/>
      <c r="H304" s="46"/>
      <c r="I304" s="59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 ht="16.5">
      <c r="A305" s="46"/>
      <c r="B305" s="46"/>
      <c r="C305" s="57"/>
      <c r="D305" s="46"/>
      <c r="E305" s="46"/>
      <c r="F305" s="58"/>
      <c r="G305" s="46"/>
      <c r="H305" s="46"/>
      <c r="I305" s="59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 ht="16.5">
      <c r="A306" s="46"/>
      <c r="B306" s="46"/>
      <c r="C306" s="57"/>
      <c r="D306" s="46"/>
      <c r="E306" s="46"/>
      <c r="F306" s="58"/>
      <c r="G306" s="46"/>
      <c r="H306" s="46"/>
      <c r="I306" s="59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 ht="16.5">
      <c r="A307" s="46"/>
      <c r="B307" s="46"/>
      <c r="C307" s="57"/>
      <c r="D307" s="46"/>
      <c r="E307" s="46"/>
      <c r="F307" s="58"/>
      <c r="G307" s="46"/>
      <c r="H307" s="46"/>
      <c r="I307" s="59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 ht="16.5">
      <c r="A308" s="46"/>
      <c r="B308" s="46"/>
      <c r="C308" s="57"/>
      <c r="D308" s="46"/>
      <c r="E308" s="46"/>
      <c r="F308" s="58"/>
      <c r="G308" s="46"/>
      <c r="H308" s="46"/>
      <c r="I308" s="59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 ht="16.5">
      <c r="A309" s="46"/>
      <c r="B309" s="46"/>
      <c r="C309" s="57"/>
      <c r="D309" s="46"/>
      <c r="E309" s="46"/>
      <c r="F309" s="58"/>
      <c r="G309" s="46"/>
      <c r="H309" s="46"/>
      <c r="I309" s="59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 ht="16.5">
      <c r="A310" s="46"/>
      <c r="B310" s="46"/>
      <c r="C310" s="57"/>
      <c r="D310" s="46"/>
      <c r="E310" s="46"/>
      <c r="F310" s="58"/>
      <c r="G310" s="46"/>
      <c r="H310" s="46"/>
      <c r="I310" s="59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 ht="16.5">
      <c r="A311" s="46"/>
      <c r="B311" s="46"/>
      <c r="C311" s="57"/>
      <c r="D311" s="46"/>
      <c r="E311" s="46"/>
      <c r="F311" s="58"/>
      <c r="G311" s="46"/>
      <c r="H311" s="46"/>
      <c r="I311" s="59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 ht="16.5">
      <c r="A312" s="46"/>
      <c r="B312" s="46"/>
      <c r="C312" s="57"/>
      <c r="D312" s="46"/>
      <c r="E312" s="46"/>
      <c r="F312" s="58"/>
      <c r="G312" s="46"/>
      <c r="H312" s="46"/>
      <c r="I312" s="59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 ht="16.5">
      <c r="A313" s="46"/>
      <c r="B313" s="46"/>
      <c r="C313" s="57"/>
      <c r="D313" s="46"/>
      <c r="E313" s="46"/>
      <c r="F313" s="58"/>
      <c r="G313" s="46"/>
      <c r="H313" s="46"/>
      <c r="I313" s="59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 ht="16.5">
      <c r="A314" s="46"/>
      <c r="B314" s="46"/>
      <c r="C314" s="57"/>
      <c r="D314" s="46"/>
      <c r="E314" s="46"/>
      <c r="F314" s="58"/>
      <c r="G314" s="46"/>
      <c r="H314" s="46"/>
      <c r="I314" s="59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 ht="16.5">
      <c r="A315" s="46"/>
      <c r="B315" s="46"/>
      <c r="C315" s="57"/>
      <c r="D315" s="46"/>
      <c r="E315" s="46"/>
      <c r="F315" s="58"/>
      <c r="G315" s="46"/>
      <c r="H315" s="46"/>
      <c r="I315" s="59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 ht="16.5">
      <c r="A316" s="46"/>
      <c r="B316" s="46"/>
      <c r="C316" s="57"/>
      <c r="D316" s="46"/>
      <c r="E316" s="46"/>
      <c r="F316" s="58"/>
      <c r="G316" s="46"/>
      <c r="H316" s="46"/>
      <c r="I316" s="59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 ht="16.5">
      <c r="A317" s="46"/>
      <c r="B317" s="46"/>
      <c r="C317" s="57"/>
      <c r="D317" s="46"/>
      <c r="E317" s="46"/>
      <c r="F317" s="58"/>
      <c r="G317" s="46"/>
      <c r="H317" s="46"/>
      <c r="I317" s="59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 ht="16.5">
      <c r="A318" s="46"/>
      <c r="B318" s="46"/>
      <c r="C318" s="57"/>
      <c r="D318" s="46"/>
      <c r="E318" s="46"/>
      <c r="F318" s="58"/>
      <c r="G318" s="46"/>
      <c r="H318" s="46"/>
      <c r="I318" s="59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 ht="16.5">
      <c r="A319" s="46"/>
      <c r="B319" s="46"/>
      <c r="C319" s="57"/>
      <c r="D319" s="46"/>
      <c r="E319" s="46"/>
      <c r="F319" s="58"/>
      <c r="G319" s="46"/>
      <c r="H319" s="46"/>
      <c r="I319" s="59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 ht="16.5">
      <c r="A320" s="46"/>
      <c r="B320" s="46"/>
      <c r="C320" s="57"/>
      <c r="D320" s="46"/>
      <c r="E320" s="46"/>
      <c r="F320" s="58"/>
      <c r="G320" s="46"/>
      <c r="H320" s="46"/>
      <c r="I320" s="59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 ht="16.5">
      <c r="A321" s="46"/>
      <c r="B321" s="46"/>
      <c r="C321" s="57"/>
      <c r="D321" s="46"/>
      <c r="E321" s="46"/>
      <c r="F321" s="58"/>
      <c r="G321" s="46"/>
      <c r="H321" s="46"/>
      <c r="I321" s="59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 ht="16.5">
      <c r="A322" s="46"/>
      <c r="B322" s="46"/>
      <c r="C322" s="57"/>
      <c r="D322" s="46"/>
      <c r="E322" s="46"/>
      <c r="F322" s="58"/>
      <c r="G322" s="46"/>
      <c r="H322" s="46"/>
      <c r="I322" s="59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 ht="16.5">
      <c r="A323" s="46"/>
      <c r="B323" s="46"/>
      <c r="C323" s="57"/>
      <c r="D323" s="46"/>
      <c r="E323" s="46"/>
      <c r="F323" s="58"/>
      <c r="G323" s="46"/>
      <c r="H323" s="46"/>
      <c r="I323" s="59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 ht="16.5">
      <c r="A324" s="46"/>
      <c r="B324" s="46"/>
      <c r="C324" s="57"/>
      <c r="D324" s="46"/>
      <c r="E324" s="46"/>
      <c r="F324" s="58"/>
      <c r="G324" s="46"/>
      <c r="H324" s="46"/>
      <c r="I324" s="59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 ht="16.5">
      <c r="A325" s="46"/>
      <c r="B325" s="46"/>
      <c r="C325" s="57"/>
      <c r="D325" s="46"/>
      <c r="E325" s="46"/>
      <c r="F325" s="58"/>
      <c r="G325" s="46"/>
      <c r="H325" s="46"/>
      <c r="I325" s="59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 ht="16.5">
      <c r="A326" s="46"/>
      <c r="B326" s="46"/>
      <c r="C326" s="57"/>
      <c r="D326" s="46"/>
      <c r="E326" s="46"/>
      <c r="F326" s="58"/>
      <c r="G326" s="46"/>
      <c r="H326" s="46"/>
      <c r="I326" s="59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 ht="16.5">
      <c r="A327" s="46"/>
      <c r="B327" s="46"/>
      <c r="C327" s="57"/>
      <c r="D327" s="46"/>
      <c r="E327" s="46"/>
      <c r="F327" s="58"/>
      <c r="G327" s="46"/>
      <c r="H327" s="46"/>
      <c r="I327" s="59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 ht="16.5">
      <c r="A328" s="46"/>
      <c r="B328" s="46"/>
      <c r="C328" s="57"/>
      <c r="D328" s="46"/>
      <c r="E328" s="46"/>
      <c r="F328" s="58"/>
      <c r="G328" s="46"/>
      <c r="H328" s="46"/>
      <c r="I328" s="59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 ht="16.5">
      <c r="A329" s="46"/>
      <c r="B329" s="46"/>
      <c r="C329" s="57"/>
      <c r="D329" s="46"/>
      <c r="E329" s="46"/>
      <c r="F329" s="58"/>
      <c r="G329" s="46"/>
      <c r="H329" s="46"/>
      <c r="I329" s="59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 ht="16.5">
      <c r="A330" s="46"/>
      <c r="B330" s="46"/>
      <c r="C330" s="57"/>
      <c r="D330" s="46"/>
      <c r="E330" s="46"/>
      <c r="F330" s="58"/>
      <c r="G330" s="46"/>
      <c r="H330" s="46"/>
      <c r="I330" s="5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 ht="16.5">
      <c r="A331" s="46"/>
      <c r="B331" s="46"/>
      <c r="C331" s="57"/>
      <c r="D331" s="46"/>
      <c r="E331" s="46"/>
      <c r="F331" s="58"/>
      <c r="G331" s="46"/>
      <c r="H331" s="46"/>
      <c r="I331" s="59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 ht="16.5">
      <c r="A332" s="46"/>
      <c r="B332" s="46"/>
      <c r="C332" s="57"/>
      <c r="D332" s="46"/>
      <c r="E332" s="46"/>
      <c r="F332" s="58"/>
      <c r="G332" s="46"/>
      <c r="H332" s="46"/>
      <c r="I332" s="59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 ht="16.5">
      <c r="A333" s="46"/>
      <c r="B333" s="46"/>
      <c r="C333" s="57"/>
      <c r="D333" s="46"/>
      <c r="E333" s="46"/>
      <c r="F333" s="58"/>
      <c r="G333" s="46"/>
      <c r="H333" s="46"/>
      <c r="I333" s="59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 ht="16.5">
      <c r="A334" s="46"/>
      <c r="B334" s="46"/>
      <c r="C334" s="57"/>
      <c r="D334" s="46"/>
      <c r="E334" s="46"/>
      <c r="F334" s="58"/>
      <c r="G334" s="46"/>
      <c r="H334" s="46"/>
      <c r="I334" s="59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 ht="16.5">
      <c r="A335" s="46"/>
      <c r="B335" s="46"/>
      <c r="C335" s="57"/>
      <c r="D335" s="46"/>
      <c r="E335" s="46"/>
      <c r="F335" s="58"/>
      <c r="G335" s="46"/>
      <c r="H335" s="46"/>
      <c r="I335" s="59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 ht="16.5">
      <c r="A336" s="46"/>
      <c r="B336" s="46"/>
      <c r="C336" s="57"/>
      <c r="D336" s="46"/>
      <c r="E336" s="46"/>
      <c r="F336" s="58"/>
      <c r="G336" s="46"/>
      <c r="H336" s="46"/>
      <c r="I336" s="59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 ht="16.5">
      <c r="A337" s="46"/>
      <c r="B337" s="46"/>
      <c r="C337" s="57"/>
      <c r="D337" s="46"/>
      <c r="E337" s="46"/>
      <c r="F337" s="58"/>
      <c r="G337" s="46"/>
      <c r="H337" s="46"/>
      <c r="I337" s="59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 ht="16.5">
      <c r="A338" s="46"/>
      <c r="B338" s="46"/>
      <c r="C338" s="57"/>
      <c r="D338" s="46"/>
      <c r="E338" s="46"/>
      <c r="F338" s="58"/>
      <c r="G338" s="46"/>
      <c r="H338" s="46"/>
      <c r="I338" s="59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 ht="16.5">
      <c r="A339" s="46"/>
      <c r="B339" s="46"/>
      <c r="C339" s="57"/>
      <c r="D339" s="46"/>
      <c r="E339" s="46"/>
      <c r="F339" s="58"/>
      <c r="G339" s="46"/>
      <c r="H339" s="46"/>
      <c r="I339" s="59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 ht="16.5">
      <c r="A340" s="46"/>
      <c r="B340" s="46"/>
      <c r="C340" s="57"/>
      <c r="D340" s="46"/>
      <c r="E340" s="46"/>
      <c r="F340" s="58"/>
      <c r="G340" s="46"/>
      <c r="H340" s="46"/>
      <c r="I340" s="59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 ht="16.5">
      <c r="A341" s="46"/>
      <c r="B341" s="46"/>
      <c r="C341" s="57"/>
      <c r="D341" s="46"/>
      <c r="E341" s="46"/>
      <c r="F341" s="58"/>
      <c r="G341" s="46"/>
      <c r="H341" s="46"/>
      <c r="I341" s="59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 ht="16.5">
      <c r="A342" s="46"/>
      <c r="B342" s="46"/>
      <c r="C342" s="57"/>
      <c r="D342" s="46"/>
      <c r="E342" s="46"/>
      <c r="F342" s="58"/>
      <c r="G342" s="46"/>
      <c r="H342" s="46"/>
      <c r="I342" s="59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16.5">
      <c r="A343" s="46"/>
      <c r="B343" s="46"/>
      <c r="C343" s="57"/>
      <c r="D343" s="46"/>
      <c r="E343" s="46"/>
      <c r="F343" s="58"/>
      <c r="G343" s="46"/>
      <c r="H343" s="46"/>
      <c r="I343" s="59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 ht="16.5">
      <c r="A344" s="46"/>
      <c r="B344" s="46"/>
      <c r="C344" s="57"/>
      <c r="D344" s="46"/>
      <c r="E344" s="46"/>
      <c r="F344" s="58"/>
      <c r="G344" s="46"/>
      <c r="H344" s="46"/>
      <c r="I344" s="59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 ht="16.5">
      <c r="A345" s="46"/>
      <c r="B345" s="46"/>
      <c r="C345" s="57"/>
      <c r="D345" s="46"/>
      <c r="E345" s="46"/>
      <c r="F345" s="58"/>
      <c r="G345" s="46"/>
      <c r="H345" s="46"/>
      <c r="I345" s="59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 ht="16.5">
      <c r="A346" s="46"/>
      <c r="B346" s="46"/>
      <c r="C346" s="57"/>
      <c r="D346" s="46"/>
      <c r="E346" s="46"/>
      <c r="F346" s="58"/>
      <c r="G346" s="46"/>
      <c r="H346" s="46"/>
      <c r="I346" s="59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 ht="16.5">
      <c r="A347" s="46"/>
      <c r="B347" s="46"/>
      <c r="C347" s="57"/>
      <c r="D347" s="46"/>
      <c r="E347" s="46"/>
      <c r="F347" s="58"/>
      <c r="G347" s="46"/>
      <c r="H347" s="46"/>
      <c r="I347" s="59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 ht="16.5">
      <c r="A348" s="46"/>
      <c r="B348" s="46"/>
      <c r="C348" s="57"/>
      <c r="D348" s="46"/>
      <c r="E348" s="46"/>
      <c r="F348" s="58"/>
      <c r="G348" s="46"/>
      <c r="H348" s="46"/>
      <c r="I348" s="59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 ht="16.5">
      <c r="A349" s="46"/>
      <c r="B349" s="46"/>
      <c r="C349" s="57"/>
      <c r="D349" s="46"/>
      <c r="E349" s="46"/>
      <c r="F349" s="58"/>
      <c r="G349" s="46"/>
      <c r="H349" s="46"/>
      <c r="I349" s="59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 ht="16.5">
      <c r="A350" s="46"/>
      <c r="B350" s="46"/>
      <c r="C350" s="57"/>
      <c r="D350" s="46"/>
      <c r="E350" s="46"/>
      <c r="F350" s="58"/>
      <c r="G350" s="46"/>
      <c r="H350" s="46"/>
      <c r="I350" s="59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 ht="16.5">
      <c r="A351" s="46"/>
      <c r="B351" s="46"/>
      <c r="C351" s="57"/>
      <c r="D351" s="46"/>
      <c r="E351" s="46"/>
      <c r="F351" s="58"/>
      <c r="G351" s="46"/>
      <c r="H351" s="46"/>
      <c r="I351" s="59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 ht="16.5">
      <c r="A352" s="46"/>
      <c r="B352" s="46"/>
      <c r="C352" s="57"/>
      <c r="D352" s="46"/>
      <c r="E352" s="46"/>
      <c r="F352" s="58"/>
      <c r="G352" s="46"/>
      <c r="H352" s="46"/>
      <c r="I352" s="59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 ht="16.5">
      <c r="A353" s="46"/>
      <c r="B353" s="46"/>
      <c r="C353" s="57"/>
      <c r="D353" s="46"/>
      <c r="E353" s="46"/>
      <c r="F353" s="58"/>
      <c r="G353" s="46"/>
      <c r="H353" s="46"/>
      <c r="I353" s="59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 ht="16.5">
      <c r="A354" s="46"/>
      <c r="B354" s="46"/>
      <c r="C354" s="57"/>
      <c r="D354" s="46"/>
      <c r="E354" s="46"/>
      <c r="F354" s="58"/>
      <c r="G354" s="46"/>
      <c r="H354" s="46"/>
      <c r="I354" s="59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 ht="16.5">
      <c r="A355" s="46"/>
      <c r="B355" s="46"/>
      <c r="C355" s="57"/>
      <c r="D355" s="46"/>
      <c r="E355" s="46"/>
      <c r="F355" s="58"/>
      <c r="G355" s="46"/>
      <c r="H355" s="46"/>
      <c r="I355" s="59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16.5">
      <c r="A356" s="46"/>
      <c r="B356" s="46"/>
      <c r="C356" s="57"/>
      <c r="D356" s="46"/>
      <c r="E356" s="46"/>
      <c r="F356" s="58"/>
      <c r="G356" s="46"/>
      <c r="H356" s="46"/>
      <c r="I356" s="59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 ht="16.5">
      <c r="A357" s="46"/>
      <c r="B357" s="46"/>
      <c r="C357" s="57"/>
      <c r="D357" s="46"/>
      <c r="E357" s="46"/>
      <c r="F357" s="58"/>
      <c r="G357" s="46"/>
      <c r="H357" s="46"/>
      <c r="I357" s="59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 ht="16.5">
      <c r="A358" s="46"/>
      <c r="B358" s="46"/>
      <c r="C358" s="57"/>
      <c r="D358" s="46"/>
      <c r="E358" s="46"/>
      <c r="F358" s="58"/>
      <c r="G358" s="46"/>
      <c r="H358" s="46"/>
      <c r="I358" s="59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 ht="16.5">
      <c r="A359" s="46"/>
      <c r="B359" s="46"/>
      <c r="C359" s="57"/>
      <c r="D359" s="46"/>
      <c r="E359" s="46"/>
      <c r="F359" s="58"/>
      <c r="G359" s="46"/>
      <c r="H359" s="46"/>
      <c r="I359" s="59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 ht="16.5">
      <c r="A360" s="46"/>
      <c r="B360" s="46"/>
      <c r="C360" s="57"/>
      <c r="D360" s="46"/>
      <c r="E360" s="46"/>
      <c r="F360" s="58"/>
      <c r="G360" s="46"/>
      <c r="H360" s="46"/>
      <c r="I360" s="59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 ht="16.5">
      <c r="A361" s="46"/>
      <c r="B361" s="46"/>
      <c r="C361" s="57"/>
      <c r="D361" s="46"/>
      <c r="E361" s="46"/>
      <c r="F361" s="58"/>
      <c r="G361" s="46"/>
      <c r="H361" s="46"/>
      <c r="I361" s="59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 ht="16.5">
      <c r="A362" s="46"/>
      <c r="B362" s="46"/>
      <c r="C362" s="57"/>
      <c r="D362" s="46"/>
      <c r="E362" s="46"/>
      <c r="F362" s="58"/>
      <c r="G362" s="46"/>
      <c r="H362" s="46"/>
      <c r="I362" s="59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 ht="16.5">
      <c r="A363" s="46"/>
      <c r="B363" s="46"/>
      <c r="C363" s="57"/>
      <c r="D363" s="46"/>
      <c r="E363" s="46"/>
      <c r="F363" s="58"/>
      <c r="G363" s="46"/>
      <c r="H363" s="46"/>
      <c r="I363" s="59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 ht="16.5">
      <c r="A364" s="46"/>
      <c r="B364" s="46"/>
      <c r="C364" s="57"/>
      <c r="D364" s="46"/>
      <c r="E364" s="46"/>
      <c r="F364" s="58"/>
      <c r="G364" s="46"/>
      <c r="H364" s="46"/>
      <c r="I364" s="59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 ht="16.5">
      <c r="A365" s="46"/>
      <c r="B365" s="46"/>
      <c r="C365" s="57"/>
      <c r="D365" s="46"/>
      <c r="E365" s="46"/>
      <c r="F365" s="58"/>
      <c r="G365" s="46"/>
      <c r="H365" s="46"/>
      <c r="I365" s="59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16.5">
      <c r="A366" s="46"/>
      <c r="B366" s="46"/>
      <c r="C366" s="57"/>
      <c r="D366" s="46"/>
      <c r="E366" s="46"/>
      <c r="F366" s="58"/>
      <c r="G366" s="46"/>
      <c r="H366" s="46"/>
      <c r="I366" s="59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 ht="16.5">
      <c r="A367" s="46"/>
      <c r="B367" s="46"/>
      <c r="C367" s="57"/>
      <c r="D367" s="46"/>
      <c r="E367" s="46"/>
      <c r="F367" s="58"/>
      <c r="G367" s="46"/>
      <c r="H367" s="46"/>
      <c r="I367" s="59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 ht="16.5">
      <c r="A368" s="46"/>
      <c r="B368" s="46"/>
      <c r="C368" s="57"/>
      <c r="D368" s="46"/>
      <c r="E368" s="46"/>
      <c r="F368" s="58"/>
      <c r="G368" s="46"/>
      <c r="H368" s="46"/>
      <c r="I368" s="59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 ht="16.5">
      <c r="A369" s="46"/>
      <c r="B369" s="46"/>
      <c r="C369" s="57"/>
      <c r="D369" s="46"/>
      <c r="E369" s="46"/>
      <c r="F369" s="58"/>
      <c r="G369" s="46"/>
      <c r="H369" s="46"/>
      <c r="I369" s="59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 ht="16.5">
      <c r="A370" s="46"/>
      <c r="B370" s="46"/>
      <c r="C370" s="57"/>
      <c r="D370" s="46"/>
      <c r="E370" s="46"/>
      <c r="F370" s="58"/>
      <c r="G370" s="46"/>
      <c r="H370" s="46"/>
      <c r="I370" s="59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 ht="16.5">
      <c r="A371" s="46"/>
      <c r="B371" s="46"/>
      <c r="C371" s="57"/>
      <c r="D371" s="46"/>
      <c r="E371" s="46"/>
      <c r="F371" s="58"/>
      <c r="G371" s="46"/>
      <c r="H371" s="46"/>
      <c r="I371" s="59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 ht="16.5">
      <c r="A372" s="46"/>
      <c r="B372" s="46"/>
      <c r="C372" s="57"/>
      <c r="D372" s="46"/>
      <c r="E372" s="46"/>
      <c r="F372" s="58"/>
      <c r="G372" s="46"/>
      <c r="H372" s="46"/>
      <c r="I372" s="59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 ht="16.5">
      <c r="A373" s="46"/>
      <c r="B373" s="46"/>
      <c r="C373" s="57"/>
      <c r="D373" s="46"/>
      <c r="E373" s="46"/>
      <c r="F373" s="58"/>
      <c r="G373" s="46"/>
      <c r="H373" s="46"/>
      <c r="I373" s="59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 ht="16.5">
      <c r="A374" s="46"/>
      <c r="B374" s="46"/>
      <c r="C374" s="57"/>
      <c r="D374" s="46"/>
      <c r="E374" s="46"/>
      <c r="F374" s="58"/>
      <c r="G374" s="46"/>
      <c r="H374" s="46"/>
      <c r="I374" s="59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 ht="16.5">
      <c r="A375" s="46"/>
      <c r="B375" s="46"/>
      <c r="C375" s="57"/>
      <c r="D375" s="46"/>
      <c r="E375" s="46"/>
      <c r="F375" s="58"/>
      <c r="G375" s="46"/>
      <c r="H375" s="46"/>
      <c r="I375" s="59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16.5">
      <c r="A376" s="46"/>
      <c r="B376" s="46"/>
      <c r="C376" s="57"/>
      <c r="D376" s="46"/>
      <c r="E376" s="46"/>
      <c r="F376" s="58"/>
      <c r="G376" s="46"/>
      <c r="H376" s="46"/>
      <c r="I376" s="59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6.5">
      <c r="A377" s="46"/>
      <c r="B377" s="46"/>
      <c r="C377" s="57"/>
      <c r="D377" s="46"/>
      <c r="E377" s="46"/>
      <c r="F377" s="58"/>
      <c r="G377" s="46"/>
      <c r="H377" s="46"/>
      <c r="I377" s="59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6.5">
      <c r="A378" s="46"/>
      <c r="B378" s="46"/>
      <c r="C378" s="57"/>
      <c r="D378" s="46"/>
      <c r="E378" s="46"/>
      <c r="F378" s="58"/>
      <c r="G378" s="46"/>
      <c r="H378" s="46"/>
      <c r="I378" s="59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 ht="16.5">
      <c r="A379" s="46"/>
      <c r="B379" s="46"/>
      <c r="C379" s="57"/>
      <c r="D379" s="46"/>
      <c r="E379" s="46"/>
      <c r="F379" s="58"/>
      <c r="G379" s="46"/>
      <c r="H379" s="46"/>
      <c r="I379" s="59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 ht="16.5">
      <c r="A380" s="46"/>
      <c r="B380" s="46"/>
      <c r="C380" s="57"/>
      <c r="D380" s="46"/>
      <c r="E380" s="46"/>
      <c r="F380" s="58"/>
      <c r="G380" s="46"/>
      <c r="H380" s="46"/>
      <c r="I380" s="59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 ht="16.5">
      <c r="A381" s="46"/>
      <c r="B381" s="46"/>
      <c r="C381" s="57"/>
      <c r="D381" s="46"/>
      <c r="E381" s="46"/>
      <c r="F381" s="58"/>
      <c r="G381" s="46"/>
      <c r="H381" s="46"/>
      <c r="I381" s="59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 ht="16.5">
      <c r="A382" s="46"/>
      <c r="B382" s="46"/>
      <c r="C382" s="57"/>
      <c r="D382" s="46"/>
      <c r="E382" s="46"/>
      <c r="F382" s="58"/>
      <c r="G382" s="46"/>
      <c r="H382" s="46"/>
      <c r="I382" s="59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 ht="16.5">
      <c r="A383" s="46"/>
      <c r="B383" s="46"/>
      <c r="C383" s="57"/>
      <c r="D383" s="46"/>
      <c r="E383" s="46"/>
      <c r="F383" s="58"/>
      <c r="G383" s="46"/>
      <c r="H383" s="46"/>
      <c r="I383" s="59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 ht="16.5">
      <c r="A384" s="46"/>
      <c r="B384" s="46"/>
      <c r="C384" s="57"/>
      <c r="D384" s="46"/>
      <c r="E384" s="46"/>
      <c r="F384" s="58"/>
      <c r="G384" s="46"/>
      <c r="H384" s="46"/>
      <c r="I384" s="59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 ht="16.5">
      <c r="A385" s="46"/>
      <c r="B385" s="46"/>
      <c r="C385" s="57"/>
      <c r="D385" s="46"/>
      <c r="E385" s="46"/>
      <c r="F385" s="58"/>
      <c r="G385" s="46"/>
      <c r="H385" s="46"/>
      <c r="I385" s="59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 ht="16.5">
      <c r="A386" s="46"/>
      <c r="B386" s="46"/>
      <c r="C386" s="57"/>
      <c r="D386" s="46"/>
      <c r="E386" s="46"/>
      <c r="F386" s="58"/>
      <c r="G386" s="46"/>
      <c r="H386" s="46"/>
      <c r="I386" s="59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 ht="16.5">
      <c r="A387" s="46"/>
      <c r="B387" s="46"/>
      <c r="C387" s="57"/>
      <c r="D387" s="46"/>
      <c r="E387" s="46"/>
      <c r="F387" s="58"/>
      <c r="G387" s="46"/>
      <c r="H387" s="46"/>
      <c r="I387" s="59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 ht="16.5">
      <c r="A388" s="46"/>
      <c r="B388" s="46"/>
      <c r="C388" s="57"/>
      <c r="D388" s="46"/>
      <c r="E388" s="46"/>
      <c r="F388" s="58"/>
      <c r="G388" s="46"/>
      <c r="H388" s="46"/>
      <c r="I388" s="59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 ht="16.5">
      <c r="A389" s="46"/>
      <c r="B389" s="46"/>
      <c r="C389" s="57"/>
      <c r="D389" s="46"/>
      <c r="E389" s="46"/>
      <c r="F389" s="58"/>
      <c r="G389" s="46"/>
      <c r="H389" s="46"/>
      <c r="I389" s="59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 ht="16.5">
      <c r="A390" s="46"/>
      <c r="B390" s="46"/>
      <c r="C390" s="57"/>
      <c r="D390" s="46"/>
      <c r="E390" s="46"/>
      <c r="F390" s="58"/>
      <c r="G390" s="46"/>
      <c r="H390" s="46"/>
      <c r="I390" s="59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 ht="16.5">
      <c r="A391" s="46"/>
      <c r="B391" s="46"/>
      <c r="C391" s="57"/>
      <c r="D391" s="46"/>
      <c r="E391" s="46"/>
      <c r="F391" s="58"/>
      <c r="G391" s="46"/>
      <c r="H391" s="46"/>
      <c r="I391" s="59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 ht="16.5">
      <c r="A392" s="46"/>
      <c r="B392" s="46"/>
      <c r="C392" s="57"/>
      <c r="D392" s="46"/>
      <c r="E392" s="46"/>
      <c r="F392" s="58"/>
      <c r="G392" s="46"/>
      <c r="H392" s="46"/>
      <c r="I392" s="59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 ht="16.5">
      <c r="A393" s="46"/>
      <c r="B393" s="46"/>
      <c r="C393" s="57"/>
      <c r="D393" s="46"/>
      <c r="E393" s="46"/>
      <c r="F393" s="58"/>
      <c r="G393" s="46"/>
      <c r="H393" s="46"/>
      <c r="I393" s="59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6.5">
      <c r="A394" s="46"/>
      <c r="B394" s="46"/>
      <c r="C394" s="57"/>
      <c r="D394" s="46"/>
      <c r="E394" s="46"/>
      <c r="F394" s="58"/>
      <c r="G394" s="46"/>
      <c r="H394" s="46"/>
      <c r="I394" s="59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 spans="1:25" ht="16.5">
      <c r="A395" s="46"/>
      <c r="B395" s="46"/>
      <c r="C395" s="57"/>
      <c r="D395" s="46"/>
      <c r="E395" s="46"/>
      <c r="F395" s="58"/>
      <c r="G395" s="46"/>
      <c r="H395" s="46"/>
      <c r="I395" s="59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 spans="1:25" ht="16.5">
      <c r="A396" s="46"/>
      <c r="B396" s="46"/>
      <c r="C396" s="57"/>
      <c r="D396" s="46"/>
      <c r="E396" s="46"/>
      <c r="F396" s="58"/>
      <c r="G396" s="46"/>
      <c r="H396" s="46"/>
      <c r="I396" s="59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 spans="1:25" ht="16.5">
      <c r="A397" s="46"/>
      <c r="B397" s="46"/>
      <c r="C397" s="57"/>
      <c r="D397" s="46"/>
      <c r="E397" s="46"/>
      <c r="F397" s="58"/>
      <c r="G397" s="46"/>
      <c r="H397" s="46"/>
      <c r="I397" s="59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 spans="1:25" ht="16.5">
      <c r="A398" s="46"/>
      <c r="B398" s="46"/>
      <c r="C398" s="57"/>
      <c r="D398" s="46"/>
      <c r="E398" s="46"/>
      <c r="F398" s="58"/>
      <c r="G398" s="46"/>
      <c r="H398" s="46"/>
      <c r="I398" s="59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 spans="1:25" ht="16.5">
      <c r="A399" s="46"/>
      <c r="B399" s="46"/>
      <c r="C399" s="57"/>
      <c r="D399" s="46"/>
      <c r="E399" s="46"/>
      <c r="F399" s="58"/>
      <c r="G399" s="46"/>
      <c r="H399" s="46"/>
      <c r="I399" s="59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 spans="1:25" ht="16.5">
      <c r="A400" s="46"/>
      <c r="B400" s="46"/>
      <c r="C400" s="57"/>
      <c r="D400" s="46"/>
      <c r="E400" s="46"/>
      <c r="F400" s="58"/>
      <c r="G400" s="46"/>
      <c r="H400" s="46"/>
      <c r="I400" s="59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 spans="1:25" ht="16.5">
      <c r="A401" s="46"/>
      <c r="B401" s="46"/>
      <c r="C401" s="57"/>
      <c r="D401" s="46"/>
      <c r="E401" s="46"/>
      <c r="F401" s="58"/>
      <c r="G401" s="46"/>
      <c r="H401" s="46"/>
      <c r="I401" s="59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 spans="1:25" ht="16.5">
      <c r="A402" s="46"/>
      <c r="B402" s="46"/>
      <c r="C402" s="57"/>
      <c r="D402" s="46"/>
      <c r="E402" s="46"/>
      <c r="F402" s="58"/>
      <c r="G402" s="46"/>
      <c r="H402" s="46"/>
      <c r="I402" s="59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 spans="1:25" ht="16.5">
      <c r="A403" s="46"/>
      <c r="B403" s="46"/>
      <c r="C403" s="57"/>
      <c r="D403" s="46"/>
      <c r="E403" s="46"/>
      <c r="F403" s="58"/>
      <c r="G403" s="46"/>
      <c r="H403" s="46"/>
      <c r="I403" s="59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 spans="1:25" ht="16.5">
      <c r="A404" s="46"/>
      <c r="B404" s="46"/>
      <c r="C404" s="57"/>
      <c r="D404" s="46"/>
      <c r="E404" s="46"/>
      <c r="F404" s="58"/>
      <c r="G404" s="46"/>
      <c r="H404" s="46"/>
      <c r="I404" s="59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 spans="1:25" ht="16.5">
      <c r="A405" s="46"/>
      <c r="B405" s="46"/>
      <c r="C405" s="57"/>
      <c r="D405" s="46"/>
      <c r="E405" s="46"/>
      <c r="F405" s="58"/>
      <c r="G405" s="46"/>
      <c r="H405" s="46"/>
      <c r="I405" s="59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 spans="1:25" ht="16.5">
      <c r="A406" s="46"/>
      <c r="B406" s="46"/>
      <c r="C406" s="57"/>
      <c r="D406" s="46"/>
      <c r="E406" s="46"/>
      <c r="F406" s="58"/>
      <c r="G406" s="46"/>
      <c r="H406" s="46"/>
      <c r="I406" s="59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 spans="1:25" ht="16.5">
      <c r="A407" s="46"/>
      <c r="B407" s="46"/>
      <c r="C407" s="57"/>
      <c r="D407" s="46"/>
      <c r="E407" s="46"/>
      <c r="F407" s="58"/>
      <c r="G407" s="46"/>
      <c r="H407" s="46"/>
      <c r="I407" s="59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 spans="1:25" ht="16.5">
      <c r="A408" s="46"/>
      <c r="B408" s="46"/>
      <c r="C408" s="57"/>
      <c r="D408" s="46"/>
      <c r="E408" s="46"/>
      <c r="F408" s="58"/>
      <c r="G408" s="46"/>
      <c r="H408" s="46"/>
      <c r="I408" s="59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 spans="1:25" ht="16.5">
      <c r="A409" s="46"/>
      <c r="B409" s="46"/>
      <c r="C409" s="57"/>
      <c r="D409" s="46"/>
      <c r="E409" s="46"/>
      <c r="F409" s="58"/>
      <c r="G409" s="46"/>
      <c r="H409" s="46"/>
      <c r="I409" s="59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 spans="1:25" ht="16.5">
      <c r="A410" s="46"/>
      <c r="B410" s="46"/>
      <c r="C410" s="57"/>
      <c r="D410" s="46"/>
      <c r="E410" s="46"/>
      <c r="F410" s="58"/>
      <c r="G410" s="46"/>
      <c r="H410" s="46"/>
      <c r="I410" s="59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 spans="1:25" ht="16.5">
      <c r="A411" s="46"/>
      <c r="B411" s="46"/>
      <c r="C411" s="57"/>
      <c r="D411" s="46"/>
      <c r="E411" s="46"/>
      <c r="F411" s="58"/>
      <c r="G411" s="46"/>
      <c r="H411" s="46"/>
      <c r="I411" s="59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 spans="1:25" ht="16.5">
      <c r="A412" s="46"/>
      <c r="B412" s="46"/>
      <c r="C412" s="57"/>
      <c r="D412" s="46"/>
      <c r="E412" s="46"/>
      <c r="F412" s="58"/>
      <c r="G412" s="46"/>
      <c r="H412" s="46"/>
      <c r="I412" s="59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 spans="1:25" ht="16.5">
      <c r="A413" s="46"/>
      <c r="B413" s="46"/>
      <c r="C413" s="57"/>
      <c r="D413" s="46"/>
      <c r="E413" s="46"/>
      <c r="F413" s="58"/>
      <c r="G413" s="46"/>
      <c r="H413" s="46"/>
      <c r="I413" s="59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 spans="1:25" ht="16.5">
      <c r="A414" s="46"/>
      <c r="B414" s="46"/>
      <c r="C414" s="57"/>
      <c r="D414" s="46"/>
      <c r="E414" s="46"/>
      <c r="F414" s="58"/>
      <c r="G414" s="46"/>
      <c r="H414" s="46"/>
      <c r="I414" s="59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 spans="1:25" ht="16.5">
      <c r="A415" s="46"/>
      <c r="B415" s="46"/>
      <c r="C415" s="57"/>
      <c r="D415" s="46"/>
      <c r="E415" s="46"/>
      <c r="F415" s="58"/>
      <c r="G415" s="46"/>
      <c r="H415" s="46"/>
      <c r="I415" s="59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 spans="1:25" ht="16.5">
      <c r="A416" s="46"/>
      <c r="B416" s="46"/>
      <c r="C416" s="57"/>
      <c r="D416" s="46"/>
      <c r="E416" s="46"/>
      <c r="F416" s="58"/>
      <c r="G416" s="46"/>
      <c r="H416" s="46"/>
      <c r="I416" s="59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 spans="1:25" ht="16.5">
      <c r="A417" s="46"/>
      <c r="B417" s="46"/>
      <c r="C417" s="57"/>
      <c r="D417" s="46"/>
      <c r="E417" s="46"/>
      <c r="F417" s="58"/>
      <c r="G417" s="46"/>
      <c r="H417" s="46"/>
      <c r="I417" s="59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 spans="1:25" ht="16.5">
      <c r="A418" s="46"/>
      <c r="B418" s="46"/>
      <c r="C418" s="57"/>
      <c r="D418" s="46"/>
      <c r="E418" s="46"/>
      <c r="F418" s="58"/>
      <c r="G418" s="46"/>
      <c r="H418" s="46"/>
      <c r="I418" s="59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 spans="1:25" ht="16.5">
      <c r="A419" s="46"/>
      <c r="B419" s="46"/>
      <c r="C419" s="57"/>
      <c r="D419" s="46"/>
      <c r="E419" s="46"/>
      <c r="F419" s="58"/>
      <c r="G419" s="46"/>
      <c r="H419" s="46"/>
      <c r="I419" s="59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 spans="1:25" ht="16.5">
      <c r="A420" s="46"/>
      <c r="B420" s="46"/>
      <c r="C420" s="57"/>
      <c r="D420" s="46"/>
      <c r="E420" s="46"/>
      <c r="F420" s="58"/>
      <c r="G420" s="46"/>
      <c r="H420" s="46"/>
      <c r="I420" s="59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 spans="1:25" ht="16.5">
      <c r="A421" s="46"/>
      <c r="B421" s="46"/>
      <c r="C421" s="57"/>
      <c r="D421" s="46"/>
      <c r="E421" s="46"/>
      <c r="F421" s="58"/>
      <c r="G421" s="46"/>
      <c r="H421" s="46"/>
      <c r="I421" s="59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 spans="1:25" ht="16.5">
      <c r="A422" s="46"/>
      <c r="B422" s="46"/>
      <c r="C422" s="57"/>
      <c r="D422" s="46"/>
      <c r="E422" s="46"/>
      <c r="F422" s="58"/>
      <c r="G422" s="46"/>
      <c r="H422" s="46"/>
      <c r="I422" s="59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 spans="1:25" ht="16.5">
      <c r="A423" s="46"/>
      <c r="B423" s="46"/>
      <c r="C423" s="57"/>
      <c r="D423" s="46"/>
      <c r="E423" s="46"/>
      <c r="F423" s="58"/>
      <c r="G423" s="46"/>
      <c r="H423" s="46"/>
      <c r="I423" s="59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 spans="1:25" ht="16.5">
      <c r="A424" s="46"/>
      <c r="B424" s="46"/>
      <c r="C424" s="57"/>
      <c r="D424" s="46"/>
      <c r="E424" s="46"/>
      <c r="F424" s="58"/>
      <c r="G424" s="46"/>
      <c r="H424" s="46"/>
      <c r="I424" s="59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 spans="1:25" ht="16.5">
      <c r="A425" s="46"/>
      <c r="B425" s="46"/>
      <c r="C425" s="57"/>
      <c r="D425" s="46"/>
      <c r="E425" s="46"/>
      <c r="F425" s="58"/>
      <c r="G425" s="46"/>
      <c r="H425" s="46"/>
      <c r="I425" s="59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 spans="1:25" ht="16.5">
      <c r="A426" s="46"/>
      <c r="B426" s="46"/>
      <c r="C426" s="57"/>
      <c r="D426" s="46"/>
      <c r="E426" s="46"/>
      <c r="F426" s="58"/>
      <c r="G426" s="46"/>
      <c r="H426" s="46"/>
      <c r="I426" s="59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 spans="1:25" ht="16.5">
      <c r="A427" s="46"/>
      <c r="B427" s="46"/>
      <c r="C427" s="57"/>
      <c r="D427" s="46"/>
      <c r="E427" s="46"/>
      <c r="F427" s="58"/>
      <c r="G427" s="46"/>
      <c r="H427" s="46"/>
      <c r="I427" s="59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 spans="1:25" ht="16.5">
      <c r="A428" s="46"/>
      <c r="B428" s="46"/>
      <c r="C428" s="57"/>
      <c r="D428" s="46"/>
      <c r="E428" s="46"/>
      <c r="F428" s="58"/>
      <c r="G428" s="46"/>
      <c r="H428" s="46"/>
      <c r="I428" s="59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 spans="1:25" ht="16.5">
      <c r="A429" s="46"/>
      <c r="B429" s="46"/>
      <c r="C429" s="57"/>
      <c r="D429" s="46"/>
      <c r="E429" s="46"/>
      <c r="F429" s="58"/>
      <c r="G429" s="46"/>
      <c r="H429" s="46"/>
      <c r="I429" s="59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 spans="1:25" ht="16.5">
      <c r="A430" s="46"/>
      <c r="B430" s="46"/>
      <c r="C430" s="57"/>
      <c r="D430" s="46"/>
      <c r="E430" s="46"/>
      <c r="F430" s="58"/>
      <c r="G430" s="46"/>
      <c r="H430" s="46"/>
      <c r="I430" s="59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 spans="1:25" ht="16.5">
      <c r="A431" s="46"/>
      <c r="B431" s="46"/>
      <c r="C431" s="57"/>
      <c r="D431" s="46"/>
      <c r="E431" s="46"/>
      <c r="F431" s="58"/>
      <c r="G431" s="46"/>
      <c r="H431" s="46"/>
      <c r="I431" s="59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 spans="1:25" ht="16.5">
      <c r="A432" s="46"/>
      <c r="B432" s="46"/>
      <c r="C432" s="57"/>
      <c r="D432" s="46"/>
      <c r="E432" s="46"/>
      <c r="F432" s="58"/>
      <c r="G432" s="46"/>
      <c r="H432" s="46"/>
      <c r="I432" s="59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 spans="1:25" ht="16.5">
      <c r="A433" s="46"/>
      <c r="B433" s="46"/>
      <c r="C433" s="57"/>
      <c r="D433" s="46"/>
      <c r="E433" s="46"/>
      <c r="F433" s="58"/>
      <c r="G433" s="46"/>
      <c r="H433" s="46"/>
      <c r="I433" s="59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 spans="1:25" ht="16.5">
      <c r="A434" s="46"/>
      <c r="B434" s="46"/>
      <c r="C434" s="57"/>
      <c r="D434" s="46"/>
      <c r="E434" s="46"/>
      <c r="F434" s="58"/>
      <c r="G434" s="46"/>
      <c r="H434" s="46"/>
      <c r="I434" s="59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 spans="1:25" ht="16.5">
      <c r="A435" s="46"/>
      <c r="B435" s="46"/>
      <c r="C435" s="57"/>
      <c r="D435" s="46"/>
      <c r="E435" s="46"/>
      <c r="F435" s="58"/>
      <c r="G435" s="46"/>
      <c r="H435" s="46"/>
      <c r="I435" s="59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 spans="1:25" ht="16.5">
      <c r="A436" s="46"/>
      <c r="B436" s="46"/>
      <c r="C436" s="57"/>
      <c r="D436" s="46"/>
      <c r="E436" s="46"/>
      <c r="F436" s="58"/>
      <c r="G436" s="46"/>
      <c r="H436" s="46"/>
      <c r="I436" s="59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 spans="1:25" ht="16.5">
      <c r="A437" s="46"/>
      <c r="B437" s="46"/>
      <c r="C437" s="57"/>
      <c r="D437" s="46"/>
      <c r="E437" s="46"/>
      <c r="F437" s="58"/>
      <c r="G437" s="46"/>
      <c r="H437" s="46"/>
      <c r="I437" s="59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 spans="1:25" ht="16.5">
      <c r="A438" s="46"/>
      <c r="B438" s="46"/>
      <c r="C438" s="57"/>
      <c r="D438" s="46"/>
      <c r="E438" s="46"/>
      <c r="F438" s="58"/>
      <c r="G438" s="46"/>
      <c r="H438" s="46"/>
      <c r="I438" s="59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 spans="1:25" ht="16.5">
      <c r="A439" s="46"/>
      <c r="B439" s="46"/>
      <c r="C439" s="57"/>
      <c r="D439" s="46"/>
      <c r="E439" s="46"/>
      <c r="F439" s="58"/>
      <c r="G439" s="46"/>
      <c r="H439" s="46"/>
      <c r="I439" s="59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 spans="1:25" ht="16.5">
      <c r="A440" s="46"/>
      <c r="B440" s="46"/>
      <c r="C440" s="57"/>
      <c r="D440" s="46"/>
      <c r="E440" s="46"/>
      <c r="F440" s="58"/>
      <c r="G440" s="46"/>
      <c r="H440" s="46"/>
      <c r="I440" s="59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 spans="1:25" ht="16.5">
      <c r="A441" s="46"/>
      <c r="B441" s="46"/>
      <c r="C441" s="57"/>
      <c r="D441" s="46"/>
      <c r="E441" s="46"/>
      <c r="F441" s="58"/>
      <c r="G441" s="46"/>
      <c r="H441" s="46"/>
      <c r="I441" s="59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 spans="1:25" ht="16.5">
      <c r="A442" s="46"/>
      <c r="B442" s="46"/>
      <c r="C442" s="57"/>
      <c r="D442" s="46"/>
      <c r="E442" s="46"/>
      <c r="F442" s="58"/>
      <c r="G442" s="46"/>
      <c r="H442" s="46"/>
      <c r="I442" s="59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 spans="1:25" ht="16.5">
      <c r="A443" s="46"/>
      <c r="B443" s="46"/>
      <c r="C443" s="57"/>
      <c r="D443" s="46"/>
      <c r="E443" s="46"/>
      <c r="F443" s="58"/>
      <c r="G443" s="46"/>
      <c r="H443" s="46"/>
      <c r="I443" s="59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 spans="1:25" ht="16.5">
      <c r="A444" s="46"/>
      <c r="B444" s="46"/>
      <c r="C444" s="57"/>
      <c r="D444" s="46"/>
      <c r="E444" s="46"/>
      <c r="F444" s="58"/>
      <c r="G444" s="46"/>
      <c r="H444" s="46"/>
      <c r="I444" s="59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 spans="1:25" ht="16.5">
      <c r="A445" s="46"/>
      <c r="B445" s="46"/>
      <c r="C445" s="57"/>
      <c r="D445" s="46"/>
      <c r="E445" s="46"/>
      <c r="F445" s="58"/>
      <c r="G445" s="46"/>
      <c r="H445" s="46"/>
      <c r="I445" s="59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 spans="1:25" ht="16.5">
      <c r="A446" s="46"/>
      <c r="B446" s="46"/>
      <c r="C446" s="57"/>
      <c r="D446" s="46"/>
      <c r="E446" s="46"/>
      <c r="F446" s="58"/>
      <c r="G446" s="46"/>
      <c r="H446" s="46"/>
      <c r="I446" s="59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 spans="1:25" ht="16.5">
      <c r="A447" s="46"/>
      <c r="B447" s="46"/>
      <c r="C447" s="57"/>
      <c r="D447" s="46"/>
      <c r="E447" s="46"/>
      <c r="F447" s="58"/>
      <c r="G447" s="46"/>
      <c r="H447" s="46"/>
      <c r="I447" s="59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 spans="1:25" ht="16.5">
      <c r="A448" s="46"/>
      <c r="B448" s="46"/>
      <c r="C448" s="57"/>
      <c r="D448" s="46"/>
      <c r="E448" s="46"/>
      <c r="F448" s="58"/>
      <c r="G448" s="46"/>
      <c r="H448" s="46"/>
      <c r="I448" s="59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 spans="1:25" ht="16.5">
      <c r="A449" s="46"/>
      <c r="B449" s="46"/>
      <c r="C449" s="57"/>
      <c r="D449" s="46"/>
      <c r="E449" s="46"/>
      <c r="F449" s="58"/>
      <c r="G449" s="46"/>
      <c r="H449" s="46"/>
      <c r="I449" s="59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 spans="1:25" ht="16.5">
      <c r="A450" s="46"/>
      <c r="B450" s="46"/>
      <c r="C450" s="57"/>
      <c r="D450" s="46"/>
      <c r="E450" s="46"/>
      <c r="F450" s="58"/>
      <c r="G450" s="46"/>
      <c r="H450" s="46"/>
      <c r="I450" s="59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 spans="1:25" ht="16.5">
      <c r="A451" s="46"/>
      <c r="B451" s="46"/>
      <c r="C451" s="57"/>
      <c r="D451" s="46"/>
      <c r="E451" s="46"/>
      <c r="F451" s="58"/>
      <c r="G451" s="46"/>
      <c r="H451" s="46"/>
      <c r="I451" s="59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 spans="1:25" ht="16.5">
      <c r="A452" s="46"/>
      <c r="B452" s="46"/>
      <c r="C452" s="57"/>
      <c r="D452" s="46"/>
      <c r="E452" s="46"/>
      <c r="F452" s="58"/>
      <c r="G452" s="46"/>
      <c r="H452" s="46"/>
      <c r="I452" s="59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 spans="1:25" ht="16.5">
      <c r="A453" s="46"/>
      <c r="B453" s="46"/>
      <c r="C453" s="57"/>
      <c r="D453" s="46"/>
      <c r="E453" s="46"/>
      <c r="F453" s="58"/>
      <c r="G453" s="46"/>
      <c r="H453" s="46"/>
      <c r="I453" s="59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 spans="1:25" ht="16.5">
      <c r="A454" s="46"/>
      <c r="B454" s="46"/>
      <c r="C454" s="57"/>
      <c r="D454" s="46"/>
      <c r="E454" s="46"/>
      <c r="F454" s="58"/>
      <c r="G454" s="46"/>
      <c r="H454" s="46"/>
      <c r="I454" s="59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 spans="1:25" ht="16.5">
      <c r="A455" s="46"/>
      <c r="B455" s="46"/>
      <c r="C455" s="57"/>
      <c r="D455" s="46"/>
      <c r="E455" s="46"/>
      <c r="F455" s="58"/>
      <c r="G455" s="46"/>
      <c r="H455" s="46"/>
      <c r="I455" s="59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 spans="1:25" ht="16.5">
      <c r="A456" s="46"/>
      <c r="B456" s="46"/>
      <c r="C456" s="57"/>
      <c r="D456" s="46"/>
      <c r="E456" s="46"/>
      <c r="F456" s="58"/>
      <c r="G456" s="46"/>
      <c r="H456" s="46"/>
      <c r="I456" s="59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 spans="1:25" ht="16.5">
      <c r="A457" s="46"/>
      <c r="B457" s="46"/>
      <c r="C457" s="57"/>
      <c r="D457" s="46"/>
      <c r="E457" s="46"/>
      <c r="F457" s="58"/>
      <c r="G457" s="46"/>
      <c r="H457" s="46"/>
      <c r="I457" s="59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 spans="1:25" ht="16.5">
      <c r="A458" s="46"/>
      <c r="B458" s="46"/>
      <c r="C458" s="57"/>
      <c r="D458" s="46"/>
      <c r="E458" s="46"/>
      <c r="F458" s="58"/>
      <c r="G458" s="46"/>
      <c r="H458" s="46"/>
      <c r="I458" s="59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 spans="1:25" ht="16.5">
      <c r="A459" s="46"/>
      <c r="B459" s="46"/>
      <c r="C459" s="57"/>
      <c r="D459" s="46"/>
      <c r="E459" s="46"/>
      <c r="F459" s="58"/>
      <c r="G459" s="46"/>
      <c r="H459" s="46"/>
      <c r="I459" s="59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 spans="1:25" ht="16.5">
      <c r="A460" s="46"/>
      <c r="B460" s="46"/>
      <c r="C460" s="57"/>
      <c r="D460" s="46"/>
      <c r="E460" s="46"/>
      <c r="F460" s="58"/>
      <c r="G460" s="46"/>
      <c r="H460" s="46"/>
      <c r="I460" s="59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 spans="1:25" ht="16.5">
      <c r="A461" s="46"/>
      <c r="B461" s="46"/>
      <c r="C461" s="57"/>
      <c r="D461" s="46"/>
      <c r="E461" s="46"/>
      <c r="F461" s="58"/>
      <c r="G461" s="46"/>
      <c r="H461" s="46"/>
      <c r="I461" s="59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 spans="1:25" ht="16.5">
      <c r="A462" s="46"/>
      <c r="B462" s="46"/>
      <c r="C462" s="57"/>
      <c r="D462" s="46"/>
      <c r="E462" s="46"/>
      <c r="F462" s="58"/>
      <c r="G462" s="46"/>
      <c r="H462" s="46"/>
      <c r="I462" s="59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 spans="1:25" ht="16.5">
      <c r="A463" s="46"/>
      <c r="B463" s="46"/>
      <c r="C463" s="57"/>
      <c r="D463" s="46"/>
      <c r="E463" s="46"/>
      <c r="F463" s="58"/>
      <c r="G463" s="46"/>
      <c r="H463" s="46"/>
      <c r="I463" s="59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 spans="1:25" ht="16.5">
      <c r="A464" s="46"/>
      <c r="B464" s="46"/>
      <c r="C464" s="57"/>
      <c r="D464" s="46"/>
      <c r="E464" s="46"/>
      <c r="F464" s="58"/>
      <c r="G464" s="46"/>
      <c r="H464" s="46"/>
      <c r="I464" s="59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 spans="1:25" ht="16.5">
      <c r="A465" s="46"/>
      <c r="B465" s="46"/>
      <c r="C465" s="57"/>
      <c r="D465" s="46"/>
      <c r="E465" s="46"/>
      <c r="F465" s="58"/>
      <c r="G465" s="46"/>
      <c r="H465" s="46"/>
      <c r="I465" s="59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 spans="1:25" ht="16.5">
      <c r="A466" s="46"/>
      <c r="B466" s="46"/>
      <c r="C466" s="57"/>
      <c r="D466" s="46"/>
      <c r="E466" s="46"/>
      <c r="F466" s="58"/>
      <c r="G466" s="46"/>
      <c r="H466" s="46"/>
      <c r="I466" s="59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 spans="1:25" ht="16.5">
      <c r="A467" s="46"/>
      <c r="B467" s="46"/>
      <c r="C467" s="57"/>
      <c r="D467" s="46"/>
      <c r="E467" s="46"/>
      <c r="F467" s="58"/>
      <c r="G467" s="46"/>
      <c r="H467" s="46"/>
      <c r="I467" s="59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 spans="1:25" ht="16.5">
      <c r="A468" s="46"/>
      <c r="B468" s="46"/>
      <c r="C468" s="57"/>
      <c r="D468" s="46"/>
      <c r="E468" s="46"/>
      <c r="F468" s="58"/>
      <c r="G468" s="46"/>
      <c r="H468" s="46"/>
      <c r="I468" s="59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 spans="1:25" ht="16.5">
      <c r="A469" s="46"/>
      <c r="B469" s="46"/>
      <c r="C469" s="57"/>
      <c r="D469" s="46"/>
      <c r="E469" s="46"/>
      <c r="F469" s="58"/>
      <c r="G469" s="46"/>
      <c r="H469" s="46"/>
      <c r="I469" s="59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 spans="1:25" ht="16.5">
      <c r="A470" s="46"/>
      <c r="B470" s="46"/>
      <c r="C470" s="57"/>
      <c r="D470" s="46"/>
      <c r="E470" s="46"/>
      <c r="F470" s="58"/>
      <c r="G470" s="46"/>
      <c r="H470" s="46"/>
      <c r="I470" s="59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 spans="1:25" ht="16.5">
      <c r="A471" s="46"/>
      <c r="B471" s="46"/>
      <c r="C471" s="57"/>
      <c r="D471" s="46"/>
      <c r="E471" s="46"/>
      <c r="F471" s="58"/>
      <c r="G471" s="46"/>
      <c r="H471" s="46"/>
      <c r="I471" s="59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 spans="1:25" ht="16.5">
      <c r="A472" s="46"/>
      <c r="B472" s="46"/>
      <c r="C472" s="57"/>
      <c r="D472" s="46"/>
      <c r="E472" s="46"/>
      <c r="F472" s="58"/>
      <c r="G472" s="46"/>
      <c r="H472" s="46"/>
      <c r="I472" s="59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 spans="1:25" ht="16.5">
      <c r="A473" s="46"/>
      <c r="B473" s="46"/>
      <c r="C473" s="57"/>
      <c r="D473" s="46"/>
      <c r="E473" s="46"/>
      <c r="F473" s="58"/>
      <c r="G473" s="46"/>
      <c r="H473" s="46"/>
      <c r="I473" s="59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 spans="1:25" ht="16.5">
      <c r="A474" s="46"/>
      <c r="B474" s="46"/>
      <c r="C474" s="57"/>
      <c r="D474" s="46"/>
      <c r="E474" s="46"/>
      <c r="F474" s="58"/>
      <c r="G474" s="46"/>
      <c r="H474" s="46"/>
      <c r="I474" s="59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 spans="1:25" ht="16.5">
      <c r="A475" s="46"/>
      <c r="B475" s="46"/>
      <c r="C475" s="57"/>
      <c r="D475" s="46"/>
      <c r="E475" s="46"/>
      <c r="F475" s="58"/>
      <c r="G475" s="46"/>
      <c r="H475" s="46"/>
      <c r="I475" s="59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 spans="1:25" ht="16.5">
      <c r="A476" s="46"/>
      <c r="B476" s="46"/>
      <c r="C476" s="57"/>
      <c r="D476" s="46"/>
      <c r="E476" s="46"/>
      <c r="F476" s="58"/>
      <c r="G476" s="46"/>
      <c r="H476" s="46"/>
      <c r="I476" s="59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 spans="1:25" ht="16.5">
      <c r="A477" s="46"/>
      <c r="B477" s="46"/>
      <c r="C477" s="57"/>
      <c r="D477" s="46"/>
      <c r="E477" s="46"/>
      <c r="F477" s="58"/>
      <c r="G477" s="46"/>
      <c r="H477" s="46"/>
      <c r="I477" s="59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 spans="1:25" ht="16.5">
      <c r="A478" s="46"/>
      <c r="B478" s="46"/>
      <c r="C478" s="57"/>
      <c r="D478" s="46"/>
      <c r="E478" s="46"/>
      <c r="F478" s="58"/>
      <c r="G478" s="46"/>
      <c r="H478" s="46"/>
      <c r="I478" s="59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 spans="1:25" ht="16.5">
      <c r="A479" s="46"/>
      <c r="B479" s="46"/>
      <c r="C479" s="57"/>
      <c r="D479" s="46"/>
      <c r="E479" s="46"/>
      <c r="F479" s="58"/>
      <c r="G479" s="46"/>
      <c r="H479" s="46"/>
      <c r="I479" s="59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 spans="1:25" ht="16.5">
      <c r="A480" s="46"/>
      <c r="B480" s="46"/>
      <c r="C480" s="57"/>
      <c r="D480" s="46"/>
      <c r="E480" s="46"/>
      <c r="F480" s="58"/>
      <c r="G480" s="46"/>
      <c r="H480" s="46"/>
      <c r="I480" s="59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 spans="1:25" ht="16.5">
      <c r="A481" s="46"/>
      <c r="B481" s="46"/>
      <c r="C481" s="57"/>
      <c r="D481" s="46"/>
      <c r="E481" s="46"/>
      <c r="F481" s="58"/>
      <c r="G481" s="46"/>
      <c r="H481" s="46"/>
      <c r="I481" s="59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 spans="1:25" ht="16.5">
      <c r="A482" s="46"/>
      <c r="B482" s="46"/>
      <c r="C482" s="57"/>
      <c r="D482" s="46"/>
      <c r="E482" s="46"/>
      <c r="F482" s="58"/>
      <c r="G482" s="46"/>
      <c r="H482" s="46"/>
      <c r="I482" s="59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 spans="1:25" ht="16.5">
      <c r="A483" s="46"/>
      <c r="B483" s="46"/>
      <c r="C483" s="57"/>
      <c r="D483" s="46"/>
      <c r="E483" s="46"/>
      <c r="F483" s="58"/>
      <c r="G483" s="46"/>
      <c r="H483" s="46"/>
      <c r="I483" s="59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 spans="1:25" ht="16.5">
      <c r="A484" s="46"/>
      <c r="B484" s="46"/>
      <c r="C484" s="57"/>
      <c r="D484" s="46"/>
      <c r="E484" s="46"/>
      <c r="F484" s="58"/>
      <c r="G484" s="46"/>
      <c r="H484" s="46"/>
      <c r="I484" s="59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 spans="1:25" ht="16.5">
      <c r="A485" s="46"/>
      <c r="B485" s="46"/>
      <c r="C485" s="57"/>
      <c r="D485" s="46"/>
      <c r="E485" s="46"/>
      <c r="F485" s="58"/>
      <c r="G485" s="46"/>
      <c r="H485" s="46"/>
      <c r="I485" s="59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 spans="1:25" ht="16.5">
      <c r="A486" s="46"/>
      <c r="B486" s="46"/>
      <c r="C486" s="57"/>
      <c r="D486" s="46"/>
      <c r="E486" s="46"/>
      <c r="F486" s="58"/>
      <c r="G486" s="46"/>
      <c r="H486" s="46"/>
      <c r="I486" s="59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 spans="1:25" ht="16.5">
      <c r="A487" s="46"/>
      <c r="B487" s="46"/>
      <c r="C487" s="57"/>
      <c r="D487" s="46"/>
      <c r="E487" s="46"/>
      <c r="F487" s="58"/>
      <c r="G487" s="46"/>
      <c r="H487" s="46"/>
      <c r="I487" s="59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 spans="1:25" ht="16.5">
      <c r="A488" s="46"/>
      <c r="B488" s="46"/>
      <c r="C488" s="57"/>
      <c r="D488" s="46"/>
      <c r="E488" s="46"/>
      <c r="F488" s="58"/>
      <c r="G488" s="46"/>
      <c r="H488" s="46"/>
      <c r="I488" s="59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 spans="1:25" ht="16.5">
      <c r="A489" s="46"/>
      <c r="B489" s="46"/>
      <c r="C489" s="57"/>
      <c r="D489" s="46"/>
      <c r="E489" s="46"/>
      <c r="F489" s="58"/>
      <c r="G489" s="46"/>
      <c r="H489" s="46"/>
      <c r="I489" s="59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 spans="1:25" ht="16.5">
      <c r="A490" s="46"/>
      <c r="B490" s="46"/>
      <c r="C490" s="57"/>
      <c r="D490" s="46"/>
      <c r="E490" s="46"/>
      <c r="F490" s="58"/>
      <c r="G490" s="46"/>
      <c r="H490" s="46"/>
      <c r="I490" s="59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 spans="1:25" ht="16.5">
      <c r="A491" s="46"/>
      <c r="B491" s="46"/>
      <c r="C491" s="57"/>
      <c r="D491" s="46"/>
      <c r="E491" s="46"/>
      <c r="F491" s="58"/>
      <c r="G491" s="46"/>
      <c r="H491" s="46"/>
      <c r="I491" s="59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 spans="1:25" ht="16.5">
      <c r="A492" s="46"/>
      <c r="B492" s="46"/>
      <c r="C492" s="57"/>
      <c r="D492" s="46"/>
      <c r="E492" s="46"/>
      <c r="F492" s="58"/>
      <c r="G492" s="46"/>
      <c r="H492" s="46"/>
      <c r="I492" s="59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 spans="1:25" ht="16.5">
      <c r="A493" s="46"/>
      <c r="B493" s="46"/>
      <c r="C493" s="57"/>
      <c r="D493" s="46"/>
      <c r="E493" s="46"/>
      <c r="F493" s="58"/>
      <c r="G493" s="46"/>
      <c r="H493" s="46"/>
      <c r="I493" s="59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 spans="1:25" ht="16.5">
      <c r="A494" s="46"/>
      <c r="B494" s="46"/>
      <c r="C494" s="57"/>
      <c r="D494" s="46"/>
      <c r="E494" s="46"/>
      <c r="F494" s="58"/>
      <c r="G494" s="46"/>
      <c r="H494" s="46"/>
      <c r="I494" s="59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 spans="1:25" ht="16.5">
      <c r="A495" s="46"/>
      <c r="B495" s="46"/>
      <c r="C495" s="57"/>
      <c r="D495" s="46"/>
      <c r="E495" s="46"/>
      <c r="F495" s="58"/>
      <c r="G495" s="46"/>
      <c r="H495" s="46"/>
      <c r="I495" s="59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 spans="1:25" ht="16.5">
      <c r="A496" s="46"/>
      <c r="B496" s="46"/>
      <c r="C496" s="57"/>
      <c r="D496" s="46"/>
      <c r="E496" s="46"/>
      <c r="F496" s="58"/>
      <c r="G496" s="46"/>
      <c r="H496" s="46"/>
      <c r="I496" s="59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 spans="1:25" ht="16.5">
      <c r="A497" s="46"/>
      <c r="B497" s="46"/>
      <c r="C497" s="57"/>
      <c r="D497" s="46"/>
      <c r="E497" s="46"/>
      <c r="F497" s="58"/>
      <c r="G497" s="46"/>
      <c r="H497" s="46"/>
      <c r="I497" s="59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 spans="1:25" ht="16.5">
      <c r="A498" s="46"/>
      <c r="B498" s="46"/>
      <c r="C498" s="57"/>
      <c r="D498" s="46"/>
      <c r="E498" s="46"/>
      <c r="F498" s="58"/>
      <c r="G498" s="46"/>
      <c r="H498" s="46"/>
      <c r="I498" s="59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 spans="1:25" ht="16.5">
      <c r="A499" s="46"/>
      <c r="B499" s="46"/>
      <c r="C499" s="57"/>
      <c r="D499" s="46"/>
      <c r="E499" s="46"/>
      <c r="F499" s="58"/>
      <c r="G499" s="46"/>
      <c r="H499" s="46"/>
      <c r="I499" s="59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 spans="1:25" ht="16.5">
      <c r="A500" s="46"/>
      <c r="B500" s="46"/>
      <c r="C500" s="57"/>
      <c r="D500" s="46"/>
      <c r="E500" s="46"/>
      <c r="F500" s="58"/>
      <c r="G500" s="46"/>
      <c r="H500" s="46"/>
      <c r="I500" s="59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 spans="1:25" ht="16.5">
      <c r="A501" s="46"/>
      <c r="B501" s="46"/>
      <c r="C501" s="57"/>
      <c r="D501" s="46"/>
      <c r="E501" s="46"/>
      <c r="F501" s="58"/>
      <c r="G501" s="46"/>
      <c r="H501" s="46"/>
      <c r="I501" s="59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 spans="1:25" ht="16.5">
      <c r="A502" s="46"/>
      <c r="B502" s="46"/>
      <c r="C502" s="57"/>
      <c r="D502" s="46"/>
      <c r="E502" s="46"/>
      <c r="F502" s="58"/>
      <c r="G502" s="46"/>
      <c r="H502" s="46"/>
      <c r="I502" s="59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 spans="1:25" ht="16.5">
      <c r="A503" s="46"/>
      <c r="B503" s="46"/>
      <c r="C503" s="57"/>
      <c r="D503" s="46"/>
      <c r="E503" s="46"/>
      <c r="F503" s="58"/>
      <c r="G503" s="46"/>
      <c r="H503" s="46"/>
      <c r="I503" s="59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 spans="1:25" ht="16.5">
      <c r="A504" s="46"/>
      <c r="B504" s="46"/>
      <c r="C504" s="57"/>
      <c r="D504" s="46"/>
      <c r="E504" s="46"/>
      <c r="F504" s="58"/>
      <c r="G504" s="46"/>
      <c r="H504" s="46"/>
      <c r="I504" s="59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 spans="1:25" ht="16.5">
      <c r="A505" s="46"/>
      <c r="B505" s="46"/>
      <c r="C505" s="57"/>
      <c r="D505" s="46"/>
      <c r="E505" s="46"/>
      <c r="F505" s="58"/>
      <c r="G505" s="46"/>
      <c r="H505" s="46"/>
      <c r="I505" s="59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1:25" ht="16.5">
      <c r="A506" s="46"/>
      <c r="B506" s="46"/>
      <c r="C506" s="57"/>
      <c r="D506" s="46"/>
      <c r="E506" s="46"/>
      <c r="F506" s="58"/>
      <c r="G506" s="46"/>
      <c r="H506" s="46"/>
      <c r="I506" s="59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1:25" ht="16.5">
      <c r="A507" s="46"/>
      <c r="B507" s="46"/>
      <c r="C507" s="57"/>
      <c r="D507" s="46"/>
      <c r="E507" s="46"/>
      <c r="F507" s="58"/>
      <c r="G507" s="46"/>
      <c r="H507" s="46"/>
      <c r="I507" s="59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 spans="1:25" ht="16.5">
      <c r="A508" s="46"/>
      <c r="B508" s="46"/>
      <c r="C508" s="57"/>
      <c r="D508" s="46"/>
      <c r="E508" s="46"/>
      <c r="F508" s="58"/>
      <c r="G508" s="46"/>
      <c r="H508" s="46"/>
      <c r="I508" s="59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 spans="1:25" ht="16.5">
      <c r="A509" s="46"/>
      <c r="B509" s="46"/>
      <c r="C509" s="57"/>
      <c r="D509" s="46"/>
      <c r="E509" s="46"/>
      <c r="F509" s="58"/>
      <c r="G509" s="46"/>
      <c r="H509" s="46"/>
      <c r="I509" s="59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 spans="1:25" ht="16.5">
      <c r="A510" s="46"/>
      <c r="B510" s="46"/>
      <c r="C510" s="57"/>
      <c r="D510" s="46"/>
      <c r="E510" s="46"/>
      <c r="F510" s="58"/>
      <c r="G510" s="46"/>
      <c r="H510" s="46"/>
      <c r="I510" s="59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 spans="1:25" ht="16.5">
      <c r="A511" s="46"/>
      <c r="B511" s="46"/>
      <c r="C511" s="57"/>
      <c r="D511" s="46"/>
      <c r="E511" s="46"/>
      <c r="F511" s="58"/>
      <c r="G511" s="46"/>
      <c r="H511" s="46"/>
      <c r="I511" s="59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 spans="1:25" ht="16.5">
      <c r="A512" s="46"/>
      <c r="B512" s="46"/>
      <c r="C512" s="57"/>
      <c r="D512" s="46"/>
      <c r="E512" s="46"/>
      <c r="F512" s="58"/>
      <c r="G512" s="46"/>
      <c r="H512" s="46"/>
      <c r="I512" s="59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 spans="1:25" ht="16.5">
      <c r="A513" s="46"/>
      <c r="B513" s="46"/>
      <c r="C513" s="57"/>
      <c r="D513" s="46"/>
      <c r="E513" s="46"/>
      <c r="F513" s="58"/>
      <c r="G513" s="46"/>
      <c r="H513" s="46"/>
      <c r="I513" s="59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 spans="1:25" ht="16.5">
      <c r="A514" s="46"/>
      <c r="B514" s="46"/>
      <c r="C514" s="57"/>
      <c r="D514" s="46"/>
      <c r="E514" s="46"/>
      <c r="F514" s="58"/>
      <c r="G514" s="46"/>
      <c r="H514" s="46"/>
      <c r="I514" s="59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 spans="1:25" ht="16.5">
      <c r="A515" s="46"/>
      <c r="B515" s="46"/>
      <c r="C515" s="57"/>
      <c r="D515" s="46"/>
      <c r="E515" s="46"/>
      <c r="F515" s="58"/>
      <c r="G515" s="46"/>
      <c r="H515" s="46"/>
      <c r="I515" s="59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 spans="1:25" ht="16.5">
      <c r="A516" s="46"/>
      <c r="B516" s="46"/>
      <c r="C516" s="57"/>
      <c r="D516" s="46"/>
      <c r="E516" s="46"/>
      <c r="F516" s="58"/>
      <c r="G516" s="46"/>
      <c r="H516" s="46"/>
      <c r="I516" s="59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 spans="1:25" ht="16.5">
      <c r="A517" s="46"/>
      <c r="B517" s="46"/>
      <c r="C517" s="57"/>
      <c r="D517" s="46"/>
      <c r="E517" s="46"/>
      <c r="F517" s="58"/>
      <c r="G517" s="46"/>
      <c r="H517" s="46"/>
      <c r="I517" s="59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 spans="1:25" ht="16.5">
      <c r="A518" s="46"/>
      <c r="B518" s="46"/>
      <c r="C518" s="57"/>
      <c r="D518" s="46"/>
      <c r="E518" s="46"/>
      <c r="F518" s="58"/>
      <c r="G518" s="46"/>
      <c r="H518" s="46"/>
      <c r="I518" s="59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 spans="1:25" ht="16.5">
      <c r="A519" s="46"/>
      <c r="B519" s="46"/>
      <c r="C519" s="57"/>
      <c r="D519" s="46"/>
      <c r="E519" s="46"/>
      <c r="F519" s="58"/>
      <c r="G519" s="46"/>
      <c r="H519" s="46"/>
      <c r="I519" s="59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 spans="1:25" ht="16.5">
      <c r="A520" s="46"/>
      <c r="B520" s="46"/>
      <c r="C520" s="57"/>
      <c r="D520" s="46"/>
      <c r="E520" s="46"/>
      <c r="F520" s="58"/>
      <c r="G520" s="46"/>
      <c r="H520" s="46"/>
      <c r="I520" s="59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 spans="1:25" ht="16.5">
      <c r="A521" s="46"/>
      <c r="B521" s="46"/>
      <c r="C521" s="57"/>
      <c r="D521" s="46"/>
      <c r="E521" s="46"/>
      <c r="F521" s="58"/>
      <c r="G521" s="46"/>
      <c r="H521" s="46"/>
      <c r="I521" s="59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 spans="1:25" ht="16.5">
      <c r="A522" s="46"/>
      <c r="B522" s="46"/>
      <c r="C522" s="57"/>
      <c r="D522" s="46"/>
      <c r="E522" s="46"/>
      <c r="F522" s="58"/>
      <c r="G522" s="46"/>
      <c r="H522" s="46"/>
      <c r="I522" s="59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 spans="1:25" ht="16.5">
      <c r="A523" s="46"/>
      <c r="B523" s="46"/>
      <c r="C523" s="57"/>
      <c r="D523" s="46"/>
      <c r="E523" s="46"/>
      <c r="F523" s="58"/>
      <c r="G523" s="46"/>
      <c r="H523" s="46"/>
      <c r="I523" s="59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 spans="1:25" ht="16.5">
      <c r="A524" s="46"/>
      <c r="B524" s="46"/>
      <c r="C524" s="57"/>
      <c r="D524" s="46"/>
      <c r="E524" s="46"/>
      <c r="F524" s="58"/>
      <c r="G524" s="46"/>
      <c r="H524" s="46"/>
      <c r="I524" s="59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 spans="1:25" ht="16.5">
      <c r="A525" s="46"/>
      <c r="B525" s="46"/>
      <c r="C525" s="57"/>
      <c r="D525" s="46"/>
      <c r="E525" s="46"/>
      <c r="F525" s="58"/>
      <c r="G525" s="46"/>
      <c r="H525" s="46"/>
      <c r="I525" s="59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 spans="1:25" ht="16.5">
      <c r="A526" s="46"/>
      <c r="B526" s="46"/>
      <c r="C526" s="57"/>
      <c r="D526" s="46"/>
      <c r="E526" s="46"/>
      <c r="F526" s="58"/>
      <c r="G526" s="46"/>
      <c r="H526" s="46"/>
      <c r="I526" s="59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 spans="1:25" ht="16.5">
      <c r="A527" s="46"/>
      <c r="B527" s="46"/>
      <c r="C527" s="57"/>
      <c r="D527" s="46"/>
      <c r="E527" s="46"/>
      <c r="F527" s="58"/>
      <c r="G527" s="46"/>
      <c r="H527" s="46"/>
      <c r="I527" s="59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 spans="1:25" ht="16.5">
      <c r="A528" s="46"/>
      <c r="B528" s="46"/>
      <c r="C528" s="57"/>
      <c r="D528" s="46"/>
      <c r="E528" s="46"/>
      <c r="F528" s="58"/>
      <c r="G528" s="46"/>
      <c r="H528" s="46"/>
      <c r="I528" s="59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 spans="1:25" ht="16.5">
      <c r="A529" s="46"/>
      <c r="B529" s="46"/>
      <c r="C529" s="57"/>
      <c r="D529" s="46"/>
      <c r="E529" s="46"/>
      <c r="F529" s="58"/>
      <c r="G529" s="46"/>
      <c r="H529" s="46"/>
      <c r="I529" s="59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 spans="1:25" ht="16.5">
      <c r="A530" s="46"/>
      <c r="B530" s="46"/>
      <c r="C530" s="57"/>
      <c r="D530" s="46"/>
      <c r="E530" s="46"/>
      <c r="F530" s="58"/>
      <c r="G530" s="46"/>
      <c r="H530" s="46"/>
      <c r="I530" s="59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 spans="1:25" ht="16.5">
      <c r="A531" s="46"/>
      <c r="B531" s="46"/>
      <c r="C531" s="57"/>
      <c r="D531" s="46"/>
      <c r="E531" s="46"/>
      <c r="F531" s="58"/>
      <c r="G531" s="46"/>
      <c r="H531" s="46"/>
      <c r="I531" s="59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 spans="1:25" ht="16.5">
      <c r="A532" s="46"/>
      <c r="B532" s="46"/>
      <c r="C532" s="57"/>
      <c r="D532" s="46"/>
      <c r="E532" s="46"/>
      <c r="F532" s="58"/>
      <c r="G532" s="46"/>
      <c r="H532" s="46"/>
      <c r="I532" s="59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 spans="1:25" ht="16.5">
      <c r="A533" s="46"/>
      <c r="B533" s="46"/>
      <c r="C533" s="57"/>
      <c r="D533" s="46"/>
      <c r="E533" s="46"/>
      <c r="F533" s="58"/>
      <c r="G533" s="46"/>
      <c r="H533" s="46"/>
      <c r="I533" s="59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 spans="1:25" ht="16.5">
      <c r="A534" s="46"/>
      <c r="B534" s="46"/>
      <c r="C534" s="57"/>
      <c r="D534" s="46"/>
      <c r="E534" s="46"/>
      <c r="F534" s="58"/>
      <c r="G534" s="46"/>
      <c r="H534" s="46"/>
      <c r="I534" s="59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 spans="1:25" ht="16.5">
      <c r="A535" s="46"/>
      <c r="B535" s="46"/>
      <c r="C535" s="57"/>
      <c r="D535" s="46"/>
      <c r="E535" s="46"/>
      <c r="F535" s="58"/>
      <c r="G535" s="46"/>
      <c r="H535" s="46"/>
      <c r="I535" s="59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 spans="1:25" ht="16.5">
      <c r="A536" s="46"/>
      <c r="B536" s="46"/>
      <c r="C536" s="57"/>
      <c r="D536" s="46"/>
      <c r="E536" s="46"/>
      <c r="F536" s="58"/>
      <c r="G536" s="46"/>
      <c r="H536" s="46"/>
      <c r="I536" s="59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 spans="1:25" ht="16.5">
      <c r="A537" s="46"/>
      <c r="B537" s="46"/>
      <c r="C537" s="57"/>
      <c r="D537" s="46"/>
      <c r="E537" s="46"/>
      <c r="F537" s="58"/>
      <c r="G537" s="46"/>
      <c r="H537" s="46"/>
      <c r="I537" s="59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 spans="1:25" ht="16.5">
      <c r="A538" s="46"/>
      <c r="B538" s="46"/>
      <c r="C538" s="57"/>
      <c r="D538" s="46"/>
      <c r="E538" s="46"/>
      <c r="F538" s="58"/>
      <c r="G538" s="46"/>
      <c r="H538" s="46"/>
      <c r="I538" s="59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 spans="1:25" ht="16.5">
      <c r="A539" s="46"/>
      <c r="B539" s="46"/>
      <c r="C539" s="57"/>
      <c r="D539" s="46"/>
      <c r="E539" s="46"/>
      <c r="F539" s="58"/>
      <c r="G539" s="46"/>
      <c r="H539" s="46"/>
      <c r="I539" s="59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 spans="1:25" ht="16.5">
      <c r="A540" s="46"/>
      <c r="B540" s="46"/>
      <c r="C540" s="57"/>
      <c r="D540" s="46"/>
      <c r="E540" s="46"/>
      <c r="F540" s="58"/>
      <c r="G540" s="46"/>
      <c r="H540" s="46"/>
      <c r="I540" s="59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 spans="1:25" ht="16.5">
      <c r="A541" s="46"/>
      <c r="B541" s="46"/>
      <c r="C541" s="57"/>
      <c r="D541" s="46"/>
      <c r="E541" s="46"/>
      <c r="F541" s="58"/>
      <c r="G541" s="46"/>
      <c r="H541" s="46"/>
      <c r="I541" s="59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 spans="1:25" ht="16.5">
      <c r="A542" s="46"/>
      <c r="B542" s="46"/>
      <c r="C542" s="57"/>
      <c r="D542" s="46"/>
      <c r="E542" s="46"/>
      <c r="F542" s="58"/>
      <c r="G542" s="46"/>
      <c r="H542" s="46"/>
      <c r="I542" s="59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 spans="1:25" ht="16.5">
      <c r="A543" s="46"/>
      <c r="B543" s="46"/>
      <c r="C543" s="57"/>
      <c r="D543" s="46"/>
      <c r="E543" s="46"/>
      <c r="F543" s="58"/>
      <c r="G543" s="46"/>
      <c r="H543" s="46"/>
      <c r="I543" s="59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 spans="1:25" ht="16.5">
      <c r="A544" s="46"/>
      <c r="B544" s="46"/>
      <c r="C544" s="57"/>
      <c r="D544" s="46"/>
      <c r="E544" s="46"/>
      <c r="F544" s="58"/>
      <c r="G544" s="46"/>
      <c r="H544" s="46"/>
      <c r="I544" s="59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 spans="1:25" ht="16.5">
      <c r="A545" s="46"/>
      <c r="B545" s="46"/>
      <c r="C545" s="57"/>
      <c r="D545" s="46"/>
      <c r="E545" s="46"/>
      <c r="F545" s="58"/>
      <c r="G545" s="46"/>
      <c r="H545" s="46"/>
      <c r="I545" s="59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 spans="1:25" ht="16.5">
      <c r="A546" s="46"/>
      <c r="B546" s="46"/>
      <c r="C546" s="57"/>
      <c r="D546" s="46"/>
      <c r="E546" s="46"/>
      <c r="F546" s="58"/>
      <c r="G546" s="46"/>
      <c r="H546" s="46"/>
      <c r="I546" s="59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 spans="1:25" ht="16.5">
      <c r="A547" s="46"/>
      <c r="B547" s="46"/>
      <c r="C547" s="57"/>
      <c r="D547" s="46"/>
      <c r="E547" s="46"/>
      <c r="F547" s="58"/>
      <c r="G547" s="46"/>
      <c r="H547" s="46"/>
      <c r="I547" s="59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 spans="1:25" ht="16.5">
      <c r="A548" s="46"/>
      <c r="B548" s="46"/>
      <c r="C548" s="57"/>
      <c r="D548" s="46"/>
      <c r="E548" s="46"/>
      <c r="F548" s="58"/>
      <c r="G548" s="46"/>
      <c r="H548" s="46"/>
      <c r="I548" s="59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 spans="1:25" ht="16.5">
      <c r="A549" s="46"/>
      <c r="B549" s="46"/>
      <c r="C549" s="57"/>
      <c r="D549" s="46"/>
      <c r="E549" s="46"/>
      <c r="F549" s="58"/>
      <c r="G549" s="46"/>
      <c r="H549" s="46"/>
      <c r="I549" s="59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 spans="1:25" ht="16.5">
      <c r="A550" s="46"/>
      <c r="B550" s="46"/>
      <c r="C550" s="57"/>
      <c r="D550" s="46"/>
      <c r="E550" s="46"/>
      <c r="F550" s="58"/>
      <c r="G550" s="46"/>
      <c r="H550" s="46"/>
      <c r="I550" s="59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 spans="1:25" ht="16.5">
      <c r="A551" s="46"/>
      <c r="B551" s="46"/>
      <c r="C551" s="57"/>
      <c r="D551" s="46"/>
      <c r="E551" s="46"/>
      <c r="F551" s="58"/>
      <c r="G551" s="46"/>
      <c r="H551" s="46"/>
      <c r="I551" s="59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 spans="1:25" ht="16.5">
      <c r="A552" s="46"/>
      <c r="B552" s="46"/>
      <c r="C552" s="57"/>
      <c r="D552" s="46"/>
      <c r="E552" s="46"/>
      <c r="F552" s="58"/>
      <c r="G552" s="46"/>
      <c r="H552" s="46"/>
      <c r="I552" s="59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 spans="1:25" ht="16.5">
      <c r="A553" s="46"/>
      <c r="B553" s="46"/>
      <c r="C553" s="57"/>
      <c r="D553" s="46"/>
      <c r="E553" s="46"/>
      <c r="F553" s="58"/>
      <c r="G553" s="46"/>
      <c r="H553" s="46"/>
      <c r="I553" s="59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 spans="1:25" ht="16.5">
      <c r="A554" s="46"/>
      <c r="B554" s="46"/>
      <c r="C554" s="57"/>
      <c r="D554" s="46"/>
      <c r="E554" s="46"/>
      <c r="F554" s="58"/>
      <c r="G554" s="46"/>
      <c r="H554" s="46"/>
      <c r="I554" s="59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 spans="1:25" ht="16.5">
      <c r="A555" s="46"/>
      <c r="B555" s="46"/>
      <c r="C555" s="57"/>
      <c r="D555" s="46"/>
      <c r="E555" s="46"/>
      <c r="F555" s="58"/>
      <c r="G555" s="46"/>
      <c r="H555" s="46"/>
      <c r="I555" s="59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 spans="1:25" ht="16.5">
      <c r="A556" s="46"/>
      <c r="B556" s="46"/>
      <c r="C556" s="57"/>
      <c r="D556" s="46"/>
      <c r="E556" s="46"/>
      <c r="F556" s="58"/>
      <c r="G556" s="46"/>
      <c r="H556" s="46"/>
      <c r="I556" s="59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 spans="1:25" ht="16.5">
      <c r="A557" s="46"/>
      <c r="B557" s="46"/>
      <c r="C557" s="57"/>
      <c r="D557" s="46"/>
      <c r="E557" s="46"/>
      <c r="F557" s="58"/>
      <c r="G557" s="46"/>
      <c r="H557" s="46"/>
      <c r="I557" s="59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 spans="1:25" ht="16.5">
      <c r="A558" s="46"/>
      <c r="B558" s="46"/>
      <c r="C558" s="57"/>
      <c r="D558" s="46"/>
      <c r="E558" s="46"/>
      <c r="F558" s="58"/>
      <c r="G558" s="46"/>
      <c r="H558" s="46"/>
      <c r="I558" s="59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 spans="1:25" ht="16.5">
      <c r="A559" s="46"/>
      <c r="B559" s="46"/>
      <c r="C559" s="57"/>
      <c r="D559" s="46"/>
      <c r="E559" s="46"/>
      <c r="F559" s="58"/>
      <c r="G559" s="46"/>
      <c r="H559" s="46"/>
      <c r="I559" s="59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 spans="1:25" ht="16.5">
      <c r="A560" s="46"/>
      <c r="B560" s="46"/>
      <c r="C560" s="57"/>
      <c r="D560" s="46"/>
      <c r="E560" s="46"/>
      <c r="F560" s="58"/>
      <c r="G560" s="46"/>
      <c r="H560" s="46"/>
      <c r="I560" s="59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 spans="1:25" ht="16.5">
      <c r="A561" s="46"/>
      <c r="B561" s="46"/>
      <c r="C561" s="57"/>
      <c r="D561" s="46"/>
      <c r="E561" s="46"/>
      <c r="F561" s="58"/>
      <c r="G561" s="46"/>
      <c r="H561" s="46"/>
      <c r="I561" s="59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 spans="1:25" ht="16.5">
      <c r="A562" s="46"/>
      <c r="B562" s="46"/>
      <c r="C562" s="57"/>
      <c r="D562" s="46"/>
      <c r="E562" s="46"/>
      <c r="F562" s="58"/>
      <c r="G562" s="46"/>
      <c r="H562" s="46"/>
      <c r="I562" s="59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 spans="1:25" ht="16.5">
      <c r="A563" s="46"/>
      <c r="B563" s="46"/>
      <c r="C563" s="57"/>
      <c r="D563" s="46"/>
      <c r="E563" s="46"/>
      <c r="F563" s="58"/>
      <c r="G563" s="46"/>
      <c r="H563" s="46"/>
      <c r="I563" s="59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 spans="1:25" ht="16.5">
      <c r="A564" s="46"/>
      <c r="B564" s="46"/>
      <c r="C564" s="57"/>
      <c r="D564" s="46"/>
      <c r="E564" s="46"/>
      <c r="F564" s="58"/>
      <c r="G564" s="46"/>
      <c r="H564" s="46"/>
      <c r="I564" s="59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 spans="1:25" ht="16.5">
      <c r="A565" s="46"/>
      <c r="B565" s="46"/>
      <c r="C565" s="57"/>
      <c r="D565" s="46"/>
      <c r="E565" s="46"/>
      <c r="F565" s="58"/>
      <c r="G565" s="46"/>
      <c r="H565" s="46"/>
      <c r="I565" s="59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 spans="1:25" ht="16.5">
      <c r="A566" s="46"/>
      <c r="B566" s="46"/>
      <c r="C566" s="57"/>
      <c r="D566" s="46"/>
      <c r="E566" s="46"/>
      <c r="F566" s="58"/>
      <c r="G566" s="46"/>
      <c r="H566" s="46"/>
      <c r="I566" s="59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 spans="1:25" ht="16.5">
      <c r="A567" s="46"/>
      <c r="B567" s="46"/>
      <c r="C567" s="57"/>
      <c r="D567" s="46"/>
      <c r="E567" s="46"/>
      <c r="F567" s="58"/>
      <c r="G567" s="46"/>
      <c r="H567" s="46"/>
      <c r="I567" s="59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 spans="1:25" ht="16.5">
      <c r="A568" s="46"/>
      <c r="B568" s="46"/>
      <c r="C568" s="57"/>
      <c r="D568" s="46"/>
      <c r="E568" s="46"/>
      <c r="F568" s="58"/>
      <c r="G568" s="46"/>
      <c r="H568" s="46"/>
      <c r="I568" s="59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 spans="1:25" ht="16.5">
      <c r="A569" s="46"/>
      <c r="B569" s="46"/>
      <c r="C569" s="57"/>
      <c r="D569" s="46"/>
      <c r="E569" s="46"/>
      <c r="F569" s="58"/>
      <c r="G569" s="46"/>
      <c r="H569" s="46"/>
      <c r="I569" s="59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 spans="1:25" ht="16.5">
      <c r="A570" s="46"/>
      <c r="B570" s="46"/>
      <c r="C570" s="57"/>
      <c r="D570" s="46"/>
      <c r="E570" s="46"/>
      <c r="F570" s="58"/>
      <c r="G570" s="46"/>
      <c r="H570" s="46"/>
      <c r="I570" s="59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 spans="1:25" ht="16.5">
      <c r="A571" s="46"/>
      <c r="B571" s="46"/>
      <c r="C571" s="57"/>
      <c r="D571" s="46"/>
      <c r="E571" s="46"/>
      <c r="F571" s="58"/>
      <c r="G571" s="46"/>
      <c r="H571" s="46"/>
      <c r="I571" s="59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 spans="1:25" ht="16.5">
      <c r="A572" s="46"/>
      <c r="B572" s="46"/>
      <c r="C572" s="57"/>
      <c r="D572" s="46"/>
      <c r="E572" s="46"/>
      <c r="F572" s="58"/>
      <c r="G572" s="46"/>
      <c r="H572" s="46"/>
      <c r="I572" s="59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 spans="1:25" ht="16.5">
      <c r="A573" s="46"/>
      <c r="B573" s="46"/>
      <c r="C573" s="57"/>
      <c r="D573" s="46"/>
      <c r="E573" s="46"/>
      <c r="F573" s="58"/>
      <c r="G573" s="46"/>
      <c r="H573" s="46"/>
      <c r="I573" s="59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 spans="1:25" ht="16.5">
      <c r="A574" s="46"/>
      <c r="B574" s="46"/>
      <c r="C574" s="57"/>
      <c r="D574" s="46"/>
      <c r="E574" s="46"/>
      <c r="F574" s="58"/>
      <c r="G574" s="46"/>
      <c r="H574" s="46"/>
      <c r="I574" s="59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 spans="1:25" ht="16.5">
      <c r="A575" s="46"/>
      <c r="B575" s="46"/>
      <c r="C575" s="57"/>
      <c r="D575" s="46"/>
      <c r="E575" s="46"/>
      <c r="F575" s="58"/>
      <c r="G575" s="46"/>
      <c r="H575" s="46"/>
      <c r="I575" s="59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 spans="1:25" ht="16.5">
      <c r="A576" s="46"/>
      <c r="B576" s="46"/>
      <c r="C576" s="57"/>
      <c r="D576" s="46"/>
      <c r="E576" s="46"/>
      <c r="F576" s="58"/>
      <c r="G576" s="46"/>
      <c r="H576" s="46"/>
      <c r="I576" s="59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 spans="1:25" ht="16.5">
      <c r="A577" s="46"/>
      <c r="B577" s="46"/>
      <c r="C577" s="57"/>
      <c r="D577" s="46"/>
      <c r="E577" s="46"/>
      <c r="F577" s="58"/>
      <c r="G577" s="46"/>
      <c r="H577" s="46"/>
      <c r="I577" s="59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 spans="1:25" ht="16.5">
      <c r="A578" s="46"/>
      <c r="B578" s="46"/>
      <c r="C578" s="57"/>
      <c r="D578" s="46"/>
      <c r="E578" s="46"/>
      <c r="F578" s="58"/>
      <c r="G578" s="46"/>
      <c r="H578" s="46"/>
      <c r="I578" s="59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 spans="1:25" ht="16.5">
      <c r="A579" s="46"/>
      <c r="B579" s="46"/>
      <c r="C579" s="57"/>
      <c r="D579" s="46"/>
      <c r="E579" s="46"/>
      <c r="F579" s="58"/>
      <c r="G579" s="46"/>
      <c r="H579" s="46"/>
      <c r="I579" s="59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 spans="1:25" ht="16.5">
      <c r="A580" s="46"/>
      <c r="B580" s="46"/>
      <c r="C580" s="57"/>
      <c r="D580" s="46"/>
      <c r="E580" s="46"/>
      <c r="F580" s="58"/>
      <c r="G580" s="46"/>
      <c r="H580" s="46"/>
      <c r="I580" s="59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 spans="1:25" ht="16.5">
      <c r="A581" s="46"/>
      <c r="B581" s="46"/>
      <c r="C581" s="57"/>
      <c r="D581" s="46"/>
      <c r="E581" s="46"/>
      <c r="F581" s="58"/>
      <c r="G581" s="46"/>
      <c r="H581" s="46"/>
      <c r="I581" s="59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 spans="1:25" ht="16.5">
      <c r="A582" s="46"/>
      <c r="B582" s="46"/>
      <c r="C582" s="57"/>
      <c r="D582" s="46"/>
      <c r="E582" s="46"/>
      <c r="F582" s="58"/>
      <c r="G582" s="46"/>
      <c r="H582" s="46"/>
      <c r="I582" s="59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 spans="1:25" ht="16.5">
      <c r="A583" s="46"/>
      <c r="B583" s="46"/>
      <c r="C583" s="57"/>
      <c r="D583" s="46"/>
      <c r="E583" s="46"/>
      <c r="F583" s="58"/>
      <c r="G583" s="46"/>
      <c r="H583" s="46"/>
      <c r="I583" s="59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 spans="1:25" ht="16.5">
      <c r="A584" s="46"/>
      <c r="B584" s="46"/>
      <c r="C584" s="57"/>
      <c r="D584" s="46"/>
      <c r="E584" s="46"/>
      <c r="F584" s="58"/>
      <c r="G584" s="46"/>
      <c r="H584" s="46"/>
      <c r="I584" s="59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 spans="1:25" ht="16.5">
      <c r="A585" s="46"/>
      <c r="B585" s="46"/>
      <c r="C585" s="57"/>
      <c r="D585" s="46"/>
      <c r="E585" s="46"/>
      <c r="F585" s="58"/>
      <c r="G585" s="46"/>
      <c r="H585" s="46"/>
      <c r="I585" s="59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 spans="1:25" ht="16.5">
      <c r="A586" s="46"/>
      <c r="B586" s="46"/>
      <c r="C586" s="57"/>
      <c r="D586" s="46"/>
      <c r="E586" s="46"/>
      <c r="F586" s="58"/>
      <c r="G586" s="46"/>
      <c r="H586" s="46"/>
      <c r="I586" s="59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 spans="1:25" ht="16.5">
      <c r="A587" s="46"/>
      <c r="B587" s="46"/>
      <c r="C587" s="57"/>
      <c r="D587" s="46"/>
      <c r="E587" s="46"/>
      <c r="F587" s="58"/>
      <c r="G587" s="46"/>
      <c r="H587" s="46"/>
      <c r="I587" s="59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 spans="1:25" ht="16.5">
      <c r="A588" s="46"/>
      <c r="B588" s="46"/>
      <c r="C588" s="57"/>
      <c r="D588" s="46"/>
      <c r="E588" s="46"/>
      <c r="F588" s="58"/>
      <c r="G588" s="46"/>
      <c r="H588" s="46"/>
      <c r="I588" s="59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 spans="1:25" ht="16.5">
      <c r="A589" s="46"/>
      <c r="B589" s="46"/>
      <c r="C589" s="57"/>
      <c r="D589" s="46"/>
      <c r="E589" s="46"/>
      <c r="F589" s="58"/>
      <c r="G589" s="46"/>
      <c r="H589" s="46"/>
      <c r="I589" s="59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 spans="1:25" ht="16.5">
      <c r="A590" s="46"/>
      <c r="B590" s="46"/>
      <c r="C590" s="57"/>
      <c r="D590" s="46"/>
      <c r="E590" s="46"/>
      <c r="F590" s="58"/>
      <c r="G590" s="46"/>
      <c r="H590" s="46"/>
      <c r="I590" s="59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 spans="1:25" ht="16.5">
      <c r="A591" s="46"/>
      <c r="B591" s="46"/>
      <c r="C591" s="57"/>
      <c r="D591" s="46"/>
      <c r="E591" s="46"/>
      <c r="F591" s="58"/>
      <c r="G591" s="46"/>
      <c r="H591" s="46"/>
      <c r="I591" s="59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 spans="1:25" ht="16.5">
      <c r="A592" s="46"/>
      <c r="B592" s="46"/>
      <c r="C592" s="57"/>
      <c r="D592" s="46"/>
      <c r="E592" s="46"/>
      <c r="F592" s="58"/>
      <c r="G592" s="46"/>
      <c r="H592" s="46"/>
      <c r="I592" s="59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 spans="1:25" ht="16.5">
      <c r="A593" s="46"/>
      <c r="B593" s="46"/>
      <c r="C593" s="57"/>
      <c r="D593" s="46"/>
      <c r="E593" s="46"/>
      <c r="F593" s="58"/>
      <c r="G593" s="46"/>
      <c r="H593" s="46"/>
      <c r="I593" s="59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 spans="1:25" ht="16.5">
      <c r="A594" s="46"/>
      <c r="B594" s="46"/>
      <c r="C594" s="57"/>
      <c r="D594" s="46"/>
      <c r="E594" s="46"/>
      <c r="F594" s="58"/>
      <c r="G594" s="46"/>
      <c r="H594" s="46"/>
      <c r="I594" s="59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 spans="1:25" ht="16.5">
      <c r="A595" s="46"/>
      <c r="B595" s="46"/>
      <c r="C595" s="57"/>
      <c r="D595" s="46"/>
      <c r="E595" s="46"/>
      <c r="F595" s="58"/>
      <c r="G595" s="46"/>
      <c r="H595" s="46"/>
      <c r="I595" s="59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 spans="1:25" ht="16.5">
      <c r="A596" s="46"/>
      <c r="B596" s="46"/>
      <c r="C596" s="57"/>
      <c r="D596" s="46"/>
      <c r="E596" s="46"/>
      <c r="F596" s="58"/>
      <c r="G596" s="46"/>
      <c r="H596" s="46"/>
      <c r="I596" s="59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 spans="1:25" ht="16.5">
      <c r="A597" s="46"/>
      <c r="B597" s="46"/>
      <c r="C597" s="57"/>
      <c r="D597" s="46"/>
      <c r="E597" s="46"/>
      <c r="F597" s="58"/>
      <c r="G597" s="46"/>
      <c r="H597" s="46"/>
      <c r="I597" s="59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 spans="1:25" ht="16.5">
      <c r="A598" s="46"/>
      <c r="B598" s="46"/>
      <c r="C598" s="57"/>
      <c r="D598" s="46"/>
      <c r="E598" s="46"/>
      <c r="F598" s="58"/>
      <c r="G598" s="46"/>
      <c r="H598" s="46"/>
      <c r="I598" s="59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 spans="1:25" ht="16.5">
      <c r="A599" s="46"/>
      <c r="B599" s="46"/>
      <c r="C599" s="57"/>
      <c r="D599" s="46"/>
      <c r="E599" s="46"/>
      <c r="F599" s="58"/>
      <c r="G599" s="46"/>
      <c r="H599" s="46"/>
      <c r="I599" s="59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 spans="1:25" ht="16.5">
      <c r="A600" s="46"/>
      <c r="B600" s="46"/>
      <c r="C600" s="57"/>
      <c r="D600" s="46"/>
      <c r="E600" s="46"/>
      <c r="F600" s="58"/>
      <c r="G600" s="46"/>
      <c r="H600" s="46"/>
      <c r="I600" s="59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 spans="1:25" ht="16.5">
      <c r="A601" s="46"/>
      <c r="B601" s="46"/>
      <c r="C601" s="57"/>
      <c r="D601" s="46"/>
      <c r="E601" s="46"/>
      <c r="F601" s="58"/>
      <c r="G601" s="46"/>
      <c r="H601" s="46"/>
      <c r="I601" s="59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 spans="1:25" ht="16.5">
      <c r="A602" s="46"/>
      <c r="B602" s="46"/>
      <c r="C602" s="57"/>
      <c r="D602" s="46"/>
      <c r="E602" s="46"/>
      <c r="F602" s="58"/>
      <c r="G602" s="46"/>
      <c r="H602" s="46"/>
      <c r="I602" s="59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 spans="1:25" ht="16.5">
      <c r="A603" s="46"/>
      <c r="B603" s="46"/>
      <c r="C603" s="57"/>
      <c r="D603" s="46"/>
      <c r="E603" s="46"/>
      <c r="F603" s="58"/>
      <c r="G603" s="46"/>
      <c r="H603" s="46"/>
      <c r="I603" s="59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 spans="1:25" ht="16.5">
      <c r="A604" s="46"/>
      <c r="B604" s="46"/>
      <c r="C604" s="57"/>
      <c r="D604" s="46"/>
      <c r="E604" s="46"/>
      <c r="F604" s="58"/>
      <c r="G604" s="46"/>
      <c r="H604" s="46"/>
      <c r="I604" s="59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 spans="1:25" ht="16.5">
      <c r="A605" s="46"/>
      <c r="B605" s="46"/>
      <c r="C605" s="57"/>
      <c r="D605" s="46"/>
      <c r="E605" s="46"/>
      <c r="F605" s="58"/>
      <c r="G605" s="46"/>
      <c r="H605" s="46"/>
      <c r="I605" s="59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 spans="1:25" ht="16.5">
      <c r="A606" s="46"/>
      <c r="B606" s="46"/>
      <c r="C606" s="57"/>
      <c r="D606" s="46"/>
      <c r="E606" s="46"/>
      <c r="F606" s="58"/>
      <c r="G606" s="46"/>
      <c r="H606" s="46"/>
      <c r="I606" s="59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 spans="1:25" ht="16.5">
      <c r="A607" s="46"/>
      <c r="B607" s="46"/>
      <c r="C607" s="57"/>
      <c r="D607" s="46"/>
      <c r="E607" s="46"/>
      <c r="F607" s="58"/>
      <c r="G607" s="46"/>
      <c r="H607" s="46"/>
      <c r="I607" s="59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 spans="1:25" ht="16.5">
      <c r="A608" s="46"/>
      <c r="B608" s="46"/>
      <c r="C608" s="57"/>
      <c r="D608" s="46"/>
      <c r="E608" s="46"/>
      <c r="F608" s="58"/>
      <c r="G608" s="46"/>
      <c r="H608" s="46"/>
      <c r="I608" s="59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 spans="1:25" ht="16.5">
      <c r="A609" s="46"/>
      <c r="B609" s="46"/>
      <c r="C609" s="57"/>
      <c r="D609" s="46"/>
      <c r="E609" s="46"/>
      <c r="F609" s="58"/>
      <c r="G609" s="46"/>
      <c r="H609" s="46"/>
      <c r="I609" s="59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 spans="1:25" ht="16.5">
      <c r="A610" s="46"/>
      <c r="B610" s="46"/>
      <c r="C610" s="57"/>
      <c r="D610" s="46"/>
      <c r="E610" s="46"/>
      <c r="F610" s="58"/>
      <c r="G610" s="46"/>
      <c r="H610" s="46"/>
      <c r="I610" s="59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 spans="1:25" ht="16.5">
      <c r="A611" s="46"/>
      <c r="B611" s="46"/>
      <c r="C611" s="57"/>
      <c r="D611" s="46"/>
      <c r="E611" s="46"/>
      <c r="F611" s="58"/>
      <c r="G611" s="46"/>
      <c r="H611" s="46"/>
      <c r="I611" s="59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 spans="1:25" ht="16.5">
      <c r="A612" s="46"/>
      <c r="B612" s="46"/>
      <c r="C612" s="57"/>
      <c r="D612" s="46"/>
      <c r="E612" s="46"/>
      <c r="F612" s="58"/>
      <c r="G612" s="46"/>
      <c r="H612" s="46"/>
      <c r="I612" s="59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 spans="1:25" ht="16.5">
      <c r="A613" s="46"/>
      <c r="B613" s="46"/>
      <c r="C613" s="57"/>
      <c r="D613" s="46"/>
      <c r="E613" s="46"/>
      <c r="F613" s="58"/>
      <c r="G613" s="46"/>
      <c r="H613" s="46"/>
      <c r="I613" s="59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 spans="1:25" ht="16.5">
      <c r="A614" s="46"/>
      <c r="B614" s="46"/>
      <c r="C614" s="57"/>
      <c r="D614" s="46"/>
      <c r="E614" s="46"/>
      <c r="F614" s="58"/>
      <c r="G614" s="46"/>
      <c r="H614" s="46"/>
      <c r="I614" s="59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 spans="1:25" ht="16.5">
      <c r="A615" s="46"/>
      <c r="B615" s="46"/>
      <c r="C615" s="57"/>
      <c r="D615" s="46"/>
      <c r="E615" s="46"/>
      <c r="F615" s="58"/>
      <c r="G615" s="46"/>
      <c r="H615" s="46"/>
      <c r="I615" s="59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 spans="1:25" ht="16.5">
      <c r="A616" s="46"/>
      <c r="B616" s="46"/>
      <c r="C616" s="57"/>
      <c r="D616" s="46"/>
      <c r="E616" s="46"/>
      <c r="F616" s="58"/>
      <c r="G616" s="46"/>
      <c r="H616" s="46"/>
      <c r="I616" s="59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 spans="1:25" ht="16.5">
      <c r="A617" s="46"/>
      <c r="B617" s="46"/>
      <c r="C617" s="57"/>
      <c r="D617" s="46"/>
      <c r="E617" s="46"/>
      <c r="F617" s="58"/>
      <c r="G617" s="46"/>
      <c r="H617" s="46"/>
      <c r="I617" s="59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 spans="1:25" ht="16.5">
      <c r="A618" s="46"/>
      <c r="B618" s="46"/>
      <c r="C618" s="57"/>
      <c r="D618" s="46"/>
      <c r="E618" s="46"/>
      <c r="F618" s="58"/>
      <c r="G618" s="46"/>
      <c r="H618" s="46"/>
      <c r="I618" s="59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 spans="1:25" ht="16.5">
      <c r="A619" s="46"/>
      <c r="B619" s="46"/>
      <c r="C619" s="57"/>
      <c r="D619" s="46"/>
      <c r="E619" s="46"/>
      <c r="F619" s="58"/>
      <c r="G619" s="46"/>
      <c r="H619" s="46"/>
      <c r="I619" s="59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 spans="1:25" ht="16.5">
      <c r="A620" s="46"/>
      <c r="B620" s="46"/>
      <c r="C620" s="57"/>
      <c r="D620" s="46"/>
      <c r="E620" s="46"/>
      <c r="F620" s="58"/>
      <c r="G620" s="46"/>
      <c r="H620" s="46"/>
      <c r="I620" s="59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 spans="1:25" ht="16.5">
      <c r="A621" s="46"/>
      <c r="B621" s="46"/>
      <c r="C621" s="57"/>
      <c r="D621" s="46"/>
      <c r="E621" s="46"/>
      <c r="F621" s="58"/>
      <c r="G621" s="46"/>
      <c r="H621" s="46"/>
      <c r="I621" s="59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 spans="1:25" ht="16.5">
      <c r="A622" s="46"/>
      <c r="B622" s="46"/>
      <c r="C622" s="57"/>
      <c r="D622" s="46"/>
      <c r="E622" s="46"/>
      <c r="F622" s="58"/>
      <c r="G622" s="46"/>
      <c r="H622" s="46"/>
      <c r="I622" s="59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 spans="1:25" ht="16.5">
      <c r="A623" s="46"/>
      <c r="B623" s="46"/>
      <c r="C623" s="57"/>
      <c r="D623" s="46"/>
      <c r="E623" s="46"/>
      <c r="F623" s="58"/>
      <c r="G623" s="46"/>
      <c r="H623" s="46"/>
      <c r="I623" s="59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 spans="1:25" ht="16.5">
      <c r="A624" s="46"/>
      <c r="B624" s="46"/>
      <c r="C624" s="57"/>
      <c r="D624" s="46"/>
      <c r="E624" s="46"/>
      <c r="F624" s="58"/>
      <c r="G624" s="46"/>
      <c r="H624" s="46"/>
      <c r="I624" s="59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 spans="1:25" ht="16.5">
      <c r="A625" s="46"/>
      <c r="B625" s="46"/>
      <c r="C625" s="57"/>
      <c r="D625" s="46"/>
      <c r="E625" s="46"/>
      <c r="F625" s="58"/>
      <c r="G625" s="46"/>
      <c r="H625" s="46"/>
      <c r="I625" s="59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 spans="1:25" ht="16.5">
      <c r="A626" s="46"/>
      <c r="B626" s="46"/>
      <c r="C626" s="57"/>
      <c r="D626" s="46"/>
      <c r="E626" s="46"/>
      <c r="F626" s="58"/>
      <c r="G626" s="46"/>
      <c r="H626" s="46"/>
      <c r="I626" s="59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 spans="1:25" ht="16.5">
      <c r="A627" s="46"/>
      <c r="B627" s="46"/>
      <c r="C627" s="57"/>
      <c r="D627" s="46"/>
      <c r="E627" s="46"/>
      <c r="F627" s="58"/>
      <c r="G627" s="46"/>
      <c r="H627" s="46"/>
      <c r="I627" s="59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 spans="1:25" ht="16.5">
      <c r="A628" s="46"/>
      <c r="B628" s="46"/>
      <c r="C628" s="57"/>
      <c r="D628" s="46"/>
      <c r="E628" s="46"/>
      <c r="F628" s="58"/>
      <c r="G628" s="46"/>
      <c r="H628" s="46"/>
      <c r="I628" s="59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 spans="1:25" ht="16.5">
      <c r="A629" s="46"/>
      <c r="B629" s="46"/>
      <c r="C629" s="57"/>
      <c r="D629" s="46"/>
      <c r="E629" s="46"/>
      <c r="F629" s="58"/>
      <c r="G629" s="46"/>
      <c r="H629" s="46"/>
      <c r="I629" s="59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 spans="1:25" ht="16.5">
      <c r="A630" s="46"/>
      <c r="B630" s="46"/>
      <c r="C630" s="57"/>
      <c r="D630" s="46"/>
      <c r="E630" s="46"/>
      <c r="F630" s="58"/>
      <c r="G630" s="46"/>
      <c r="H630" s="46"/>
      <c r="I630" s="59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 spans="1:25" ht="16.5">
      <c r="A631" s="46"/>
      <c r="B631" s="46"/>
      <c r="C631" s="57"/>
      <c r="D631" s="46"/>
      <c r="E631" s="46"/>
      <c r="F631" s="58"/>
      <c r="G631" s="46"/>
      <c r="H631" s="46"/>
      <c r="I631" s="59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 spans="1:25" ht="16.5">
      <c r="A632" s="46"/>
      <c r="B632" s="46"/>
      <c r="C632" s="57"/>
      <c r="D632" s="46"/>
      <c r="E632" s="46"/>
      <c r="F632" s="58"/>
      <c r="G632" s="46"/>
      <c r="H632" s="46"/>
      <c r="I632" s="59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 spans="1:25" ht="16.5">
      <c r="A633" s="46"/>
      <c r="B633" s="46"/>
      <c r="C633" s="57"/>
      <c r="D633" s="46"/>
      <c r="E633" s="46"/>
      <c r="F633" s="58"/>
      <c r="G633" s="46"/>
      <c r="H633" s="46"/>
      <c r="I633" s="59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 spans="1:25" ht="16.5">
      <c r="A634" s="46"/>
      <c r="B634" s="46"/>
      <c r="C634" s="57"/>
      <c r="D634" s="46"/>
      <c r="E634" s="46"/>
      <c r="F634" s="58"/>
      <c r="G634" s="46"/>
      <c r="H634" s="46"/>
      <c r="I634" s="59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 spans="1:25" ht="16.5">
      <c r="A635" s="46"/>
      <c r="B635" s="46"/>
      <c r="C635" s="57"/>
      <c r="D635" s="46"/>
      <c r="E635" s="46"/>
      <c r="F635" s="58"/>
      <c r="G635" s="46"/>
      <c r="H635" s="46"/>
      <c r="I635" s="59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 spans="1:25" ht="16.5">
      <c r="A636" s="46"/>
      <c r="B636" s="46"/>
      <c r="C636" s="57"/>
      <c r="D636" s="46"/>
      <c r="E636" s="46"/>
      <c r="F636" s="58"/>
      <c r="G636" s="46"/>
      <c r="H636" s="46"/>
      <c r="I636" s="59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 spans="1:25" ht="16.5">
      <c r="A637" s="46"/>
      <c r="B637" s="46"/>
      <c r="C637" s="57"/>
      <c r="D637" s="46"/>
      <c r="E637" s="46"/>
      <c r="F637" s="58"/>
      <c r="G637" s="46"/>
      <c r="H637" s="46"/>
      <c r="I637" s="59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 spans="1:25" ht="16.5">
      <c r="A638" s="46"/>
      <c r="B638" s="46"/>
      <c r="C638" s="57"/>
      <c r="D638" s="46"/>
      <c r="E638" s="46"/>
      <c r="F638" s="58"/>
      <c r="G638" s="46"/>
      <c r="H638" s="46"/>
      <c r="I638" s="59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 spans="1:25" ht="16.5">
      <c r="A639" s="46"/>
      <c r="B639" s="46"/>
      <c r="C639" s="57"/>
      <c r="D639" s="46"/>
      <c r="E639" s="46"/>
      <c r="F639" s="58"/>
      <c r="G639" s="46"/>
      <c r="H639" s="46"/>
      <c r="I639" s="59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 spans="1:25" ht="16.5">
      <c r="A640" s="46"/>
      <c r="B640" s="46"/>
      <c r="C640" s="57"/>
      <c r="D640" s="46"/>
      <c r="E640" s="46"/>
      <c r="F640" s="58"/>
      <c r="G640" s="46"/>
      <c r="H640" s="46"/>
      <c r="I640" s="59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 spans="1:25" ht="16.5">
      <c r="A641" s="46"/>
      <c r="B641" s="46"/>
      <c r="C641" s="57"/>
      <c r="D641" s="46"/>
      <c r="E641" s="46"/>
      <c r="F641" s="58"/>
      <c r="G641" s="46"/>
      <c r="H641" s="46"/>
      <c r="I641" s="59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 spans="1:25" ht="16.5">
      <c r="A642" s="46"/>
      <c r="B642" s="46"/>
      <c r="C642" s="57"/>
      <c r="D642" s="46"/>
      <c r="E642" s="46"/>
      <c r="F642" s="58"/>
      <c r="G642" s="46"/>
      <c r="H642" s="46"/>
      <c r="I642" s="59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 spans="1:25" ht="16.5">
      <c r="A643" s="46"/>
      <c r="B643" s="46"/>
      <c r="C643" s="57"/>
      <c r="D643" s="46"/>
      <c r="E643" s="46"/>
      <c r="F643" s="58"/>
      <c r="G643" s="46"/>
      <c r="H643" s="46"/>
      <c r="I643" s="59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 spans="1:25" ht="16.5">
      <c r="A644" s="46"/>
      <c r="B644" s="46"/>
      <c r="C644" s="57"/>
      <c r="D644" s="46"/>
      <c r="E644" s="46"/>
      <c r="F644" s="58"/>
      <c r="G644" s="46"/>
      <c r="H644" s="46"/>
      <c r="I644" s="59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 spans="1:25" ht="16.5">
      <c r="A645" s="46"/>
      <c r="B645" s="46"/>
      <c r="C645" s="57"/>
      <c r="D645" s="46"/>
      <c r="E645" s="46"/>
      <c r="F645" s="58"/>
      <c r="G645" s="46"/>
      <c r="H645" s="46"/>
      <c r="I645" s="59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 spans="1:25" ht="16.5">
      <c r="A646" s="46"/>
      <c r="B646" s="46"/>
      <c r="C646" s="57"/>
      <c r="D646" s="46"/>
      <c r="E646" s="46"/>
      <c r="F646" s="58"/>
      <c r="G646" s="46"/>
      <c r="H646" s="46"/>
      <c r="I646" s="59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 spans="1:25" ht="16.5">
      <c r="A647" s="46"/>
      <c r="B647" s="46"/>
      <c r="C647" s="57"/>
      <c r="D647" s="46"/>
      <c r="E647" s="46"/>
      <c r="F647" s="58"/>
      <c r="G647" s="46"/>
      <c r="H647" s="46"/>
      <c r="I647" s="59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 spans="1:25" ht="16.5">
      <c r="A648" s="46"/>
      <c r="B648" s="46"/>
      <c r="C648" s="57"/>
      <c r="D648" s="46"/>
      <c r="E648" s="46"/>
      <c r="F648" s="58"/>
      <c r="G648" s="46"/>
      <c r="H648" s="46"/>
      <c r="I648" s="59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 spans="1:25" ht="16.5">
      <c r="A649" s="46"/>
      <c r="B649" s="46"/>
      <c r="C649" s="57"/>
      <c r="D649" s="46"/>
      <c r="E649" s="46"/>
      <c r="F649" s="58"/>
      <c r="G649" s="46"/>
      <c r="H649" s="46"/>
      <c r="I649" s="59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 spans="1:25" ht="16.5">
      <c r="A650" s="46"/>
      <c r="B650" s="46"/>
      <c r="C650" s="57"/>
      <c r="D650" s="46"/>
      <c r="E650" s="46"/>
      <c r="F650" s="58"/>
      <c r="G650" s="46"/>
      <c r="H650" s="46"/>
      <c r="I650" s="59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 spans="1:25" ht="16.5">
      <c r="A651" s="46"/>
      <c r="B651" s="46"/>
      <c r="C651" s="57"/>
      <c r="D651" s="46"/>
      <c r="E651" s="46"/>
      <c r="F651" s="58"/>
      <c r="G651" s="46"/>
      <c r="H651" s="46"/>
      <c r="I651" s="59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 spans="1:25" ht="16.5">
      <c r="A652" s="46"/>
      <c r="B652" s="46"/>
      <c r="C652" s="57"/>
      <c r="D652" s="46"/>
      <c r="E652" s="46"/>
      <c r="F652" s="58"/>
      <c r="G652" s="46"/>
      <c r="H652" s="46"/>
      <c r="I652" s="59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 spans="1:25" ht="16.5">
      <c r="A653" s="46"/>
      <c r="B653" s="46"/>
      <c r="C653" s="57"/>
      <c r="D653" s="46"/>
      <c r="E653" s="46"/>
      <c r="F653" s="58"/>
      <c r="G653" s="46"/>
      <c r="H653" s="46"/>
      <c r="I653" s="59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 spans="1:25" ht="16.5">
      <c r="A654" s="46"/>
      <c r="B654" s="46"/>
      <c r="C654" s="57"/>
      <c r="D654" s="46"/>
      <c r="E654" s="46"/>
      <c r="F654" s="58"/>
      <c r="G654" s="46"/>
      <c r="H654" s="46"/>
      <c r="I654" s="59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 spans="1:25" ht="16.5">
      <c r="A655" s="46"/>
      <c r="B655" s="46"/>
      <c r="C655" s="57"/>
      <c r="D655" s="46"/>
      <c r="E655" s="46"/>
      <c r="F655" s="58"/>
      <c r="G655" s="46"/>
      <c r="H655" s="46"/>
      <c r="I655" s="59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 spans="1:25" ht="16.5">
      <c r="A656" s="46"/>
      <c r="B656" s="46"/>
      <c r="C656" s="57"/>
      <c r="D656" s="46"/>
      <c r="E656" s="46"/>
      <c r="F656" s="58"/>
      <c r="G656" s="46"/>
      <c r="H656" s="46"/>
      <c r="I656" s="59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 spans="1:25" ht="16.5">
      <c r="A657" s="46"/>
      <c r="B657" s="46"/>
      <c r="C657" s="57"/>
      <c r="D657" s="46"/>
      <c r="E657" s="46"/>
      <c r="F657" s="58"/>
      <c r="G657" s="46"/>
      <c r="H657" s="46"/>
      <c r="I657" s="59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 spans="1:25" ht="16.5">
      <c r="A658" s="46"/>
      <c r="B658" s="46"/>
      <c r="C658" s="57"/>
      <c r="D658" s="46"/>
      <c r="E658" s="46"/>
      <c r="F658" s="58"/>
      <c r="G658" s="46"/>
      <c r="H658" s="46"/>
      <c r="I658" s="59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 spans="1:25" ht="16.5">
      <c r="A659" s="46"/>
      <c r="B659" s="46"/>
      <c r="C659" s="57"/>
      <c r="D659" s="46"/>
      <c r="E659" s="46"/>
      <c r="F659" s="58"/>
      <c r="G659" s="46"/>
      <c r="H659" s="46"/>
      <c r="I659" s="59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 spans="1:25" ht="16.5">
      <c r="A660" s="46"/>
      <c r="B660" s="46"/>
      <c r="C660" s="57"/>
      <c r="D660" s="46"/>
      <c r="E660" s="46"/>
      <c r="F660" s="58"/>
      <c r="G660" s="46"/>
      <c r="H660" s="46"/>
      <c r="I660" s="59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 spans="1:25" ht="16.5">
      <c r="A661" s="46"/>
      <c r="B661" s="46"/>
      <c r="C661" s="57"/>
      <c r="D661" s="46"/>
      <c r="E661" s="46"/>
      <c r="F661" s="58"/>
      <c r="G661" s="46"/>
      <c r="H661" s="46"/>
      <c r="I661" s="59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 spans="1:25" ht="16.5">
      <c r="A662" s="46"/>
      <c r="B662" s="46"/>
      <c r="C662" s="57"/>
      <c r="D662" s="46"/>
      <c r="E662" s="46"/>
      <c r="F662" s="58"/>
      <c r="G662" s="46"/>
      <c r="H662" s="46"/>
      <c r="I662" s="59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 spans="1:25" ht="16.5">
      <c r="A663" s="46"/>
      <c r="B663" s="46"/>
      <c r="C663" s="57"/>
      <c r="D663" s="46"/>
      <c r="E663" s="46"/>
      <c r="F663" s="58"/>
      <c r="G663" s="46"/>
      <c r="H663" s="46"/>
      <c r="I663" s="59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 spans="1:25" ht="16.5">
      <c r="A664" s="46"/>
      <c r="B664" s="46"/>
      <c r="C664" s="57"/>
      <c r="D664" s="46"/>
      <c r="E664" s="46"/>
      <c r="F664" s="58"/>
      <c r="G664" s="46"/>
      <c r="H664" s="46"/>
      <c r="I664" s="59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 spans="1:25" ht="16.5">
      <c r="A665" s="46"/>
      <c r="B665" s="46"/>
      <c r="C665" s="57"/>
      <c r="D665" s="46"/>
      <c r="E665" s="46"/>
      <c r="F665" s="58"/>
      <c r="G665" s="46"/>
      <c r="H665" s="46"/>
      <c r="I665" s="59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 spans="1:25" ht="16.5">
      <c r="A666" s="46"/>
      <c r="B666" s="46"/>
      <c r="C666" s="57"/>
      <c r="D666" s="46"/>
      <c r="E666" s="46"/>
      <c r="F666" s="58"/>
      <c r="G666" s="46"/>
      <c r="H666" s="46"/>
      <c r="I666" s="59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 spans="1:25" ht="16.5">
      <c r="A667" s="46"/>
      <c r="B667" s="46"/>
      <c r="C667" s="57"/>
      <c r="D667" s="46"/>
      <c r="E667" s="46"/>
      <c r="F667" s="58"/>
      <c r="G667" s="46"/>
      <c r="H667" s="46"/>
      <c r="I667" s="59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 spans="1:25" ht="16.5">
      <c r="A668" s="46"/>
      <c r="B668" s="46"/>
      <c r="C668" s="57"/>
      <c r="D668" s="46"/>
      <c r="E668" s="46"/>
      <c r="F668" s="58"/>
      <c r="G668" s="46"/>
      <c r="H668" s="46"/>
      <c r="I668" s="59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 spans="1:25" ht="16.5">
      <c r="A669" s="46"/>
      <c r="B669" s="46"/>
      <c r="C669" s="57"/>
      <c r="D669" s="46"/>
      <c r="E669" s="46"/>
      <c r="F669" s="58"/>
      <c r="G669" s="46"/>
      <c r="H669" s="46"/>
      <c r="I669" s="59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 spans="1:25" ht="16.5">
      <c r="A670" s="46"/>
      <c r="B670" s="46"/>
      <c r="C670" s="57"/>
      <c r="D670" s="46"/>
      <c r="E670" s="46"/>
      <c r="F670" s="58"/>
      <c r="G670" s="46"/>
      <c r="H670" s="46"/>
      <c r="I670" s="59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 spans="1:25" ht="16.5">
      <c r="A671" s="46"/>
      <c r="B671" s="46"/>
      <c r="C671" s="57"/>
      <c r="D671" s="46"/>
      <c r="E671" s="46"/>
      <c r="F671" s="58"/>
      <c r="G671" s="46"/>
      <c r="H671" s="46"/>
      <c r="I671" s="59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 spans="1:25" ht="16.5">
      <c r="A672" s="46"/>
      <c r="B672" s="46"/>
      <c r="C672" s="57"/>
      <c r="D672" s="46"/>
      <c r="E672" s="46"/>
      <c r="F672" s="58"/>
      <c r="G672" s="46"/>
      <c r="H672" s="46"/>
      <c r="I672" s="59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 spans="1:25" ht="16.5">
      <c r="A673" s="46"/>
      <c r="B673" s="46"/>
      <c r="C673" s="57"/>
      <c r="D673" s="46"/>
      <c r="E673" s="46"/>
      <c r="F673" s="58"/>
      <c r="G673" s="46"/>
      <c r="H673" s="46"/>
      <c r="I673" s="59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 spans="1:25" ht="16.5">
      <c r="A674" s="46"/>
      <c r="B674" s="46"/>
      <c r="C674" s="57"/>
      <c r="D674" s="46"/>
      <c r="E674" s="46"/>
      <c r="F674" s="58"/>
      <c r="G674" s="46"/>
      <c r="H674" s="46"/>
      <c r="I674" s="59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 spans="1:25" ht="16.5">
      <c r="A675" s="46"/>
      <c r="B675" s="46"/>
      <c r="C675" s="57"/>
      <c r="D675" s="46"/>
      <c r="E675" s="46"/>
      <c r="F675" s="58"/>
      <c r="G675" s="46"/>
      <c r="H675" s="46"/>
      <c r="I675" s="59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 spans="1:25" ht="16.5">
      <c r="A676" s="46"/>
      <c r="B676" s="46"/>
      <c r="C676" s="57"/>
      <c r="D676" s="46"/>
      <c r="E676" s="46"/>
      <c r="F676" s="58"/>
      <c r="G676" s="46"/>
      <c r="H676" s="46"/>
      <c r="I676" s="59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 spans="1:25" ht="16.5">
      <c r="A677" s="46"/>
      <c r="B677" s="46"/>
      <c r="C677" s="57"/>
      <c r="D677" s="46"/>
      <c r="E677" s="46"/>
      <c r="F677" s="58"/>
      <c r="G677" s="46"/>
      <c r="H677" s="46"/>
      <c r="I677" s="59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 spans="1:25" ht="16.5">
      <c r="A678" s="46"/>
      <c r="B678" s="46"/>
      <c r="C678" s="57"/>
      <c r="D678" s="46"/>
      <c r="E678" s="46"/>
      <c r="F678" s="58"/>
      <c r="G678" s="46"/>
      <c r="H678" s="46"/>
      <c r="I678" s="59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 spans="1:25" ht="16.5">
      <c r="A679" s="46"/>
      <c r="B679" s="46"/>
      <c r="C679" s="57"/>
      <c r="D679" s="46"/>
      <c r="E679" s="46"/>
      <c r="F679" s="58"/>
      <c r="G679" s="46"/>
      <c r="H679" s="46"/>
      <c r="I679" s="59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 spans="1:25" ht="16.5">
      <c r="A680" s="46"/>
      <c r="B680" s="46"/>
      <c r="C680" s="57"/>
      <c r="D680" s="46"/>
      <c r="E680" s="46"/>
      <c r="F680" s="58"/>
      <c r="G680" s="46"/>
      <c r="H680" s="46"/>
      <c r="I680" s="59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 spans="1:25" ht="16.5">
      <c r="A681" s="46"/>
      <c r="B681" s="46"/>
      <c r="C681" s="57"/>
      <c r="D681" s="46"/>
      <c r="E681" s="46"/>
      <c r="F681" s="58"/>
      <c r="G681" s="46"/>
      <c r="H681" s="46"/>
      <c r="I681" s="59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 spans="1:25" ht="16.5">
      <c r="A682" s="46"/>
      <c r="B682" s="46"/>
      <c r="C682" s="57"/>
      <c r="D682" s="46"/>
      <c r="E682" s="46"/>
      <c r="F682" s="58"/>
      <c r="G682" s="46"/>
      <c r="H682" s="46"/>
      <c r="I682" s="59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 spans="1:25" ht="16.5">
      <c r="A683" s="46"/>
      <c r="B683" s="46"/>
      <c r="C683" s="57"/>
      <c r="D683" s="46"/>
      <c r="E683" s="46"/>
      <c r="F683" s="58"/>
      <c r="G683" s="46"/>
      <c r="H683" s="46"/>
      <c r="I683" s="59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 spans="1:25" ht="16.5">
      <c r="A684" s="46"/>
      <c r="B684" s="46"/>
      <c r="C684" s="57"/>
      <c r="D684" s="46"/>
      <c r="E684" s="46"/>
      <c r="F684" s="58"/>
      <c r="G684" s="46"/>
      <c r="H684" s="46"/>
      <c r="I684" s="59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 spans="1:25" ht="16.5">
      <c r="A685" s="46"/>
      <c r="B685" s="46"/>
      <c r="C685" s="57"/>
      <c r="D685" s="46"/>
      <c r="E685" s="46"/>
      <c r="F685" s="58"/>
      <c r="G685" s="46"/>
      <c r="H685" s="46"/>
      <c r="I685" s="59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 spans="1:25" ht="16.5">
      <c r="A686" s="46"/>
      <c r="B686" s="46"/>
      <c r="C686" s="57"/>
      <c r="D686" s="46"/>
      <c r="E686" s="46"/>
      <c r="F686" s="58"/>
      <c r="G686" s="46"/>
      <c r="H686" s="46"/>
      <c r="I686" s="59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 spans="1:25" ht="16.5">
      <c r="A687" s="46"/>
      <c r="B687" s="46"/>
      <c r="C687" s="57"/>
      <c r="D687" s="46"/>
      <c r="E687" s="46"/>
      <c r="F687" s="58"/>
      <c r="G687" s="46"/>
      <c r="H687" s="46"/>
      <c r="I687" s="59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 spans="1:25" ht="16.5">
      <c r="A688" s="46"/>
      <c r="B688" s="46"/>
      <c r="C688" s="57"/>
      <c r="D688" s="46"/>
      <c r="E688" s="46"/>
      <c r="F688" s="58"/>
      <c r="G688" s="46"/>
      <c r="H688" s="46"/>
      <c r="I688" s="59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 spans="1:25" ht="16.5">
      <c r="A689" s="46"/>
      <c r="B689" s="46"/>
      <c r="C689" s="57"/>
      <c r="D689" s="46"/>
      <c r="E689" s="46"/>
      <c r="F689" s="58"/>
      <c r="G689" s="46"/>
      <c r="H689" s="46"/>
      <c r="I689" s="59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 spans="1:25" ht="16.5">
      <c r="A690" s="46"/>
      <c r="B690" s="46"/>
      <c r="C690" s="57"/>
      <c r="D690" s="46"/>
      <c r="E690" s="46"/>
      <c r="F690" s="58"/>
      <c r="G690" s="46"/>
      <c r="H690" s="46"/>
      <c r="I690" s="59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 spans="1:25" ht="16.5">
      <c r="A691" s="46"/>
      <c r="B691" s="46"/>
      <c r="C691" s="57"/>
      <c r="D691" s="46"/>
      <c r="E691" s="46"/>
      <c r="F691" s="58"/>
      <c r="G691" s="46"/>
      <c r="H691" s="46"/>
      <c r="I691" s="59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 spans="1:25" ht="16.5">
      <c r="A692" s="46"/>
      <c r="B692" s="46"/>
      <c r="C692" s="57"/>
      <c r="D692" s="46"/>
      <c r="E692" s="46"/>
      <c r="F692" s="58"/>
      <c r="G692" s="46"/>
      <c r="H692" s="46"/>
      <c r="I692" s="59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 spans="1:25" ht="16.5">
      <c r="A693" s="46"/>
      <c r="B693" s="46"/>
      <c r="C693" s="57"/>
      <c r="D693" s="46"/>
      <c r="E693" s="46"/>
      <c r="F693" s="58"/>
      <c r="G693" s="46"/>
      <c r="H693" s="46"/>
      <c r="I693" s="59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 spans="1:25" ht="16.5">
      <c r="A694" s="46"/>
      <c r="B694" s="46"/>
      <c r="C694" s="57"/>
      <c r="D694" s="46"/>
      <c r="E694" s="46"/>
      <c r="F694" s="58"/>
      <c r="G694" s="46"/>
      <c r="H694" s="46"/>
      <c r="I694" s="59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 spans="1:25" ht="16.5">
      <c r="A695" s="46"/>
      <c r="B695" s="46"/>
      <c r="C695" s="57"/>
      <c r="D695" s="46"/>
      <c r="E695" s="46"/>
      <c r="F695" s="58"/>
      <c r="G695" s="46"/>
      <c r="H695" s="46"/>
      <c r="I695" s="59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 spans="1:25" ht="16.5">
      <c r="A696" s="46"/>
      <c r="B696" s="46"/>
      <c r="C696" s="57"/>
      <c r="D696" s="46"/>
      <c r="E696" s="46"/>
      <c r="F696" s="58"/>
      <c r="G696" s="46"/>
      <c r="H696" s="46"/>
      <c r="I696" s="59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 spans="1:25" ht="16.5">
      <c r="A697" s="46"/>
      <c r="B697" s="46"/>
      <c r="C697" s="57"/>
      <c r="D697" s="46"/>
      <c r="E697" s="46"/>
      <c r="F697" s="58"/>
      <c r="G697" s="46"/>
      <c r="H697" s="46"/>
      <c r="I697" s="59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 spans="1:25" ht="16.5">
      <c r="A698" s="46"/>
      <c r="B698" s="46"/>
      <c r="C698" s="57"/>
      <c r="D698" s="46"/>
      <c r="E698" s="46"/>
      <c r="F698" s="58"/>
      <c r="G698" s="46"/>
      <c r="H698" s="46"/>
      <c r="I698" s="59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 spans="1:25" ht="16.5">
      <c r="A699" s="46"/>
      <c r="B699" s="46"/>
      <c r="C699" s="57"/>
      <c r="D699" s="46"/>
      <c r="E699" s="46"/>
      <c r="F699" s="58"/>
      <c r="G699" s="46"/>
      <c r="H699" s="46"/>
      <c r="I699" s="59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 spans="1:25" ht="16.5">
      <c r="A700" s="46"/>
      <c r="B700" s="46"/>
      <c r="C700" s="57"/>
      <c r="D700" s="46"/>
      <c r="E700" s="46"/>
      <c r="F700" s="58"/>
      <c r="G700" s="46"/>
      <c r="H700" s="46"/>
      <c r="I700" s="59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 spans="1:25" ht="16.5">
      <c r="A701" s="46"/>
      <c r="B701" s="46"/>
      <c r="C701" s="57"/>
      <c r="D701" s="46"/>
      <c r="E701" s="46"/>
      <c r="F701" s="58"/>
      <c r="G701" s="46"/>
      <c r="H701" s="46"/>
      <c r="I701" s="59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 spans="1:25" ht="16.5">
      <c r="A702" s="46"/>
      <c r="B702" s="46"/>
      <c r="C702" s="57"/>
      <c r="D702" s="46"/>
      <c r="E702" s="46"/>
      <c r="F702" s="58"/>
      <c r="G702" s="46"/>
      <c r="H702" s="46"/>
      <c r="I702" s="59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 spans="1:25" ht="16.5">
      <c r="A703" s="46"/>
      <c r="B703" s="46"/>
      <c r="C703" s="57"/>
      <c r="D703" s="46"/>
      <c r="E703" s="46"/>
      <c r="F703" s="58"/>
      <c r="G703" s="46"/>
      <c r="H703" s="46"/>
      <c r="I703" s="59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 spans="1:25" ht="16.5">
      <c r="A704" s="46"/>
      <c r="B704" s="46"/>
      <c r="C704" s="57"/>
      <c r="D704" s="46"/>
      <c r="E704" s="46"/>
      <c r="F704" s="58"/>
      <c r="G704" s="46"/>
      <c r="H704" s="46"/>
      <c r="I704" s="59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 spans="1:25" ht="16.5">
      <c r="A705" s="46"/>
      <c r="B705" s="46"/>
      <c r="C705" s="57"/>
      <c r="D705" s="46"/>
      <c r="E705" s="46"/>
      <c r="F705" s="58"/>
      <c r="G705" s="46"/>
      <c r="H705" s="46"/>
      <c r="I705" s="59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 spans="1:25" ht="16.5">
      <c r="A706" s="46"/>
      <c r="B706" s="46"/>
      <c r="C706" s="57"/>
      <c r="D706" s="46"/>
      <c r="E706" s="46"/>
      <c r="F706" s="58"/>
      <c r="G706" s="46"/>
      <c r="H706" s="46"/>
      <c r="I706" s="59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 spans="1:25" ht="16.5">
      <c r="A707" s="46"/>
      <c r="B707" s="46"/>
      <c r="C707" s="57"/>
      <c r="D707" s="46"/>
      <c r="E707" s="46"/>
      <c r="F707" s="58"/>
      <c r="G707" s="46"/>
      <c r="H707" s="46"/>
      <c r="I707" s="59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 spans="1:25" ht="16.5">
      <c r="A708" s="46"/>
      <c r="B708" s="46"/>
      <c r="C708" s="57"/>
      <c r="D708" s="46"/>
      <c r="E708" s="46"/>
      <c r="F708" s="58"/>
      <c r="G708" s="46"/>
      <c r="H708" s="46"/>
      <c r="I708" s="59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 spans="1:25" ht="16.5">
      <c r="A709" s="46"/>
      <c r="B709" s="46"/>
      <c r="C709" s="57"/>
      <c r="D709" s="46"/>
      <c r="E709" s="46"/>
      <c r="F709" s="58"/>
      <c r="G709" s="46"/>
      <c r="H709" s="46"/>
      <c r="I709" s="59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 spans="1:25" ht="16.5">
      <c r="A710" s="46"/>
      <c r="B710" s="46"/>
      <c r="C710" s="57"/>
      <c r="D710" s="46"/>
      <c r="E710" s="46"/>
      <c r="F710" s="58"/>
      <c r="G710" s="46"/>
      <c r="H710" s="46"/>
      <c r="I710" s="59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 spans="1:25" ht="16.5">
      <c r="A711" s="46"/>
      <c r="B711" s="46"/>
      <c r="C711" s="57"/>
      <c r="D711" s="46"/>
      <c r="E711" s="46"/>
      <c r="F711" s="58"/>
      <c r="G711" s="46"/>
      <c r="H711" s="46"/>
      <c r="I711" s="59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 spans="1:25" ht="16.5">
      <c r="A712" s="46"/>
      <c r="B712" s="46"/>
      <c r="C712" s="57"/>
      <c r="D712" s="46"/>
      <c r="E712" s="46"/>
      <c r="F712" s="58"/>
      <c r="G712" s="46"/>
      <c r="H712" s="46"/>
      <c r="I712" s="59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 spans="1:25" ht="16.5">
      <c r="A713" s="46"/>
      <c r="B713" s="46"/>
      <c r="C713" s="57"/>
      <c r="D713" s="46"/>
      <c r="E713" s="46"/>
      <c r="F713" s="58"/>
      <c r="G713" s="46"/>
      <c r="H713" s="46"/>
      <c r="I713" s="59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 spans="1:25" ht="16.5">
      <c r="A714" s="46"/>
      <c r="B714" s="46"/>
      <c r="C714" s="57"/>
      <c r="D714" s="46"/>
      <c r="E714" s="46"/>
      <c r="F714" s="58"/>
      <c r="G714" s="46"/>
      <c r="H714" s="46"/>
      <c r="I714" s="59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 spans="1:25" ht="16.5">
      <c r="A715" s="46"/>
      <c r="B715" s="46"/>
      <c r="C715" s="57"/>
      <c r="D715" s="46"/>
      <c r="E715" s="46"/>
      <c r="F715" s="58"/>
      <c r="G715" s="46"/>
      <c r="H715" s="46"/>
      <c r="I715" s="59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 spans="1:25" ht="16.5">
      <c r="A716" s="46"/>
      <c r="B716" s="46"/>
      <c r="C716" s="57"/>
      <c r="D716" s="46"/>
      <c r="E716" s="46"/>
      <c r="F716" s="58"/>
      <c r="G716" s="46"/>
      <c r="H716" s="46"/>
      <c r="I716" s="59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 spans="1:25" ht="16.5">
      <c r="A717" s="46"/>
      <c r="B717" s="46"/>
      <c r="C717" s="57"/>
      <c r="D717" s="46"/>
      <c r="E717" s="46"/>
      <c r="F717" s="58"/>
      <c r="G717" s="46"/>
      <c r="H717" s="46"/>
      <c r="I717" s="59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 spans="1:25" ht="16.5">
      <c r="A718" s="46"/>
      <c r="B718" s="46"/>
      <c r="C718" s="57"/>
      <c r="D718" s="46"/>
      <c r="E718" s="46"/>
      <c r="F718" s="58"/>
      <c r="G718" s="46"/>
      <c r="H718" s="46"/>
      <c r="I718" s="59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 spans="1:25" ht="16.5">
      <c r="A719" s="46"/>
      <c r="B719" s="46"/>
      <c r="C719" s="57"/>
      <c r="D719" s="46"/>
      <c r="E719" s="46"/>
      <c r="F719" s="58"/>
      <c r="G719" s="46"/>
      <c r="H719" s="46"/>
      <c r="I719" s="59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 spans="1:25" ht="16.5">
      <c r="A720" s="46"/>
      <c r="B720" s="46"/>
      <c r="C720" s="57"/>
      <c r="D720" s="46"/>
      <c r="E720" s="46"/>
      <c r="F720" s="58"/>
      <c r="G720" s="46"/>
      <c r="H720" s="46"/>
      <c r="I720" s="59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 spans="1:25" ht="16.5">
      <c r="A721" s="46"/>
      <c r="B721" s="46"/>
      <c r="C721" s="57"/>
      <c r="D721" s="46"/>
      <c r="E721" s="46"/>
      <c r="F721" s="58"/>
      <c r="G721" s="46"/>
      <c r="H721" s="46"/>
      <c r="I721" s="59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 spans="1:25" ht="16.5">
      <c r="A722" s="46"/>
      <c r="B722" s="46"/>
      <c r="C722" s="57"/>
      <c r="D722" s="46"/>
      <c r="E722" s="46"/>
      <c r="F722" s="58"/>
      <c r="G722" s="46"/>
      <c r="H722" s="46"/>
      <c r="I722" s="59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 spans="1:25" ht="16.5">
      <c r="A723" s="46"/>
      <c r="B723" s="46"/>
      <c r="C723" s="57"/>
      <c r="D723" s="46"/>
      <c r="E723" s="46"/>
      <c r="F723" s="58"/>
      <c r="G723" s="46"/>
      <c r="H723" s="46"/>
      <c r="I723" s="59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 spans="1:25" ht="16.5">
      <c r="A724" s="46"/>
      <c r="B724" s="46"/>
      <c r="C724" s="57"/>
      <c r="D724" s="46"/>
      <c r="E724" s="46"/>
      <c r="F724" s="58"/>
      <c r="G724" s="46"/>
      <c r="H724" s="46"/>
      <c r="I724" s="59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 spans="1:25" ht="16.5">
      <c r="A725" s="46"/>
      <c r="B725" s="46"/>
      <c r="C725" s="57"/>
      <c r="D725" s="46"/>
      <c r="E725" s="46"/>
      <c r="F725" s="58"/>
      <c r="G725" s="46"/>
      <c r="H725" s="46"/>
      <c r="I725" s="59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 spans="1:25" ht="16.5">
      <c r="A726" s="46"/>
      <c r="B726" s="46"/>
      <c r="C726" s="57"/>
      <c r="D726" s="46"/>
      <c r="E726" s="46"/>
      <c r="F726" s="58"/>
      <c r="G726" s="46"/>
      <c r="H726" s="46"/>
      <c r="I726" s="59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 spans="1:25" ht="16.5">
      <c r="A727" s="46"/>
      <c r="B727" s="46"/>
      <c r="C727" s="57"/>
      <c r="D727" s="46"/>
      <c r="E727" s="46"/>
      <c r="F727" s="58"/>
      <c r="G727" s="46"/>
      <c r="H727" s="46"/>
      <c r="I727" s="59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 spans="1:25" ht="16.5">
      <c r="A728" s="46"/>
      <c r="B728" s="46"/>
      <c r="C728" s="57"/>
      <c r="D728" s="46"/>
      <c r="E728" s="46"/>
      <c r="F728" s="58"/>
      <c r="G728" s="46"/>
      <c r="H728" s="46"/>
      <c r="I728" s="59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 spans="1:25" ht="16.5">
      <c r="A729" s="46"/>
      <c r="B729" s="46"/>
      <c r="C729" s="57"/>
      <c r="D729" s="46"/>
      <c r="E729" s="46"/>
      <c r="F729" s="58"/>
      <c r="G729" s="46"/>
      <c r="H729" s="46"/>
      <c r="I729" s="59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 spans="1:25" ht="16.5">
      <c r="A730" s="46"/>
      <c r="B730" s="46"/>
      <c r="C730" s="57"/>
      <c r="D730" s="46"/>
      <c r="E730" s="46"/>
      <c r="F730" s="58"/>
      <c r="G730" s="46"/>
      <c r="H730" s="46"/>
      <c r="I730" s="59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 spans="1:25" ht="16.5">
      <c r="A731" s="46"/>
      <c r="B731" s="46"/>
      <c r="C731" s="57"/>
      <c r="D731" s="46"/>
      <c r="E731" s="46"/>
      <c r="F731" s="58"/>
      <c r="G731" s="46"/>
      <c r="H731" s="46"/>
      <c r="I731" s="59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 spans="1:25" ht="16.5">
      <c r="A732" s="46"/>
      <c r="B732" s="46"/>
      <c r="C732" s="57"/>
      <c r="D732" s="46"/>
      <c r="E732" s="46"/>
      <c r="F732" s="58"/>
      <c r="G732" s="46"/>
      <c r="H732" s="46"/>
      <c r="I732" s="59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 spans="1:25" ht="16.5">
      <c r="A733" s="46"/>
      <c r="B733" s="46"/>
      <c r="C733" s="57"/>
      <c r="D733" s="46"/>
      <c r="E733" s="46"/>
      <c r="F733" s="58"/>
      <c r="G733" s="46"/>
      <c r="H733" s="46"/>
      <c r="I733" s="59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 spans="1:25" ht="16.5">
      <c r="A734" s="46"/>
      <c r="B734" s="46"/>
      <c r="C734" s="57"/>
      <c r="D734" s="46"/>
      <c r="E734" s="46"/>
      <c r="F734" s="58"/>
      <c r="G734" s="46"/>
      <c r="H734" s="46"/>
      <c r="I734" s="59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 spans="1:25" ht="16.5">
      <c r="A735" s="46"/>
      <c r="B735" s="46"/>
      <c r="C735" s="57"/>
      <c r="D735" s="46"/>
      <c r="E735" s="46"/>
      <c r="F735" s="58"/>
      <c r="G735" s="46"/>
      <c r="H735" s="46"/>
      <c r="I735" s="59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 spans="1:25" ht="16.5">
      <c r="A736" s="46"/>
      <c r="B736" s="46"/>
      <c r="C736" s="57"/>
      <c r="D736" s="46"/>
      <c r="E736" s="46"/>
      <c r="F736" s="58"/>
      <c r="G736" s="46"/>
      <c r="H736" s="46"/>
      <c r="I736" s="59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 spans="1:25" ht="16.5">
      <c r="A737" s="46"/>
      <c r="B737" s="46"/>
      <c r="C737" s="57"/>
      <c r="D737" s="46"/>
      <c r="E737" s="46"/>
      <c r="F737" s="58"/>
      <c r="G737" s="46"/>
      <c r="H737" s="46"/>
      <c r="I737" s="59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 spans="1:25" ht="16.5">
      <c r="A738" s="46"/>
      <c r="B738" s="46"/>
      <c r="C738" s="57"/>
      <c r="D738" s="46"/>
      <c r="E738" s="46"/>
      <c r="F738" s="58"/>
      <c r="G738" s="46"/>
      <c r="H738" s="46"/>
      <c r="I738" s="59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 spans="1:25" ht="16.5">
      <c r="A739" s="46"/>
      <c r="B739" s="46"/>
      <c r="C739" s="57"/>
      <c r="D739" s="46"/>
      <c r="E739" s="46"/>
      <c r="F739" s="58"/>
      <c r="G739" s="46"/>
      <c r="H739" s="46"/>
      <c r="I739" s="59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 spans="1:25" ht="16.5">
      <c r="A740" s="46"/>
      <c r="B740" s="46"/>
      <c r="C740" s="57"/>
      <c r="D740" s="46"/>
      <c r="E740" s="46"/>
      <c r="F740" s="58"/>
      <c r="G740" s="46"/>
      <c r="H740" s="46"/>
      <c r="I740" s="59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 spans="1:25" ht="16.5">
      <c r="A741" s="46"/>
      <c r="B741" s="46"/>
      <c r="C741" s="57"/>
      <c r="D741" s="46"/>
      <c r="E741" s="46"/>
      <c r="F741" s="58"/>
      <c r="G741" s="46"/>
      <c r="H741" s="46"/>
      <c r="I741" s="59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 spans="1:25" ht="16.5">
      <c r="A742" s="46"/>
      <c r="B742" s="46"/>
      <c r="C742" s="57"/>
      <c r="D742" s="46"/>
      <c r="E742" s="46"/>
      <c r="F742" s="58"/>
      <c r="G742" s="46"/>
      <c r="H742" s="46"/>
      <c r="I742" s="59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 spans="1:25" ht="16.5">
      <c r="A743" s="46"/>
      <c r="B743" s="46"/>
      <c r="C743" s="57"/>
      <c r="D743" s="46"/>
      <c r="E743" s="46"/>
      <c r="F743" s="58"/>
      <c r="G743" s="46"/>
      <c r="H743" s="46"/>
      <c r="I743" s="59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 spans="1:25" ht="16.5">
      <c r="A744" s="46"/>
      <c r="B744" s="46"/>
      <c r="C744" s="57"/>
      <c r="D744" s="46"/>
      <c r="E744" s="46"/>
      <c r="F744" s="58"/>
      <c r="G744" s="46"/>
      <c r="H744" s="46"/>
      <c r="I744" s="59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 spans="1:25" ht="16.5">
      <c r="A745" s="46"/>
      <c r="B745" s="46"/>
      <c r="C745" s="57"/>
      <c r="D745" s="46"/>
      <c r="E745" s="46"/>
      <c r="F745" s="58"/>
      <c r="G745" s="46"/>
      <c r="H745" s="46"/>
      <c r="I745" s="59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 spans="1:25" ht="16.5">
      <c r="A746" s="46"/>
      <c r="B746" s="46"/>
      <c r="C746" s="57"/>
      <c r="D746" s="46"/>
      <c r="E746" s="46"/>
      <c r="F746" s="58"/>
      <c r="G746" s="46"/>
      <c r="H746" s="46"/>
      <c r="I746" s="59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 spans="1:25" ht="16.5">
      <c r="A747" s="46"/>
      <c r="B747" s="46"/>
      <c r="C747" s="57"/>
      <c r="D747" s="46"/>
      <c r="E747" s="46"/>
      <c r="F747" s="58"/>
      <c r="G747" s="46"/>
      <c r="H747" s="46"/>
      <c r="I747" s="59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 spans="1:25" ht="16.5">
      <c r="A748" s="46"/>
      <c r="B748" s="46"/>
      <c r="C748" s="57"/>
      <c r="D748" s="46"/>
      <c r="E748" s="46"/>
      <c r="F748" s="58"/>
      <c r="G748" s="46"/>
      <c r="H748" s="46"/>
      <c r="I748" s="59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 spans="1:25" ht="16.5">
      <c r="A749" s="46"/>
      <c r="B749" s="46"/>
      <c r="C749" s="57"/>
      <c r="D749" s="46"/>
      <c r="E749" s="46"/>
      <c r="F749" s="58"/>
      <c r="G749" s="46"/>
      <c r="H749" s="46"/>
      <c r="I749" s="59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 spans="1:25" ht="16.5">
      <c r="A750" s="46"/>
      <c r="B750" s="46"/>
      <c r="C750" s="57"/>
      <c r="D750" s="46"/>
      <c r="E750" s="46"/>
      <c r="F750" s="58"/>
      <c r="G750" s="46"/>
      <c r="H750" s="46"/>
      <c r="I750" s="59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 spans="1:25" ht="16.5">
      <c r="A751" s="46"/>
      <c r="B751" s="46"/>
      <c r="C751" s="57"/>
      <c r="D751" s="46"/>
      <c r="E751" s="46"/>
      <c r="F751" s="58"/>
      <c r="G751" s="46"/>
      <c r="H751" s="46"/>
      <c r="I751" s="59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 spans="1:25" ht="16.5">
      <c r="A752" s="46"/>
      <c r="B752" s="46"/>
      <c r="C752" s="57"/>
      <c r="D752" s="46"/>
      <c r="E752" s="46"/>
      <c r="F752" s="58"/>
      <c r="G752" s="46"/>
      <c r="H752" s="46"/>
      <c r="I752" s="59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 spans="1:25" ht="16.5">
      <c r="A753" s="46"/>
      <c r="B753" s="46"/>
      <c r="C753" s="57"/>
      <c r="D753" s="46"/>
      <c r="E753" s="46"/>
      <c r="F753" s="58"/>
      <c r="G753" s="46"/>
      <c r="H753" s="46"/>
      <c r="I753" s="59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 spans="1:25" ht="16.5">
      <c r="A754" s="46"/>
      <c r="B754" s="46"/>
      <c r="C754" s="57"/>
      <c r="D754" s="46"/>
      <c r="E754" s="46"/>
      <c r="F754" s="58"/>
      <c r="G754" s="46"/>
      <c r="H754" s="46"/>
      <c r="I754" s="59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 spans="1:25" ht="16.5">
      <c r="A755" s="46"/>
      <c r="B755" s="46"/>
      <c r="C755" s="57"/>
      <c r="D755" s="46"/>
      <c r="E755" s="46"/>
      <c r="F755" s="58"/>
      <c r="G755" s="46"/>
      <c r="H755" s="46"/>
      <c r="I755" s="59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 spans="1:25" ht="16.5">
      <c r="A756" s="46"/>
      <c r="B756" s="46"/>
      <c r="C756" s="57"/>
      <c r="D756" s="46"/>
      <c r="E756" s="46"/>
      <c r="F756" s="58"/>
      <c r="G756" s="46"/>
      <c r="H756" s="46"/>
      <c r="I756" s="59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 spans="1:25" ht="16.5">
      <c r="A757" s="46"/>
      <c r="B757" s="46"/>
      <c r="C757" s="57"/>
      <c r="D757" s="46"/>
      <c r="E757" s="46"/>
      <c r="F757" s="58"/>
      <c r="G757" s="46"/>
      <c r="H757" s="46"/>
      <c r="I757" s="59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 spans="1:25" ht="16.5">
      <c r="A758" s="46"/>
      <c r="B758" s="46"/>
      <c r="C758" s="57"/>
      <c r="D758" s="46"/>
      <c r="E758" s="46"/>
      <c r="F758" s="58"/>
      <c r="G758" s="46"/>
      <c r="H758" s="46"/>
      <c r="I758" s="59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 spans="1:25" ht="16.5">
      <c r="A759" s="46"/>
      <c r="B759" s="46"/>
      <c r="C759" s="57"/>
      <c r="D759" s="46"/>
      <c r="E759" s="46"/>
      <c r="F759" s="58"/>
      <c r="G759" s="46"/>
      <c r="H759" s="46"/>
      <c r="I759" s="59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 spans="1:25" ht="16.5">
      <c r="A760" s="46"/>
      <c r="B760" s="46"/>
      <c r="C760" s="57"/>
      <c r="D760" s="46"/>
      <c r="E760" s="46"/>
      <c r="F760" s="58"/>
      <c r="G760" s="46"/>
      <c r="H760" s="46"/>
      <c r="I760" s="59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 spans="1:25" ht="16.5">
      <c r="A761" s="46"/>
      <c r="B761" s="46"/>
      <c r="C761" s="57"/>
      <c r="D761" s="46"/>
      <c r="E761" s="46"/>
      <c r="F761" s="58"/>
      <c r="G761" s="46"/>
      <c r="H761" s="46"/>
      <c r="I761" s="59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 spans="1:25" ht="16.5">
      <c r="A762" s="46"/>
      <c r="B762" s="46"/>
      <c r="C762" s="57"/>
      <c r="D762" s="46"/>
      <c r="E762" s="46"/>
      <c r="F762" s="58"/>
      <c r="G762" s="46"/>
      <c r="H762" s="46"/>
      <c r="I762" s="59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 spans="1:25" ht="16.5">
      <c r="A763" s="46"/>
      <c r="B763" s="46"/>
      <c r="C763" s="57"/>
      <c r="D763" s="46"/>
      <c r="E763" s="46"/>
      <c r="F763" s="58"/>
      <c r="G763" s="46"/>
      <c r="H763" s="46"/>
      <c r="I763" s="59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 spans="1:25" ht="16.5">
      <c r="A764" s="46"/>
      <c r="B764" s="46"/>
      <c r="C764" s="57"/>
      <c r="D764" s="46"/>
      <c r="E764" s="46"/>
      <c r="F764" s="58"/>
      <c r="G764" s="46"/>
      <c r="H764" s="46"/>
      <c r="I764" s="59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 spans="1:25" ht="16.5">
      <c r="A765" s="46"/>
      <c r="B765" s="46"/>
      <c r="C765" s="57"/>
      <c r="D765" s="46"/>
      <c r="E765" s="46"/>
      <c r="F765" s="58"/>
      <c r="G765" s="46"/>
      <c r="H765" s="46"/>
      <c r="I765" s="59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 spans="1:25" ht="16.5">
      <c r="A766" s="46"/>
      <c r="B766" s="46"/>
      <c r="C766" s="57"/>
      <c r="D766" s="46"/>
      <c r="E766" s="46"/>
      <c r="F766" s="58"/>
      <c r="G766" s="46"/>
      <c r="H766" s="46"/>
      <c r="I766" s="59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 spans="1:25" ht="16.5">
      <c r="A767" s="46"/>
      <c r="B767" s="46"/>
      <c r="C767" s="57"/>
      <c r="D767" s="46"/>
      <c r="E767" s="46"/>
      <c r="F767" s="58"/>
      <c r="G767" s="46"/>
      <c r="H767" s="46"/>
      <c r="I767" s="59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 spans="1:25" ht="16.5">
      <c r="A768" s="46"/>
      <c r="B768" s="46"/>
      <c r="C768" s="57"/>
      <c r="D768" s="46"/>
      <c r="E768" s="46"/>
      <c r="F768" s="58"/>
      <c r="G768" s="46"/>
      <c r="H768" s="46"/>
      <c r="I768" s="59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 spans="1:25" ht="16.5">
      <c r="A769" s="46"/>
      <c r="B769" s="46"/>
      <c r="C769" s="57"/>
      <c r="D769" s="46"/>
      <c r="E769" s="46"/>
      <c r="F769" s="58"/>
      <c r="G769" s="46"/>
      <c r="H769" s="46"/>
      <c r="I769" s="59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 spans="1:25" ht="16.5">
      <c r="A770" s="46"/>
      <c r="B770" s="46"/>
      <c r="C770" s="57"/>
      <c r="D770" s="46"/>
      <c r="E770" s="46"/>
      <c r="F770" s="58"/>
      <c r="G770" s="46"/>
      <c r="H770" s="46"/>
      <c r="I770" s="59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 spans="1:25" ht="16.5">
      <c r="A771" s="46"/>
      <c r="B771" s="46"/>
      <c r="C771" s="57"/>
      <c r="D771" s="46"/>
      <c r="E771" s="46"/>
      <c r="F771" s="58"/>
      <c r="G771" s="46"/>
      <c r="H771" s="46"/>
      <c r="I771" s="59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 spans="1:25" ht="16.5">
      <c r="A772" s="46"/>
      <c r="B772" s="46"/>
      <c r="C772" s="57"/>
      <c r="D772" s="46"/>
      <c r="E772" s="46"/>
      <c r="F772" s="58"/>
      <c r="G772" s="46"/>
      <c r="H772" s="46"/>
      <c r="I772" s="59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 spans="1:25" ht="16.5">
      <c r="A773" s="46"/>
      <c r="B773" s="46"/>
      <c r="C773" s="57"/>
      <c r="D773" s="46"/>
      <c r="E773" s="46"/>
      <c r="F773" s="58"/>
      <c r="G773" s="46"/>
      <c r="H773" s="46"/>
      <c r="I773" s="59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 spans="1:25" ht="16.5">
      <c r="A774" s="46"/>
      <c r="B774" s="46"/>
      <c r="C774" s="57"/>
      <c r="D774" s="46"/>
      <c r="E774" s="46"/>
      <c r="F774" s="58"/>
      <c r="G774" s="46"/>
      <c r="H774" s="46"/>
      <c r="I774" s="59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 spans="1:25" ht="16.5">
      <c r="A775" s="46"/>
      <c r="B775" s="46"/>
      <c r="C775" s="57"/>
      <c r="D775" s="46"/>
      <c r="E775" s="46"/>
      <c r="F775" s="58"/>
      <c r="G775" s="46"/>
      <c r="H775" s="46"/>
      <c r="I775" s="59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 spans="1:25" ht="16.5">
      <c r="A776" s="46"/>
      <c r="B776" s="46"/>
      <c r="C776" s="57"/>
      <c r="D776" s="46"/>
      <c r="E776" s="46"/>
      <c r="F776" s="58"/>
      <c r="G776" s="46"/>
      <c r="H776" s="46"/>
      <c r="I776" s="59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 spans="1:25" ht="16.5">
      <c r="A777" s="46"/>
      <c r="B777" s="46"/>
      <c r="C777" s="57"/>
      <c r="D777" s="46"/>
      <c r="E777" s="46"/>
      <c r="F777" s="58"/>
      <c r="G777" s="46"/>
      <c r="H777" s="46"/>
      <c r="I777" s="59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 spans="1:25" ht="16.5">
      <c r="A778" s="46"/>
      <c r="B778" s="46"/>
      <c r="C778" s="57"/>
      <c r="D778" s="46"/>
      <c r="E778" s="46"/>
      <c r="F778" s="58"/>
      <c r="G778" s="46"/>
      <c r="H778" s="46"/>
      <c r="I778" s="59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 spans="1:25" ht="16.5">
      <c r="A779" s="46"/>
      <c r="B779" s="46"/>
      <c r="C779" s="57"/>
      <c r="D779" s="46"/>
      <c r="E779" s="46"/>
      <c r="F779" s="58"/>
      <c r="G779" s="46"/>
      <c r="H779" s="46"/>
      <c r="I779" s="59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 spans="1:25" ht="16.5">
      <c r="A780" s="46"/>
      <c r="B780" s="46"/>
      <c r="C780" s="57"/>
      <c r="D780" s="46"/>
      <c r="E780" s="46"/>
      <c r="F780" s="58"/>
      <c r="G780" s="46"/>
      <c r="H780" s="46"/>
      <c r="I780" s="59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 spans="1:25" ht="16.5">
      <c r="A781" s="46"/>
      <c r="B781" s="46"/>
      <c r="C781" s="57"/>
      <c r="D781" s="46"/>
      <c r="E781" s="46"/>
      <c r="F781" s="58"/>
      <c r="G781" s="46"/>
      <c r="H781" s="46"/>
      <c r="I781" s="59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 spans="1:25" ht="16.5">
      <c r="A782" s="46"/>
      <c r="B782" s="46"/>
      <c r="C782" s="57"/>
      <c r="D782" s="46"/>
      <c r="E782" s="46"/>
      <c r="F782" s="58"/>
      <c r="G782" s="46"/>
      <c r="H782" s="46"/>
      <c r="I782" s="59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 spans="1:25" ht="16.5">
      <c r="A783" s="46"/>
      <c r="B783" s="46"/>
      <c r="C783" s="57"/>
      <c r="D783" s="46"/>
      <c r="E783" s="46"/>
      <c r="F783" s="58"/>
      <c r="G783" s="46"/>
      <c r="H783" s="46"/>
      <c r="I783" s="59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 spans="1:25" ht="16.5">
      <c r="A784" s="46"/>
      <c r="B784" s="46"/>
      <c r="C784" s="57"/>
      <c r="D784" s="46"/>
      <c r="E784" s="46"/>
      <c r="F784" s="58"/>
      <c r="G784" s="46"/>
      <c r="H784" s="46"/>
      <c r="I784" s="59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 spans="1:25" ht="16.5">
      <c r="A785" s="46"/>
      <c r="B785" s="46"/>
      <c r="C785" s="57"/>
      <c r="D785" s="46"/>
      <c r="E785" s="46"/>
      <c r="F785" s="58"/>
      <c r="G785" s="46"/>
      <c r="H785" s="46"/>
      <c r="I785" s="59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 spans="1:25" ht="16.5">
      <c r="A786" s="46"/>
      <c r="B786" s="46"/>
      <c r="C786" s="57"/>
      <c r="D786" s="46"/>
      <c r="E786" s="46"/>
      <c r="F786" s="58"/>
      <c r="G786" s="46"/>
      <c r="H786" s="46"/>
      <c r="I786" s="59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 spans="1:25" ht="16.5">
      <c r="A787" s="46"/>
      <c r="B787" s="46"/>
      <c r="C787" s="57"/>
      <c r="D787" s="46"/>
      <c r="E787" s="46"/>
      <c r="F787" s="58"/>
      <c r="G787" s="46"/>
      <c r="H787" s="46"/>
      <c r="I787" s="59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 spans="1:25" ht="16.5">
      <c r="A788" s="46"/>
      <c r="B788" s="46"/>
      <c r="C788" s="57"/>
      <c r="D788" s="46"/>
      <c r="E788" s="46"/>
      <c r="F788" s="58"/>
      <c r="G788" s="46"/>
      <c r="H788" s="46"/>
      <c r="I788" s="59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 spans="1:25" ht="16.5">
      <c r="A789" s="46"/>
      <c r="B789" s="46"/>
      <c r="C789" s="57"/>
      <c r="D789" s="46"/>
      <c r="E789" s="46"/>
      <c r="F789" s="58"/>
      <c r="G789" s="46"/>
      <c r="H789" s="46"/>
      <c r="I789" s="59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 spans="1:25" ht="16.5">
      <c r="A790" s="46"/>
      <c r="B790" s="46"/>
      <c r="C790" s="57"/>
      <c r="D790" s="46"/>
      <c r="E790" s="46"/>
      <c r="F790" s="58"/>
      <c r="G790" s="46"/>
      <c r="H790" s="46"/>
      <c r="I790" s="59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 spans="1:25" ht="16.5">
      <c r="A791" s="46"/>
      <c r="B791" s="46"/>
      <c r="C791" s="57"/>
      <c r="D791" s="46"/>
      <c r="E791" s="46"/>
      <c r="F791" s="58"/>
      <c r="G791" s="46"/>
      <c r="H791" s="46"/>
      <c r="I791" s="59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 spans="1:25" ht="16.5">
      <c r="A792" s="46"/>
      <c r="B792" s="46"/>
      <c r="C792" s="57"/>
      <c r="D792" s="46"/>
      <c r="E792" s="46"/>
      <c r="F792" s="58"/>
      <c r="G792" s="46"/>
      <c r="H792" s="46"/>
      <c r="I792" s="59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 spans="1:25" ht="16.5">
      <c r="A793" s="46"/>
      <c r="B793" s="46"/>
      <c r="C793" s="57"/>
      <c r="D793" s="46"/>
      <c r="E793" s="46"/>
      <c r="F793" s="58"/>
      <c r="G793" s="46"/>
      <c r="H793" s="46"/>
      <c r="I793" s="59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 spans="1:25" ht="16.5">
      <c r="A794" s="46"/>
      <c r="B794" s="46"/>
      <c r="C794" s="57"/>
      <c r="D794" s="46"/>
      <c r="E794" s="46"/>
      <c r="F794" s="58"/>
      <c r="G794" s="46"/>
      <c r="H794" s="46"/>
      <c r="I794" s="59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 spans="1:25" ht="16.5">
      <c r="A795" s="46"/>
      <c r="B795" s="46"/>
      <c r="C795" s="57"/>
      <c r="D795" s="46"/>
      <c r="E795" s="46"/>
      <c r="F795" s="58"/>
      <c r="G795" s="46"/>
      <c r="H795" s="46"/>
      <c r="I795" s="59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 spans="1:25" ht="16.5">
      <c r="A796" s="46"/>
      <c r="B796" s="46"/>
      <c r="C796" s="57"/>
      <c r="D796" s="46"/>
      <c r="E796" s="46"/>
      <c r="F796" s="58"/>
      <c r="G796" s="46"/>
      <c r="H796" s="46"/>
      <c r="I796" s="59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 spans="1:25" ht="16.5">
      <c r="A797" s="46"/>
      <c r="B797" s="46"/>
      <c r="C797" s="57"/>
      <c r="D797" s="46"/>
      <c r="E797" s="46"/>
      <c r="F797" s="58"/>
      <c r="G797" s="46"/>
      <c r="H797" s="46"/>
      <c r="I797" s="59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 spans="1:25" ht="16.5">
      <c r="A798" s="46"/>
      <c r="B798" s="46"/>
      <c r="C798" s="57"/>
      <c r="D798" s="46"/>
      <c r="E798" s="46"/>
      <c r="F798" s="58"/>
      <c r="G798" s="46"/>
      <c r="H798" s="46"/>
      <c r="I798" s="59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 spans="1:25" ht="16.5">
      <c r="A799" s="46"/>
      <c r="B799" s="46"/>
      <c r="C799" s="57"/>
      <c r="D799" s="46"/>
      <c r="E799" s="46"/>
      <c r="F799" s="58"/>
      <c r="G799" s="46"/>
      <c r="H799" s="46"/>
      <c r="I799" s="59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 spans="1:25" ht="16.5">
      <c r="A800" s="46"/>
      <c r="B800" s="46"/>
      <c r="C800" s="57"/>
      <c r="D800" s="46"/>
      <c r="E800" s="46"/>
      <c r="F800" s="58"/>
      <c r="G800" s="46"/>
      <c r="H800" s="46"/>
      <c r="I800" s="59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 spans="1:25" ht="16.5">
      <c r="A801" s="46"/>
      <c r="B801" s="46"/>
      <c r="C801" s="57"/>
      <c r="D801" s="46"/>
      <c r="E801" s="46"/>
      <c r="F801" s="58"/>
      <c r="G801" s="46"/>
      <c r="H801" s="46"/>
      <c r="I801" s="59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 spans="1:25" ht="16.5">
      <c r="A802" s="46"/>
      <c r="B802" s="46"/>
      <c r="C802" s="57"/>
      <c r="D802" s="46"/>
      <c r="E802" s="46"/>
      <c r="F802" s="58"/>
      <c r="G802" s="46"/>
      <c r="H802" s="46"/>
      <c r="I802" s="59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 spans="1:25" ht="16.5">
      <c r="A803" s="46"/>
      <c r="B803" s="46"/>
      <c r="C803" s="57"/>
      <c r="D803" s="46"/>
      <c r="E803" s="46"/>
      <c r="F803" s="58"/>
      <c r="G803" s="46"/>
      <c r="H803" s="46"/>
      <c r="I803" s="59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 spans="1:25" ht="16.5">
      <c r="A804" s="46"/>
      <c r="B804" s="46"/>
      <c r="C804" s="57"/>
      <c r="D804" s="46"/>
      <c r="E804" s="46"/>
      <c r="F804" s="58"/>
      <c r="G804" s="46"/>
      <c r="H804" s="46"/>
      <c r="I804" s="59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 spans="1:25" ht="16.5">
      <c r="A805" s="46"/>
      <c r="B805" s="46"/>
      <c r="C805" s="57"/>
      <c r="D805" s="46"/>
      <c r="E805" s="46"/>
      <c r="F805" s="58"/>
      <c r="G805" s="46"/>
      <c r="H805" s="46"/>
      <c r="I805" s="59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 spans="1:25" ht="16.5">
      <c r="A806" s="46"/>
      <c r="B806" s="46"/>
      <c r="C806" s="57"/>
      <c r="D806" s="46"/>
      <c r="E806" s="46"/>
      <c r="F806" s="58"/>
      <c r="G806" s="46"/>
      <c r="H806" s="46"/>
      <c r="I806" s="59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 spans="1:25" ht="16.5">
      <c r="A807" s="46"/>
      <c r="B807" s="46"/>
      <c r="C807" s="57"/>
      <c r="D807" s="46"/>
      <c r="E807" s="46"/>
      <c r="F807" s="58"/>
      <c r="G807" s="46"/>
      <c r="H807" s="46"/>
      <c r="I807" s="59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 spans="1:25" ht="16.5">
      <c r="A808" s="46"/>
      <c r="B808" s="46"/>
      <c r="C808" s="57"/>
      <c r="D808" s="46"/>
      <c r="E808" s="46"/>
      <c r="F808" s="58"/>
      <c r="G808" s="46"/>
      <c r="H808" s="46"/>
      <c r="I808" s="59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 spans="1:25" ht="16.5">
      <c r="A809" s="46"/>
      <c r="B809" s="46"/>
      <c r="C809" s="57"/>
      <c r="D809" s="46"/>
      <c r="E809" s="46"/>
      <c r="F809" s="58"/>
      <c r="G809" s="46"/>
      <c r="H809" s="46"/>
      <c r="I809" s="59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 spans="1:25" ht="16.5">
      <c r="A810" s="46"/>
      <c r="B810" s="46"/>
      <c r="C810" s="57"/>
      <c r="D810" s="46"/>
      <c r="E810" s="46"/>
      <c r="F810" s="58"/>
      <c r="G810" s="46"/>
      <c r="H810" s="46"/>
      <c r="I810" s="59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 spans="1:25" ht="16.5">
      <c r="A811" s="46"/>
      <c r="B811" s="46"/>
      <c r="C811" s="57"/>
      <c r="D811" s="46"/>
      <c r="E811" s="46"/>
      <c r="F811" s="58"/>
      <c r="G811" s="46"/>
      <c r="H811" s="46"/>
      <c r="I811" s="59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 spans="1:25" ht="16.5">
      <c r="A812" s="46"/>
      <c r="B812" s="46"/>
      <c r="C812" s="57"/>
      <c r="D812" s="46"/>
      <c r="E812" s="46"/>
      <c r="F812" s="58"/>
      <c r="G812" s="46"/>
      <c r="H812" s="46"/>
      <c r="I812" s="59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 spans="1:25" ht="16.5">
      <c r="A813" s="46"/>
      <c r="B813" s="46"/>
      <c r="C813" s="57"/>
      <c r="D813" s="46"/>
      <c r="E813" s="46"/>
      <c r="F813" s="58"/>
      <c r="G813" s="46"/>
      <c r="H813" s="46"/>
      <c r="I813" s="59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 spans="1:25" ht="16.5">
      <c r="A814" s="46"/>
      <c r="B814" s="46"/>
      <c r="C814" s="57"/>
      <c r="D814" s="46"/>
      <c r="E814" s="46"/>
      <c r="F814" s="58"/>
      <c r="G814" s="46"/>
      <c r="H814" s="46"/>
      <c r="I814" s="59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 spans="1:25" ht="16.5">
      <c r="A815" s="46"/>
      <c r="B815" s="46"/>
      <c r="C815" s="57"/>
      <c r="D815" s="46"/>
      <c r="E815" s="46"/>
      <c r="F815" s="58"/>
      <c r="G815" s="46"/>
      <c r="H815" s="46"/>
      <c r="I815" s="59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 spans="1:25" ht="16.5">
      <c r="A816" s="46"/>
      <c r="B816" s="46"/>
      <c r="C816" s="57"/>
      <c r="D816" s="46"/>
      <c r="E816" s="46"/>
      <c r="F816" s="58"/>
      <c r="G816" s="46"/>
      <c r="H816" s="46"/>
      <c r="I816" s="59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 spans="1:25" ht="16.5">
      <c r="A817" s="46"/>
      <c r="B817" s="46"/>
      <c r="C817" s="57"/>
      <c r="D817" s="46"/>
      <c r="E817" s="46"/>
      <c r="F817" s="58"/>
      <c r="G817" s="46"/>
      <c r="H817" s="46"/>
      <c r="I817" s="59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 spans="1:25" ht="16.5">
      <c r="A818" s="46"/>
      <c r="B818" s="46"/>
      <c r="C818" s="57"/>
      <c r="D818" s="46"/>
      <c r="E818" s="46"/>
      <c r="F818" s="58"/>
      <c r="G818" s="46"/>
      <c r="H818" s="46"/>
      <c r="I818" s="59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 spans="1:25" ht="16.5">
      <c r="A819" s="46"/>
      <c r="B819" s="46"/>
      <c r="C819" s="57"/>
      <c r="D819" s="46"/>
      <c r="E819" s="46"/>
      <c r="F819" s="58"/>
      <c r="G819" s="46"/>
      <c r="H819" s="46"/>
      <c r="I819" s="59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 spans="1:25" ht="16.5">
      <c r="A820" s="46"/>
      <c r="B820" s="46"/>
      <c r="C820" s="57"/>
      <c r="D820" s="46"/>
      <c r="E820" s="46"/>
      <c r="F820" s="58"/>
      <c r="G820" s="46"/>
      <c r="H820" s="46"/>
      <c r="I820" s="59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 spans="1:25" ht="16.5">
      <c r="A821" s="46"/>
      <c r="B821" s="46"/>
      <c r="C821" s="57"/>
      <c r="D821" s="46"/>
      <c r="E821" s="46"/>
      <c r="F821" s="58"/>
      <c r="G821" s="46"/>
      <c r="H821" s="46"/>
      <c r="I821" s="59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 spans="1:25" ht="16.5">
      <c r="A822" s="46"/>
      <c r="B822" s="46"/>
      <c r="C822" s="57"/>
      <c r="D822" s="46"/>
      <c r="E822" s="46"/>
      <c r="F822" s="58"/>
      <c r="G822" s="46"/>
      <c r="H822" s="46"/>
      <c r="I822" s="59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 spans="1:25" ht="16.5">
      <c r="A823" s="46"/>
      <c r="B823" s="46"/>
      <c r="C823" s="57"/>
      <c r="D823" s="46"/>
      <c r="E823" s="46"/>
      <c r="F823" s="58"/>
      <c r="G823" s="46"/>
      <c r="H823" s="46"/>
      <c r="I823" s="59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 spans="1:25" ht="16.5">
      <c r="A824" s="46"/>
      <c r="B824" s="46"/>
      <c r="C824" s="57"/>
      <c r="D824" s="46"/>
      <c r="E824" s="46"/>
      <c r="F824" s="58"/>
      <c r="G824" s="46"/>
      <c r="H824" s="46"/>
      <c r="I824" s="59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 spans="1:25" ht="16.5">
      <c r="A825" s="46"/>
      <c r="B825" s="46"/>
      <c r="C825" s="57"/>
      <c r="D825" s="46"/>
      <c r="E825" s="46"/>
      <c r="F825" s="58"/>
      <c r="G825" s="46"/>
      <c r="H825" s="46"/>
      <c r="I825" s="59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 spans="1:25" ht="16.5">
      <c r="A826" s="46"/>
      <c r="B826" s="46"/>
      <c r="C826" s="57"/>
      <c r="D826" s="46"/>
      <c r="E826" s="46"/>
      <c r="F826" s="58"/>
      <c r="G826" s="46"/>
      <c r="H826" s="46"/>
      <c r="I826" s="59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 spans="1:25" ht="16.5">
      <c r="A827" s="46"/>
      <c r="B827" s="46"/>
      <c r="C827" s="57"/>
      <c r="D827" s="46"/>
      <c r="E827" s="46"/>
      <c r="F827" s="58"/>
      <c r="G827" s="46"/>
      <c r="H827" s="46"/>
      <c r="I827" s="59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 spans="1:25" ht="16.5">
      <c r="A828" s="46"/>
      <c r="B828" s="46"/>
      <c r="C828" s="57"/>
      <c r="D828" s="46"/>
      <c r="E828" s="46"/>
      <c r="F828" s="58"/>
      <c r="G828" s="46"/>
      <c r="H828" s="46"/>
      <c r="I828" s="59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 spans="1:25" ht="16.5">
      <c r="A829" s="46"/>
      <c r="B829" s="46"/>
      <c r="C829" s="57"/>
      <c r="D829" s="46"/>
      <c r="E829" s="46"/>
      <c r="F829" s="58"/>
      <c r="G829" s="46"/>
      <c r="H829" s="46"/>
      <c r="I829" s="59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 spans="1:25" ht="16.5">
      <c r="A830" s="46"/>
      <c r="B830" s="46"/>
      <c r="C830" s="57"/>
      <c r="D830" s="46"/>
      <c r="E830" s="46"/>
      <c r="F830" s="58"/>
      <c r="G830" s="46"/>
      <c r="H830" s="46"/>
      <c r="I830" s="59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 spans="1:25" ht="16.5">
      <c r="A831" s="46"/>
      <c r="B831" s="46"/>
      <c r="C831" s="57"/>
      <c r="D831" s="46"/>
      <c r="E831" s="46"/>
      <c r="F831" s="58"/>
      <c r="G831" s="46"/>
      <c r="H831" s="46"/>
      <c r="I831" s="59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 spans="1:25" ht="16.5">
      <c r="A832" s="46"/>
      <c r="B832" s="46"/>
      <c r="C832" s="57"/>
      <c r="D832" s="46"/>
      <c r="E832" s="46"/>
      <c r="F832" s="58"/>
      <c r="G832" s="46"/>
      <c r="H832" s="46"/>
      <c r="I832" s="59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 spans="1:25" ht="16.5">
      <c r="A833" s="46"/>
      <c r="B833" s="46"/>
      <c r="C833" s="57"/>
      <c r="D833" s="46"/>
      <c r="E833" s="46"/>
      <c r="F833" s="58"/>
      <c r="G833" s="46"/>
      <c r="H833" s="46"/>
      <c r="I833" s="59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 spans="1:25" ht="16.5">
      <c r="A834" s="46"/>
      <c r="B834" s="46"/>
      <c r="C834" s="57"/>
      <c r="D834" s="46"/>
      <c r="E834" s="46"/>
      <c r="F834" s="58"/>
      <c r="G834" s="46"/>
      <c r="H834" s="46"/>
      <c r="I834" s="59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 spans="1:25" ht="16.5">
      <c r="A835" s="46"/>
      <c r="B835" s="46"/>
      <c r="C835" s="57"/>
      <c r="D835" s="46"/>
      <c r="E835" s="46"/>
      <c r="F835" s="58"/>
      <c r="G835" s="46"/>
      <c r="H835" s="46"/>
      <c r="I835" s="59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 spans="1:25" ht="16.5">
      <c r="A836" s="46"/>
      <c r="B836" s="46"/>
      <c r="C836" s="57"/>
      <c r="D836" s="46"/>
      <c r="E836" s="46"/>
      <c r="F836" s="58"/>
      <c r="G836" s="46"/>
      <c r="H836" s="46"/>
      <c r="I836" s="59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 spans="1:25" ht="16.5">
      <c r="A837" s="46"/>
      <c r="B837" s="46"/>
      <c r="C837" s="57"/>
      <c r="D837" s="46"/>
      <c r="E837" s="46"/>
      <c r="F837" s="58"/>
      <c r="G837" s="46"/>
      <c r="H837" s="46"/>
      <c r="I837" s="59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 spans="1:25" ht="16.5">
      <c r="A838" s="46"/>
      <c r="B838" s="46"/>
      <c r="C838" s="57"/>
      <c r="D838" s="46"/>
      <c r="E838" s="46"/>
      <c r="F838" s="58"/>
      <c r="G838" s="46"/>
      <c r="H838" s="46"/>
      <c r="I838" s="59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 spans="1:25" ht="16.5">
      <c r="A839" s="46"/>
      <c r="B839" s="46"/>
      <c r="C839" s="57"/>
      <c r="D839" s="46"/>
      <c r="E839" s="46"/>
      <c r="F839" s="58"/>
      <c r="G839" s="46"/>
      <c r="H839" s="46"/>
      <c r="I839" s="59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 spans="1:25" ht="16.5">
      <c r="A840" s="46"/>
      <c r="B840" s="46"/>
      <c r="C840" s="57"/>
      <c r="D840" s="46"/>
      <c r="E840" s="46"/>
      <c r="F840" s="58"/>
      <c r="G840" s="46"/>
      <c r="H840" s="46"/>
      <c r="I840" s="59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 spans="1:25" ht="16.5">
      <c r="A841" s="46"/>
      <c r="B841" s="46"/>
      <c r="C841" s="57"/>
      <c r="D841" s="46"/>
      <c r="E841" s="46"/>
      <c r="F841" s="58"/>
      <c r="G841" s="46"/>
      <c r="H841" s="46"/>
      <c r="I841" s="59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 spans="1:25" ht="16.5">
      <c r="A842" s="46"/>
      <c r="B842" s="46"/>
      <c r="C842" s="57"/>
      <c r="D842" s="46"/>
      <c r="E842" s="46"/>
      <c r="F842" s="58"/>
      <c r="G842" s="46"/>
      <c r="H842" s="46"/>
      <c r="I842" s="59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 spans="1:25" ht="16.5">
      <c r="A843" s="46"/>
      <c r="B843" s="46"/>
      <c r="C843" s="57"/>
      <c r="D843" s="46"/>
      <c r="E843" s="46"/>
      <c r="F843" s="58"/>
      <c r="G843" s="46"/>
      <c r="H843" s="46"/>
      <c r="I843" s="59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 spans="1:25" ht="16.5">
      <c r="A844" s="46"/>
      <c r="B844" s="46"/>
      <c r="C844" s="57"/>
      <c r="D844" s="46"/>
      <c r="E844" s="46"/>
      <c r="F844" s="58"/>
      <c r="G844" s="46"/>
      <c r="H844" s="46"/>
      <c r="I844" s="59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 spans="1:25" ht="16.5">
      <c r="A845" s="46"/>
      <c r="B845" s="46"/>
      <c r="C845" s="57"/>
      <c r="D845" s="46"/>
      <c r="E845" s="46"/>
      <c r="F845" s="58"/>
      <c r="G845" s="46"/>
      <c r="H845" s="46"/>
      <c r="I845" s="59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 spans="1:25" ht="16.5">
      <c r="A846" s="46"/>
      <c r="B846" s="46"/>
      <c r="C846" s="57"/>
      <c r="D846" s="46"/>
      <c r="E846" s="46"/>
      <c r="F846" s="58"/>
      <c r="G846" s="46"/>
      <c r="H846" s="46"/>
      <c r="I846" s="59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 spans="1:25" ht="16.5">
      <c r="A847" s="46"/>
      <c r="B847" s="46"/>
      <c r="C847" s="57"/>
      <c r="D847" s="46"/>
      <c r="E847" s="46"/>
      <c r="F847" s="58"/>
      <c r="G847" s="46"/>
      <c r="H847" s="46"/>
      <c r="I847" s="59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 spans="1:25" ht="16.5">
      <c r="A848" s="46"/>
      <c r="B848" s="46"/>
      <c r="C848" s="57"/>
      <c r="D848" s="46"/>
      <c r="E848" s="46"/>
      <c r="F848" s="58"/>
      <c r="G848" s="46"/>
      <c r="H848" s="46"/>
      <c r="I848" s="59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 spans="1:25" ht="16.5">
      <c r="A849" s="46"/>
      <c r="B849" s="46"/>
      <c r="C849" s="57"/>
      <c r="D849" s="46"/>
      <c r="E849" s="46"/>
      <c r="F849" s="58"/>
      <c r="G849" s="46"/>
      <c r="H849" s="46"/>
      <c r="I849" s="59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 spans="1:25" ht="16.5">
      <c r="A850" s="46"/>
      <c r="B850" s="46"/>
      <c r="C850" s="57"/>
      <c r="D850" s="46"/>
      <c r="E850" s="46"/>
      <c r="F850" s="58"/>
      <c r="G850" s="46"/>
      <c r="H850" s="46"/>
      <c r="I850" s="59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 spans="1:25" ht="16.5">
      <c r="A851" s="46"/>
      <c r="B851" s="46"/>
      <c r="C851" s="57"/>
      <c r="D851" s="46"/>
      <c r="E851" s="46"/>
      <c r="F851" s="58"/>
      <c r="G851" s="46"/>
      <c r="H851" s="46"/>
      <c r="I851" s="59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 spans="1:25" ht="16.5">
      <c r="A852" s="46"/>
      <c r="B852" s="46"/>
      <c r="C852" s="57"/>
      <c r="D852" s="46"/>
      <c r="E852" s="46"/>
      <c r="F852" s="58"/>
      <c r="G852" s="46"/>
      <c r="H852" s="46"/>
      <c r="I852" s="59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 spans="1:25" ht="16.5">
      <c r="A853" s="46"/>
      <c r="B853" s="46"/>
      <c r="C853" s="57"/>
      <c r="D853" s="46"/>
      <c r="E853" s="46"/>
      <c r="F853" s="58"/>
      <c r="G853" s="46"/>
      <c r="H853" s="46"/>
      <c r="I853" s="59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 spans="1:25" ht="16.5">
      <c r="A854" s="46"/>
      <c r="B854" s="46"/>
      <c r="C854" s="57"/>
      <c r="D854" s="46"/>
      <c r="E854" s="46"/>
      <c r="F854" s="58"/>
      <c r="G854" s="46"/>
      <c r="H854" s="46"/>
      <c r="I854" s="59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 spans="1:25" ht="16.5">
      <c r="A855" s="46"/>
      <c r="B855" s="46"/>
      <c r="C855" s="57"/>
      <c r="D855" s="46"/>
      <c r="E855" s="46"/>
      <c r="F855" s="58"/>
      <c r="G855" s="46"/>
      <c r="H855" s="46"/>
      <c r="I855" s="59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 spans="1:25" ht="16.5">
      <c r="A856" s="46"/>
      <c r="B856" s="46"/>
      <c r="C856" s="57"/>
      <c r="D856" s="46"/>
      <c r="E856" s="46"/>
      <c r="F856" s="58"/>
      <c r="G856" s="46"/>
      <c r="H856" s="46"/>
      <c r="I856" s="59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 spans="1:25" ht="16.5">
      <c r="A857" s="46"/>
      <c r="B857" s="46"/>
      <c r="C857" s="57"/>
      <c r="D857" s="46"/>
      <c r="E857" s="46"/>
      <c r="F857" s="58"/>
      <c r="G857" s="46"/>
      <c r="H857" s="46"/>
      <c r="I857" s="59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 spans="1:25" ht="16.5">
      <c r="A858" s="46"/>
      <c r="B858" s="46"/>
      <c r="C858" s="57"/>
      <c r="D858" s="46"/>
      <c r="E858" s="46"/>
      <c r="F858" s="58"/>
      <c r="G858" s="46"/>
      <c r="H858" s="46"/>
      <c r="I858" s="59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 spans="1:25" ht="16.5">
      <c r="A859" s="46"/>
      <c r="B859" s="46"/>
      <c r="C859" s="57"/>
      <c r="D859" s="46"/>
      <c r="E859" s="46"/>
      <c r="F859" s="58"/>
      <c r="G859" s="46"/>
      <c r="H859" s="46"/>
      <c r="I859" s="59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 spans="1:25" ht="16.5">
      <c r="A860" s="46"/>
      <c r="B860" s="46"/>
      <c r="C860" s="57"/>
      <c r="D860" s="46"/>
      <c r="E860" s="46"/>
      <c r="F860" s="58"/>
      <c r="G860" s="46"/>
      <c r="H860" s="46"/>
      <c r="I860" s="59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 spans="1:25" ht="16.5">
      <c r="A861" s="46"/>
      <c r="B861" s="46"/>
      <c r="C861" s="57"/>
      <c r="D861" s="46"/>
      <c r="E861" s="46"/>
      <c r="F861" s="58"/>
      <c r="G861" s="46"/>
      <c r="H861" s="46"/>
      <c r="I861" s="59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 spans="1:25" ht="16.5">
      <c r="A862" s="46"/>
      <c r="B862" s="46"/>
      <c r="C862" s="57"/>
      <c r="D862" s="46"/>
      <c r="E862" s="46"/>
      <c r="F862" s="58"/>
      <c r="G862" s="46"/>
      <c r="H862" s="46"/>
      <c r="I862" s="59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 spans="1:25" ht="16.5">
      <c r="A863" s="46"/>
      <c r="B863" s="46"/>
      <c r="C863" s="57"/>
      <c r="D863" s="46"/>
      <c r="E863" s="46"/>
      <c r="F863" s="58"/>
      <c r="G863" s="46"/>
      <c r="H863" s="46"/>
      <c r="I863" s="59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 spans="1:25" ht="16.5">
      <c r="A864" s="46"/>
      <c r="B864" s="46"/>
      <c r="C864" s="57"/>
      <c r="D864" s="46"/>
      <c r="E864" s="46"/>
      <c r="F864" s="58"/>
      <c r="G864" s="46"/>
      <c r="H864" s="46"/>
      <c r="I864" s="59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 spans="1:25" ht="16.5">
      <c r="A865" s="46"/>
      <c r="B865" s="46"/>
      <c r="C865" s="57"/>
      <c r="D865" s="46"/>
      <c r="E865" s="46"/>
      <c r="F865" s="58"/>
      <c r="G865" s="46"/>
      <c r="H865" s="46"/>
      <c r="I865" s="59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 spans="1:25" ht="16.5">
      <c r="A866" s="46"/>
      <c r="B866" s="46"/>
      <c r="C866" s="57"/>
      <c r="D866" s="46"/>
      <c r="E866" s="46"/>
      <c r="F866" s="58"/>
      <c r="G866" s="46"/>
      <c r="H866" s="46"/>
      <c r="I866" s="59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 spans="1:25" ht="16.5">
      <c r="A867" s="46"/>
      <c r="B867" s="46"/>
      <c r="C867" s="57"/>
      <c r="D867" s="46"/>
      <c r="E867" s="46"/>
      <c r="F867" s="58"/>
      <c r="G867" s="46"/>
      <c r="H867" s="46"/>
      <c r="I867" s="59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 spans="1:25" ht="16.5">
      <c r="A868" s="46"/>
      <c r="B868" s="46"/>
      <c r="C868" s="57"/>
      <c r="D868" s="46"/>
      <c r="E868" s="46"/>
      <c r="F868" s="58"/>
      <c r="G868" s="46"/>
      <c r="H868" s="46"/>
      <c r="I868" s="59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 spans="1:25" ht="16.5">
      <c r="A869" s="46"/>
      <c r="B869" s="46"/>
      <c r="C869" s="57"/>
      <c r="D869" s="46"/>
      <c r="E869" s="46"/>
      <c r="F869" s="58"/>
      <c r="G869" s="46"/>
      <c r="H869" s="46"/>
      <c r="I869" s="59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 spans="1:25" ht="16.5">
      <c r="A870" s="46"/>
      <c r="B870" s="46"/>
      <c r="C870" s="57"/>
      <c r="D870" s="46"/>
      <c r="E870" s="46"/>
      <c r="F870" s="58"/>
      <c r="G870" s="46"/>
      <c r="H870" s="46"/>
      <c r="I870" s="59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 spans="1:25" ht="16.5">
      <c r="A871" s="46"/>
      <c r="B871" s="46"/>
      <c r="C871" s="57"/>
      <c r="D871" s="46"/>
      <c r="E871" s="46"/>
      <c r="F871" s="58"/>
      <c r="G871" s="46"/>
      <c r="H871" s="46"/>
      <c r="I871" s="59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 spans="1:25" ht="16.5">
      <c r="A872" s="46"/>
      <c r="B872" s="46"/>
      <c r="C872" s="57"/>
      <c r="D872" s="46"/>
      <c r="E872" s="46"/>
      <c r="F872" s="58"/>
      <c r="G872" s="46"/>
      <c r="H872" s="46"/>
      <c r="I872" s="59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 spans="1:25" ht="16.5">
      <c r="A873" s="46"/>
      <c r="B873" s="46"/>
      <c r="C873" s="57"/>
      <c r="D873" s="46"/>
      <c r="E873" s="46"/>
      <c r="F873" s="58"/>
      <c r="G873" s="46"/>
      <c r="H873" s="46"/>
      <c r="I873" s="59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 spans="1:25" ht="16.5">
      <c r="A874" s="46"/>
      <c r="B874" s="46"/>
      <c r="C874" s="57"/>
      <c r="D874" s="46"/>
      <c r="E874" s="46"/>
      <c r="F874" s="58"/>
      <c r="G874" s="46"/>
      <c r="H874" s="46"/>
      <c r="I874" s="59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 spans="1:25" ht="16.5">
      <c r="A875" s="46"/>
      <c r="B875" s="46"/>
      <c r="C875" s="57"/>
      <c r="D875" s="46"/>
      <c r="E875" s="46"/>
      <c r="F875" s="58"/>
      <c r="G875" s="46"/>
      <c r="H875" s="46"/>
      <c r="I875" s="59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 spans="1:25" ht="16.5">
      <c r="A876" s="46"/>
      <c r="B876" s="46"/>
      <c r="C876" s="57"/>
      <c r="D876" s="46"/>
      <c r="E876" s="46"/>
      <c r="F876" s="58"/>
      <c r="G876" s="46"/>
      <c r="H876" s="46"/>
      <c r="I876" s="59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 spans="1:25" ht="16.5">
      <c r="A877" s="46"/>
      <c r="B877" s="46"/>
      <c r="C877" s="57"/>
      <c r="D877" s="46"/>
      <c r="E877" s="46"/>
      <c r="F877" s="58"/>
      <c r="G877" s="46"/>
      <c r="H877" s="46"/>
      <c r="I877" s="59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 spans="1:25" ht="16.5">
      <c r="A878" s="46"/>
      <c r="B878" s="46"/>
      <c r="C878" s="57"/>
      <c r="D878" s="46"/>
      <c r="E878" s="46"/>
      <c r="F878" s="58"/>
      <c r="G878" s="46"/>
      <c r="H878" s="46"/>
      <c r="I878" s="59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 spans="1:25" ht="16.5">
      <c r="A879" s="46"/>
      <c r="B879" s="46"/>
      <c r="C879" s="57"/>
      <c r="D879" s="46"/>
      <c r="E879" s="46"/>
      <c r="F879" s="58"/>
      <c r="G879" s="46"/>
      <c r="H879" s="46"/>
      <c r="I879" s="59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 spans="1:25" ht="16.5">
      <c r="A880" s="46"/>
      <c r="B880" s="46"/>
      <c r="C880" s="57"/>
      <c r="D880" s="46"/>
      <c r="E880" s="46"/>
      <c r="F880" s="58"/>
      <c r="G880" s="46"/>
      <c r="H880" s="46"/>
      <c r="I880" s="59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 spans="1:25" ht="16.5">
      <c r="A881" s="46"/>
      <c r="B881" s="46"/>
      <c r="C881" s="57"/>
      <c r="D881" s="46"/>
      <c r="E881" s="46"/>
      <c r="F881" s="58"/>
      <c r="G881" s="46"/>
      <c r="H881" s="46"/>
      <c r="I881" s="59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 spans="1:25" ht="16.5">
      <c r="A882" s="46"/>
      <c r="B882" s="46"/>
      <c r="C882" s="57"/>
      <c r="D882" s="46"/>
      <c r="E882" s="46"/>
      <c r="F882" s="58"/>
      <c r="G882" s="46"/>
      <c r="H882" s="46"/>
      <c r="I882" s="59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 spans="1:25" ht="16.5">
      <c r="A883" s="46"/>
      <c r="B883" s="46"/>
      <c r="C883" s="57"/>
      <c r="D883" s="46"/>
      <c r="E883" s="46"/>
      <c r="F883" s="58"/>
      <c r="G883" s="46"/>
      <c r="H883" s="46"/>
      <c r="I883" s="59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 spans="1:25" ht="16.5">
      <c r="A884" s="46"/>
      <c r="B884" s="46"/>
      <c r="C884" s="57"/>
      <c r="D884" s="46"/>
      <c r="E884" s="46"/>
      <c r="F884" s="58"/>
      <c r="G884" s="46"/>
      <c r="H884" s="46"/>
      <c r="I884" s="59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 spans="1:25" ht="16.5">
      <c r="A885" s="46"/>
      <c r="B885" s="46"/>
      <c r="C885" s="57"/>
      <c r="D885" s="46"/>
      <c r="E885" s="46"/>
      <c r="F885" s="58"/>
      <c r="G885" s="46"/>
      <c r="H885" s="46"/>
      <c r="I885" s="59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 spans="1:25" ht="16.5">
      <c r="A886" s="46"/>
      <c r="B886" s="46"/>
      <c r="C886" s="57"/>
      <c r="D886" s="46"/>
      <c r="E886" s="46"/>
      <c r="F886" s="58"/>
      <c r="G886" s="46"/>
      <c r="H886" s="46"/>
      <c r="I886" s="59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 spans="1:25" ht="16.5">
      <c r="A887" s="46"/>
      <c r="B887" s="46"/>
      <c r="C887" s="57"/>
      <c r="D887" s="46"/>
      <c r="E887" s="46"/>
      <c r="F887" s="58"/>
      <c r="G887" s="46"/>
      <c r="H887" s="46"/>
      <c r="I887" s="59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 spans="1:25" ht="16.5">
      <c r="A888" s="46"/>
      <c r="B888" s="46"/>
      <c r="C888" s="57"/>
      <c r="D888" s="46"/>
      <c r="E888" s="46"/>
      <c r="F888" s="58"/>
      <c r="G888" s="46"/>
      <c r="H888" s="46"/>
      <c r="I888" s="59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 spans="1:25" ht="16.5">
      <c r="A889" s="46"/>
      <c r="B889" s="46"/>
      <c r="C889" s="57"/>
      <c r="D889" s="46"/>
      <c r="E889" s="46"/>
      <c r="F889" s="58"/>
      <c r="G889" s="46"/>
      <c r="H889" s="46"/>
      <c r="I889" s="59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 spans="1:25" ht="16.5">
      <c r="A890" s="46"/>
      <c r="B890" s="46"/>
      <c r="C890" s="57"/>
      <c r="D890" s="46"/>
      <c r="E890" s="46"/>
      <c r="F890" s="58"/>
      <c r="G890" s="46"/>
      <c r="H890" s="46"/>
      <c r="I890" s="59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 spans="1:25" ht="16.5">
      <c r="A891" s="46"/>
      <c r="B891" s="46"/>
      <c r="C891" s="57"/>
      <c r="D891" s="46"/>
      <c r="E891" s="46"/>
      <c r="F891" s="58"/>
      <c r="G891" s="46"/>
      <c r="H891" s="46"/>
      <c r="I891" s="59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 spans="1:25" ht="16.5">
      <c r="A892" s="46"/>
      <c r="B892" s="46"/>
      <c r="C892" s="57"/>
      <c r="D892" s="46"/>
      <c r="E892" s="46"/>
      <c r="F892" s="58"/>
      <c r="G892" s="46"/>
      <c r="H892" s="46"/>
      <c r="I892" s="59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 spans="1:25" ht="16.5">
      <c r="A893" s="46"/>
      <c r="B893" s="46"/>
      <c r="C893" s="57"/>
      <c r="D893" s="46"/>
      <c r="E893" s="46"/>
      <c r="F893" s="58"/>
      <c r="G893" s="46"/>
      <c r="H893" s="46"/>
      <c r="I893" s="59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 spans="1:25" ht="16.5">
      <c r="A894" s="46"/>
      <c r="B894" s="46"/>
      <c r="C894" s="57"/>
      <c r="D894" s="46"/>
      <c r="E894" s="46"/>
      <c r="F894" s="58"/>
      <c r="G894" s="46"/>
      <c r="H894" s="46"/>
      <c r="I894" s="59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 spans="1:25" ht="16.5">
      <c r="A895" s="46"/>
      <c r="B895" s="46"/>
      <c r="C895" s="57"/>
      <c r="D895" s="46"/>
      <c r="E895" s="46"/>
      <c r="F895" s="58"/>
      <c r="G895" s="46"/>
      <c r="H895" s="46"/>
      <c r="I895" s="59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 spans="1:25" ht="16.5">
      <c r="A896" s="46"/>
      <c r="B896" s="46"/>
      <c r="C896" s="57"/>
      <c r="D896" s="46"/>
      <c r="E896" s="46"/>
      <c r="F896" s="58"/>
      <c r="G896" s="46"/>
      <c r="H896" s="46"/>
      <c r="I896" s="59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 spans="1:25" ht="16.5">
      <c r="A897" s="46"/>
      <c r="B897" s="46"/>
      <c r="C897" s="57"/>
      <c r="D897" s="46"/>
      <c r="E897" s="46"/>
      <c r="F897" s="58"/>
      <c r="G897" s="46"/>
      <c r="H897" s="46"/>
      <c r="I897" s="59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 spans="1:25" ht="16.5">
      <c r="A898" s="46"/>
      <c r="B898" s="46"/>
      <c r="C898" s="57"/>
      <c r="D898" s="46"/>
      <c r="E898" s="46"/>
      <c r="F898" s="58"/>
      <c r="G898" s="46"/>
      <c r="H898" s="46"/>
      <c r="I898" s="59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 spans="1:25" ht="16.5">
      <c r="A899" s="46"/>
      <c r="B899" s="46"/>
      <c r="C899" s="57"/>
      <c r="D899" s="46"/>
      <c r="E899" s="46"/>
      <c r="F899" s="58"/>
      <c r="G899" s="46"/>
      <c r="H899" s="46"/>
      <c r="I899" s="59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 spans="1:25" ht="16.5">
      <c r="A900" s="46"/>
      <c r="B900" s="46"/>
      <c r="C900" s="57"/>
      <c r="D900" s="46"/>
      <c r="E900" s="46"/>
      <c r="F900" s="58"/>
      <c r="G900" s="46"/>
      <c r="H900" s="46"/>
      <c r="I900" s="59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 spans="1:25" ht="16.5">
      <c r="A901" s="46"/>
      <c r="B901" s="46"/>
      <c r="C901" s="57"/>
      <c r="D901" s="46"/>
      <c r="E901" s="46"/>
      <c r="F901" s="58"/>
      <c r="G901" s="46"/>
      <c r="H901" s="46"/>
      <c r="I901" s="59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 spans="1:25" ht="16.5">
      <c r="A902" s="46"/>
      <c r="B902" s="46"/>
      <c r="C902" s="57"/>
      <c r="D902" s="46"/>
      <c r="E902" s="46"/>
      <c r="F902" s="58"/>
      <c r="G902" s="46"/>
      <c r="H902" s="46"/>
      <c r="I902" s="59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 spans="1:25" ht="16.5">
      <c r="A903" s="46"/>
      <c r="B903" s="46"/>
      <c r="C903" s="57"/>
      <c r="D903" s="46"/>
      <c r="E903" s="46"/>
      <c r="F903" s="58"/>
      <c r="G903" s="46"/>
      <c r="H903" s="46"/>
      <c r="I903" s="59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 spans="1:25" ht="16.5">
      <c r="A904" s="46"/>
      <c r="B904" s="46"/>
      <c r="C904" s="57"/>
      <c r="D904" s="46"/>
      <c r="E904" s="46"/>
      <c r="F904" s="58"/>
      <c r="G904" s="46"/>
      <c r="H904" s="46"/>
      <c r="I904" s="59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 spans="1:25" ht="16.5">
      <c r="A905" s="46"/>
      <c r="B905" s="46"/>
      <c r="C905" s="57"/>
      <c r="D905" s="46"/>
      <c r="E905" s="46"/>
      <c r="F905" s="58"/>
      <c r="G905" s="46"/>
      <c r="H905" s="46"/>
      <c r="I905" s="59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 spans="1:25" ht="16.5">
      <c r="A906" s="46"/>
      <c r="B906" s="46"/>
      <c r="C906" s="57"/>
      <c r="D906" s="46"/>
      <c r="E906" s="46"/>
      <c r="F906" s="58"/>
      <c r="G906" s="46"/>
      <c r="H906" s="46"/>
      <c r="I906" s="59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 spans="1:25" ht="16.5">
      <c r="A907" s="46"/>
      <c r="B907" s="46"/>
      <c r="C907" s="57"/>
      <c r="D907" s="46"/>
      <c r="E907" s="46"/>
      <c r="F907" s="58"/>
      <c r="G907" s="46"/>
      <c r="H907" s="46"/>
      <c r="I907" s="59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 spans="1:25" ht="16.5">
      <c r="A908" s="46"/>
      <c r="B908" s="46"/>
      <c r="C908" s="57"/>
      <c r="D908" s="46"/>
      <c r="E908" s="46"/>
      <c r="F908" s="58"/>
      <c r="G908" s="46"/>
      <c r="H908" s="46"/>
      <c r="I908" s="59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 spans="1:25" ht="16.5">
      <c r="A909" s="46"/>
      <c r="B909" s="46"/>
      <c r="C909" s="57"/>
      <c r="D909" s="46"/>
      <c r="E909" s="46"/>
      <c r="F909" s="58"/>
      <c r="G909" s="46"/>
      <c r="H909" s="46"/>
      <c r="I909" s="59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 spans="1:25" ht="16.5">
      <c r="A910" s="46"/>
      <c r="B910" s="46"/>
      <c r="C910" s="57"/>
      <c r="D910" s="46"/>
      <c r="E910" s="46"/>
      <c r="F910" s="58"/>
      <c r="G910" s="46"/>
      <c r="H910" s="46"/>
      <c r="I910" s="59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 spans="1:25" ht="16.5">
      <c r="A911" s="46"/>
      <c r="B911" s="46"/>
      <c r="C911" s="57"/>
      <c r="D911" s="46"/>
      <c r="E911" s="46"/>
      <c r="F911" s="58"/>
      <c r="G911" s="46"/>
      <c r="H911" s="46"/>
      <c r="I911" s="59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 spans="1:25" ht="16.5">
      <c r="A912" s="46"/>
      <c r="B912" s="46"/>
      <c r="C912" s="57"/>
      <c r="D912" s="46"/>
      <c r="E912" s="46"/>
      <c r="F912" s="58"/>
      <c r="G912" s="46"/>
      <c r="H912" s="46"/>
      <c r="I912" s="59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 spans="1:25" ht="16.5">
      <c r="A913" s="46"/>
      <c r="B913" s="46"/>
      <c r="C913" s="57"/>
      <c r="D913" s="46"/>
      <c r="E913" s="46"/>
      <c r="F913" s="58"/>
      <c r="G913" s="46"/>
      <c r="H913" s="46"/>
      <c r="I913" s="59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 spans="1:25" ht="16.5">
      <c r="A914" s="46"/>
      <c r="B914" s="46"/>
      <c r="C914" s="57"/>
      <c r="D914" s="46"/>
      <c r="E914" s="46"/>
      <c r="F914" s="58"/>
      <c r="G914" s="46"/>
      <c r="H914" s="46"/>
      <c r="I914" s="59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 spans="1:25" ht="16.5">
      <c r="A915" s="46"/>
      <c r="B915" s="46"/>
      <c r="C915" s="57"/>
      <c r="D915" s="46"/>
      <c r="E915" s="46"/>
      <c r="F915" s="58"/>
      <c r="G915" s="46"/>
      <c r="H915" s="46"/>
      <c r="I915" s="59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 spans="1:25" ht="16.5">
      <c r="A916" s="46"/>
      <c r="B916" s="46"/>
      <c r="C916" s="57"/>
      <c r="D916" s="46"/>
      <c r="E916" s="46"/>
      <c r="F916" s="58"/>
      <c r="G916" s="46"/>
      <c r="H916" s="46"/>
      <c r="I916" s="59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 spans="1:25" ht="16.5">
      <c r="A917" s="46"/>
      <c r="B917" s="46"/>
      <c r="C917" s="57"/>
      <c r="D917" s="46"/>
      <c r="E917" s="46"/>
      <c r="F917" s="58"/>
      <c r="G917" s="46"/>
      <c r="H917" s="46"/>
      <c r="I917" s="59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 spans="1:25" ht="16.5">
      <c r="A918" s="46"/>
      <c r="B918" s="46"/>
      <c r="C918" s="57"/>
      <c r="D918" s="46"/>
      <c r="E918" s="46"/>
      <c r="F918" s="58"/>
      <c r="G918" s="46"/>
      <c r="H918" s="46"/>
      <c r="I918" s="59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 spans="1:25" ht="16.5">
      <c r="A919" s="46"/>
      <c r="B919" s="46"/>
      <c r="C919" s="57"/>
      <c r="D919" s="46"/>
      <c r="E919" s="46"/>
      <c r="F919" s="58"/>
      <c r="G919" s="46"/>
      <c r="H919" s="46"/>
      <c r="I919" s="59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 spans="1:25" ht="16.5">
      <c r="A920" s="46"/>
      <c r="B920" s="46"/>
      <c r="C920" s="57"/>
      <c r="D920" s="46"/>
      <c r="E920" s="46"/>
      <c r="F920" s="58"/>
      <c r="G920" s="46"/>
      <c r="H920" s="46"/>
      <c r="I920" s="59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 spans="1:25" ht="16.5">
      <c r="A921" s="46"/>
      <c r="B921" s="46"/>
      <c r="C921" s="57"/>
      <c r="D921" s="46"/>
      <c r="E921" s="46"/>
      <c r="F921" s="58"/>
      <c r="G921" s="46"/>
      <c r="H921" s="46"/>
      <c r="I921" s="59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 spans="1:25" ht="16.5">
      <c r="A922" s="46"/>
      <c r="B922" s="46"/>
      <c r="C922" s="57"/>
      <c r="D922" s="46"/>
      <c r="E922" s="46"/>
      <c r="F922" s="58"/>
      <c r="G922" s="46"/>
      <c r="H922" s="46"/>
      <c r="I922" s="59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 spans="1:25" ht="16.5">
      <c r="A923" s="46"/>
      <c r="B923" s="46"/>
      <c r="C923" s="57"/>
      <c r="D923" s="46"/>
      <c r="E923" s="46"/>
      <c r="F923" s="58"/>
      <c r="G923" s="46"/>
      <c r="H923" s="46"/>
      <c r="I923" s="59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 spans="1:25" ht="16.5">
      <c r="A924" s="46"/>
      <c r="B924" s="46"/>
      <c r="C924" s="57"/>
      <c r="D924" s="46"/>
      <c r="E924" s="46"/>
      <c r="F924" s="58"/>
      <c r="G924" s="46"/>
      <c r="H924" s="46"/>
      <c r="I924" s="59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 spans="1:25" ht="16.5">
      <c r="A925" s="46"/>
      <c r="B925" s="46"/>
      <c r="C925" s="57"/>
      <c r="D925" s="46"/>
      <c r="E925" s="46"/>
      <c r="F925" s="58"/>
      <c r="G925" s="46"/>
      <c r="H925" s="46"/>
      <c r="I925" s="59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 spans="1:25" ht="16.5">
      <c r="A926" s="46"/>
      <c r="B926" s="46"/>
      <c r="C926" s="57"/>
      <c r="D926" s="46"/>
      <c r="E926" s="46"/>
      <c r="F926" s="58"/>
      <c r="G926" s="46"/>
      <c r="H926" s="46"/>
      <c r="I926" s="59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 spans="1:25" ht="16.5">
      <c r="A927" s="46"/>
      <c r="B927" s="46"/>
      <c r="C927" s="57"/>
      <c r="D927" s="46"/>
      <c r="E927" s="46"/>
      <c r="F927" s="58"/>
      <c r="G927" s="46"/>
      <c r="H927" s="46"/>
      <c r="I927" s="59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 spans="1:25" ht="16.5">
      <c r="A928" s="46"/>
      <c r="B928" s="46"/>
      <c r="C928" s="57"/>
      <c r="D928" s="46"/>
      <c r="E928" s="46"/>
      <c r="F928" s="58"/>
      <c r="G928" s="46"/>
      <c r="H928" s="46"/>
      <c r="I928" s="59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 spans="1:25" ht="16.5">
      <c r="A929" s="46"/>
      <c r="B929" s="46"/>
      <c r="C929" s="57"/>
      <c r="D929" s="46"/>
      <c r="E929" s="46"/>
      <c r="F929" s="58"/>
      <c r="G929" s="46"/>
      <c r="H929" s="46"/>
      <c r="I929" s="59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 spans="1:25" ht="16.5">
      <c r="A930" s="46"/>
      <c r="B930" s="46"/>
      <c r="C930" s="57"/>
      <c r="D930" s="46"/>
      <c r="E930" s="46"/>
      <c r="F930" s="58"/>
      <c r="G930" s="46"/>
      <c r="H930" s="46"/>
      <c r="I930" s="59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 spans="1:25" ht="16.5">
      <c r="A931" s="46"/>
      <c r="B931" s="46"/>
      <c r="C931" s="57"/>
      <c r="D931" s="46"/>
      <c r="E931" s="46"/>
      <c r="F931" s="58"/>
      <c r="G931" s="46"/>
      <c r="H931" s="46"/>
      <c r="I931" s="59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 spans="1:25" ht="16.5">
      <c r="A932" s="46"/>
      <c r="B932" s="46"/>
      <c r="C932" s="57"/>
      <c r="D932" s="46"/>
      <c r="E932" s="46"/>
      <c r="F932" s="58"/>
      <c r="G932" s="46"/>
      <c r="H932" s="46"/>
      <c r="I932" s="59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 spans="1:25" ht="16.5">
      <c r="A933" s="46"/>
      <c r="B933" s="46"/>
      <c r="C933" s="57"/>
      <c r="D933" s="46"/>
      <c r="E933" s="46"/>
      <c r="F933" s="58"/>
      <c r="G933" s="46"/>
      <c r="H933" s="46"/>
      <c r="I933" s="59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 spans="1:25" ht="16.5">
      <c r="A934" s="46"/>
      <c r="B934" s="46"/>
      <c r="C934" s="57"/>
      <c r="D934" s="46"/>
      <c r="E934" s="46"/>
      <c r="F934" s="58"/>
      <c r="G934" s="46"/>
      <c r="H934" s="46"/>
      <c r="I934" s="59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 spans="1:25" ht="16.5">
      <c r="A935" s="46"/>
      <c r="B935" s="46"/>
      <c r="C935" s="57"/>
      <c r="D935" s="46"/>
      <c r="E935" s="46"/>
      <c r="F935" s="58"/>
      <c r="G935" s="46"/>
      <c r="H935" s="46"/>
      <c r="I935" s="59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 spans="1:25" ht="16.5">
      <c r="A936" s="46"/>
      <c r="B936" s="46"/>
      <c r="C936" s="57"/>
      <c r="D936" s="46"/>
      <c r="E936" s="46"/>
      <c r="F936" s="58"/>
      <c r="G936" s="46"/>
      <c r="H936" s="46"/>
      <c r="I936" s="59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 spans="1:25" ht="16.5">
      <c r="A937" s="46"/>
      <c r="B937" s="46"/>
      <c r="C937" s="57"/>
      <c r="D937" s="46"/>
      <c r="E937" s="46"/>
      <c r="F937" s="58"/>
      <c r="G937" s="46"/>
      <c r="H937" s="46"/>
      <c r="I937" s="59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 spans="1:25" ht="16.5">
      <c r="A938" s="46"/>
      <c r="B938" s="46"/>
      <c r="C938" s="57"/>
      <c r="D938" s="46"/>
      <c r="E938" s="46"/>
      <c r="F938" s="58"/>
      <c r="G938" s="46"/>
      <c r="H938" s="46"/>
      <c r="I938" s="59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 spans="1:25" ht="16.5">
      <c r="A939" s="46"/>
      <c r="B939" s="46"/>
      <c r="C939" s="57"/>
      <c r="D939" s="46"/>
      <c r="E939" s="46"/>
      <c r="F939" s="58"/>
      <c r="G939" s="46"/>
      <c r="H939" s="46"/>
      <c r="I939" s="59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 spans="1:25" ht="16.5">
      <c r="A940" s="46"/>
      <c r="B940" s="46"/>
      <c r="C940" s="57"/>
      <c r="D940" s="46"/>
      <c r="E940" s="46"/>
      <c r="F940" s="58"/>
      <c r="G940" s="46"/>
      <c r="H940" s="46"/>
      <c r="I940" s="59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 spans="1:25" ht="16.5">
      <c r="A941" s="46"/>
      <c r="B941" s="46"/>
      <c r="C941" s="57"/>
      <c r="D941" s="46"/>
      <c r="E941" s="46"/>
      <c r="F941" s="58"/>
      <c r="G941" s="46"/>
      <c r="H941" s="46"/>
      <c r="I941" s="59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 spans="1:25" ht="16.5">
      <c r="A942" s="46"/>
      <c r="B942" s="46"/>
      <c r="C942" s="57"/>
      <c r="D942" s="46"/>
      <c r="E942" s="46"/>
      <c r="F942" s="58"/>
      <c r="G942" s="46"/>
      <c r="H942" s="46"/>
      <c r="I942" s="59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 spans="1:25" ht="16.5">
      <c r="A943" s="46"/>
      <c r="B943" s="46"/>
      <c r="C943" s="57"/>
      <c r="D943" s="46"/>
      <c r="E943" s="46"/>
      <c r="F943" s="58"/>
      <c r="G943" s="46"/>
      <c r="H943" s="46"/>
      <c r="I943" s="59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 spans="1:25" ht="16.5">
      <c r="A944" s="46"/>
      <c r="B944" s="46"/>
      <c r="C944" s="57"/>
      <c r="D944" s="46"/>
      <c r="E944" s="46"/>
      <c r="F944" s="58"/>
      <c r="G944" s="46"/>
      <c r="H944" s="46"/>
      <c r="I944" s="59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 spans="1:25" ht="16.5">
      <c r="A945" s="46"/>
      <c r="B945" s="46"/>
      <c r="C945" s="57"/>
      <c r="D945" s="46"/>
      <c r="E945" s="46"/>
      <c r="F945" s="58"/>
      <c r="G945" s="46"/>
      <c r="H945" s="46"/>
      <c r="I945" s="59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 spans="1:25" ht="16.5">
      <c r="A946" s="46"/>
      <c r="B946" s="46"/>
      <c r="C946" s="57"/>
      <c r="D946" s="46"/>
      <c r="E946" s="46"/>
      <c r="F946" s="58"/>
      <c r="G946" s="46"/>
      <c r="H946" s="46"/>
      <c r="I946" s="59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 spans="1:25" ht="16.5">
      <c r="A947" s="46"/>
      <c r="B947" s="46"/>
      <c r="C947" s="57"/>
      <c r="D947" s="46"/>
      <c r="E947" s="46"/>
      <c r="F947" s="58"/>
      <c r="G947" s="46"/>
      <c r="H947" s="46"/>
      <c r="I947" s="59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 spans="1:25" ht="16.5">
      <c r="A948" s="46"/>
      <c r="B948" s="46"/>
      <c r="C948" s="57"/>
      <c r="D948" s="46"/>
      <c r="E948" s="46"/>
      <c r="F948" s="58"/>
      <c r="G948" s="46"/>
      <c r="H948" s="46"/>
      <c r="I948" s="59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 spans="1:25" ht="16.5">
      <c r="A949" s="46"/>
      <c r="B949" s="46"/>
      <c r="C949" s="57"/>
      <c r="D949" s="46"/>
      <c r="E949" s="46"/>
      <c r="F949" s="58"/>
      <c r="G949" s="46"/>
      <c r="H949" s="46"/>
      <c r="I949" s="59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 spans="1:25" ht="16.5">
      <c r="A950" s="46"/>
      <c r="B950" s="46"/>
      <c r="C950" s="57"/>
      <c r="D950" s="46"/>
      <c r="E950" s="46"/>
      <c r="F950" s="58"/>
      <c r="G950" s="46"/>
      <c r="H950" s="46"/>
      <c r="I950" s="59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 spans="1:25" ht="16.5">
      <c r="A951" s="46"/>
      <c r="B951" s="46"/>
      <c r="C951" s="57"/>
      <c r="D951" s="46"/>
      <c r="E951" s="46"/>
      <c r="F951" s="58"/>
      <c r="G951" s="46"/>
      <c r="H951" s="46"/>
      <c r="I951" s="59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 spans="1:25" ht="16.5">
      <c r="A952" s="46"/>
      <c r="B952" s="46"/>
      <c r="C952" s="57"/>
      <c r="D952" s="46"/>
      <c r="E952" s="46"/>
      <c r="F952" s="58"/>
      <c r="G952" s="46"/>
      <c r="H952" s="46"/>
      <c r="I952" s="59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 spans="1:25" ht="16.5">
      <c r="A953" s="46"/>
      <c r="B953" s="46"/>
      <c r="C953" s="57"/>
      <c r="D953" s="46"/>
      <c r="E953" s="46"/>
      <c r="F953" s="58"/>
      <c r="G953" s="46"/>
      <c r="H953" s="46"/>
      <c r="I953" s="59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 spans="1:25" ht="16.5">
      <c r="A954" s="46"/>
      <c r="B954" s="46"/>
      <c r="C954" s="57"/>
      <c r="D954" s="46"/>
      <c r="E954" s="46"/>
      <c r="F954" s="58"/>
      <c r="G954" s="46"/>
      <c r="H954" s="46"/>
      <c r="I954" s="59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 spans="1:25" ht="16.5">
      <c r="A955" s="46"/>
      <c r="B955" s="46"/>
      <c r="C955" s="57"/>
      <c r="D955" s="46"/>
      <c r="E955" s="46"/>
      <c r="F955" s="58"/>
      <c r="G955" s="46"/>
      <c r="H955" s="46"/>
      <c r="I955" s="59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 spans="1:25" ht="16.5">
      <c r="A956" s="46"/>
      <c r="B956" s="46"/>
      <c r="C956" s="57"/>
      <c r="D956" s="46"/>
      <c r="E956" s="46"/>
      <c r="F956" s="58"/>
      <c r="G956" s="46"/>
      <c r="H956" s="46"/>
      <c r="I956" s="59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 spans="1:25" ht="16.5">
      <c r="A957" s="46"/>
      <c r="B957" s="46"/>
      <c r="C957" s="57"/>
      <c r="D957" s="46"/>
      <c r="E957" s="46"/>
      <c r="F957" s="58"/>
      <c r="G957" s="46"/>
      <c r="H957" s="46"/>
      <c r="I957" s="59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 spans="1:25" ht="16.5">
      <c r="A958" s="46"/>
      <c r="B958" s="46"/>
      <c r="C958" s="57"/>
      <c r="D958" s="46"/>
      <c r="E958" s="46"/>
      <c r="F958" s="58"/>
      <c r="G958" s="46"/>
      <c r="H958" s="46"/>
      <c r="I958" s="59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 spans="1:25" ht="16.5">
      <c r="A959" s="46"/>
      <c r="B959" s="46"/>
      <c r="C959" s="57"/>
      <c r="D959" s="46"/>
      <c r="E959" s="46"/>
      <c r="F959" s="58"/>
      <c r="G959" s="46"/>
      <c r="H959" s="46"/>
      <c r="I959" s="59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 spans="1:25" ht="16.5">
      <c r="A960" s="46"/>
      <c r="B960" s="46"/>
      <c r="C960" s="57"/>
      <c r="D960" s="46"/>
      <c r="E960" s="46"/>
      <c r="F960" s="58"/>
      <c r="G960" s="46"/>
      <c r="H960" s="46"/>
      <c r="I960" s="59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 spans="1:25" ht="16.5">
      <c r="A961" s="46"/>
      <c r="B961" s="46"/>
      <c r="C961" s="57"/>
      <c r="D961" s="46"/>
      <c r="E961" s="46"/>
      <c r="F961" s="58"/>
      <c r="G961" s="46"/>
      <c r="H961" s="46"/>
      <c r="I961" s="59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 spans="1:25" ht="16.5">
      <c r="A962" s="46"/>
      <c r="B962" s="46"/>
      <c r="C962" s="57"/>
      <c r="D962" s="46"/>
      <c r="E962" s="46"/>
      <c r="F962" s="58"/>
      <c r="G962" s="46"/>
      <c r="H962" s="46"/>
      <c r="I962" s="59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 spans="1:25" ht="16.5">
      <c r="A963" s="46"/>
      <c r="B963" s="46"/>
      <c r="C963" s="57"/>
      <c r="D963" s="46"/>
      <c r="E963" s="46"/>
      <c r="F963" s="58"/>
      <c r="G963" s="46"/>
      <c r="H963" s="46"/>
      <c r="I963" s="59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 spans="1:25" ht="16.5">
      <c r="A964" s="46"/>
      <c r="B964" s="46"/>
      <c r="C964" s="57"/>
      <c r="D964" s="46"/>
      <c r="E964" s="46"/>
      <c r="F964" s="58"/>
      <c r="G964" s="46"/>
      <c r="H964" s="46"/>
      <c r="I964" s="59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 spans="1:25" ht="16.5">
      <c r="A965" s="46"/>
      <c r="B965" s="46"/>
      <c r="C965" s="57"/>
      <c r="D965" s="46"/>
      <c r="E965" s="46"/>
      <c r="F965" s="58"/>
      <c r="G965" s="46"/>
      <c r="H965" s="46"/>
      <c r="I965" s="59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 spans="1:25" ht="16.5">
      <c r="A966" s="46"/>
      <c r="B966" s="46"/>
      <c r="C966" s="57"/>
      <c r="D966" s="46"/>
      <c r="E966" s="46"/>
      <c r="F966" s="58"/>
      <c r="G966" s="46"/>
      <c r="H966" s="46"/>
      <c r="I966" s="59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 spans="1:25" ht="16.5">
      <c r="A967" s="46"/>
      <c r="B967" s="46"/>
      <c r="C967" s="57"/>
      <c r="D967" s="46"/>
      <c r="E967" s="46"/>
      <c r="F967" s="58"/>
      <c r="G967" s="46"/>
      <c r="H967" s="46"/>
      <c r="I967" s="59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 spans="1:25" ht="16.5">
      <c r="A968" s="46"/>
      <c r="B968" s="46"/>
      <c r="C968" s="57"/>
      <c r="D968" s="46"/>
      <c r="E968" s="46"/>
      <c r="F968" s="58"/>
      <c r="G968" s="46"/>
      <c r="H968" s="46"/>
      <c r="I968" s="59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 spans="1:25" ht="16.5">
      <c r="A969" s="46"/>
      <c r="B969" s="46"/>
      <c r="C969" s="57"/>
      <c r="D969" s="46"/>
      <c r="E969" s="46"/>
      <c r="F969" s="58"/>
      <c r="G969" s="46"/>
      <c r="H969" s="46"/>
      <c r="I969" s="59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 spans="1:25" ht="16.5">
      <c r="A970" s="46"/>
      <c r="B970" s="46"/>
      <c r="C970" s="57"/>
      <c r="D970" s="46"/>
      <c r="E970" s="46"/>
      <c r="F970" s="58"/>
      <c r="G970" s="46"/>
      <c r="H970" s="46"/>
      <c r="I970" s="59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 spans="1:25" ht="16.5">
      <c r="A971" s="46"/>
      <c r="B971" s="46"/>
      <c r="C971" s="57"/>
      <c r="D971" s="46"/>
      <c r="E971" s="46"/>
      <c r="F971" s="58"/>
      <c r="G971" s="46"/>
      <c r="H971" s="46"/>
      <c r="I971" s="59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 spans="1:25" ht="16.5">
      <c r="A972" s="46"/>
      <c r="B972" s="46"/>
      <c r="C972" s="57"/>
      <c r="D972" s="46"/>
      <c r="E972" s="46"/>
      <c r="F972" s="58"/>
      <c r="G972" s="46"/>
      <c r="H972" s="46"/>
      <c r="I972" s="59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 spans="1:25" ht="16.5">
      <c r="A973" s="46"/>
      <c r="B973" s="46"/>
      <c r="C973" s="57"/>
      <c r="D973" s="46"/>
      <c r="E973" s="46"/>
      <c r="F973" s="58"/>
      <c r="G973" s="46"/>
      <c r="H973" s="46"/>
      <c r="I973" s="59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 spans="1:25" ht="16.5">
      <c r="A974" s="46"/>
      <c r="B974" s="46"/>
      <c r="C974" s="57"/>
      <c r="D974" s="46"/>
      <c r="E974" s="46"/>
      <c r="F974" s="58"/>
      <c r="G974" s="46"/>
      <c r="H974" s="46"/>
      <c r="I974" s="59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 spans="1:25" ht="16.5">
      <c r="A975" s="46"/>
      <c r="B975" s="46"/>
      <c r="C975" s="57"/>
      <c r="D975" s="46"/>
      <c r="E975" s="46"/>
      <c r="F975" s="58"/>
      <c r="G975" s="46"/>
      <c r="H975" s="46"/>
      <c r="I975" s="59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 spans="1:25" ht="16.5">
      <c r="A976" s="46"/>
      <c r="B976" s="46"/>
      <c r="C976" s="57"/>
      <c r="D976" s="46"/>
      <c r="E976" s="46"/>
      <c r="F976" s="58"/>
      <c r="G976" s="46"/>
      <c r="H976" s="46"/>
      <c r="I976" s="59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 spans="1:25" ht="16.5">
      <c r="A977" s="46"/>
      <c r="B977" s="46"/>
      <c r="C977" s="57"/>
      <c r="D977" s="46"/>
      <c r="E977" s="46"/>
      <c r="F977" s="58"/>
      <c r="G977" s="46"/>
      <c r="H977" s="46"/>
      <c r="I977" s="59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 spans="1:25" ht="16.5">
      <c r="A978" s="46"/>
      <c r="B978" s="46"/>
      <c r="C978" s="57"/>
      <c r="D978" s="46"/>
      <c r="E978" s="46"/>
      <c r="F978" s="58"/>
      <c r="G978" s="46"/>
      <c r="H978" s="46"/>
      <c r="I978" s="59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 spans="1:25" ht="16.5">
      <c r="A979" s="46"/>
      <c r="B979" s="46"/>
      <c r="C979" s="57"/>
      <c r="D979" s="46"/>
      <c r="E979" s="46"/>
      <c r="F979" s="58"/>
      <c r="G979" s="46"/>
      <c r="H979" s="46"/>
      <c r="I979" s="59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 spans="1:25" ht="16.5">
      <c r="A980" s="46"/>
      <c r="B980" s="46"/>
      <c r="C980" s="57"/>
      <c r="D980" s="46"/>
      <c r="E980" s="46"/>
      <c r="F980" s="58"/>
      <c r="G980" s="46"/>
      <c r="H980" s="46"/>
      <c r="I980" s="59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 spans="1:25" ht="16.5">
      <c r="A981" s="46"/>
      <c r="B981" s="46"/>
      <c r="C981" s="57"/>
      <c r="D981" s="46"/>
      <c r="E981" s="46"/>
      <c r="F981" s="58"/>
      <c r="G981" s="46"/>
      <c r="H981" s="46"/>
      <c r="I981" s="59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 spans="1:25" ht="16.5">
      <c r="A982" s="46"/>
      <c r="B982" s="46"/>
      <c r="C982" s="57"/>
      <c r="D982" s="46"/>
      <c r="E982" s="46"/>
      <c r="F982" s="58"/>
      <c r="G982" s="46"/>
      <c r="H982" s="46"/>
      <c r="I982" s="59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 spans="1:25" ht="16.5">
      <c r="A983" s="46"/>
      <c r="B983" s="46"/>
      <c r="C983" s="57"/>
      <c r="D983" s="46"/>
      <c r="E983" s="46"/>
      <c r="F983" s="58"/>
      <c r="G983" s="46"/>
      <c r="H983" s="46"/>
      <c r="I983" s="59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 spans="1:25" ht="16.5">
      <c r="A984" s="46"/>
      <c r="B984" s="46"/>
      <c r="C984" s="57"/>
      <c r="D984" s="46"/>
      <c r="E984" s="46"/>
      <c r="F984" s="58"/>
      <c r="G984" s="46"/>
      <c r="H984" s="46"/>
      <c r="I984" s="59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 spans="1:25" ht="16.5">
      <c r="A985" s="46"/>
      <c r="B985" s="46"/>
      <c r="C985" s="57"/>
      <c r="D985" s="46"/>
      <c r="E985" s="46"/>
      <c r="F985" s="58"/>
      <c r="G985" s="46"/>
      <c r="H985" s="46"/>
      <c r="I985" s="59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 spans="1:25" ht="16.5">
      <c r="A986" s="46"/>
      <c r="B986" s="46"/>
      <c r="C986" s="57"/>
      <c r="D986" s="46"/>
      <c r="E986" s="46"/>
      <c r="F986" s="58"/>
      <c r="G986" s="46"/>
      <c r="H986" s="46"/>
      <c r="I986" s="59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 spans="1:25" ht="16.5">
      <c r="A987" s="46"/>
      <c r="B987" s="46"/>
      <c r="C987" s="57"/>
      <c r="D987" s="46"/>
      <c r="E987" s="46"/>
      <c r="F987" s="58"/>
      <c r="G987" s="46"/>
      <c r="H987" s="46"/>
      <c r="I987" s="59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 spans="1:25" ht="16.5">
      <c r="A988" s="46"/>
      <c r="B988" s="46"/>
      <c r="C988" s="57"/>
      <c r="D988" s="46"/>
      <c r="E988" s="46"/>
      <c r="F988" s="58"/>
      <c r="G988" s="46"/>
      <c r="H988" s="46"/>
      <c r="I988" s="59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 spans="1:25" ht="16.5">
      <c r="A989" s="46"/>
      <c r="B989" s="46"/>
      <c r="C989" s="57"/>
      <c r="D989" s="46"/>
      <c r="E989" s="46"/>
      <c r="F989" s="58"/>
      <c r="G989" s="46"/>
      <c r="H989" s="46"/>
      <c r="I989" s="59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 spans="1:25" ht="16.5">
      <c r="A990" s="46"/>
      <c r="B990" s="46"/>
      <c r="C990" s="57"/>
      <c r="D990" s="46"/>
      <c r="E990" s="46"/>
      <c r="F990" s="58"/>
      <c r="G990" s="46"/>
      <c r="H990" s="46"/>
      <c r="I990" s="59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 spans="1:25" ht="16.5">
      <c r="A991" s="46"/>
      <c r="B991" s="46"/>
      <c r="C991" s="57"/>
      <c r="D991" s="46"/>
      <c r="E991" s="46"/>
      <c r="F991" s="58"/>
      <c r="G991" s="46"/>
      <c r="H991" s="46"/>
      <c r="I991" s="59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 spans="1:25" ht="16.5">
      <c r="A992" s="46"/>
      <c r="B992" s="46"/>
      <c r="C992" s="57"/>
      <c r="D992" s="46"/>
      <c r="E992" s="46"/>
      <c r="F992" s="58"/>
      <c r="G992" s="46"/>
      <c r="H992" s="46"/>
      <c r="I992" s="59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 spans="1:25" ht="16.5">
      <c r="A993" s="46"/>
      <c r="B993" s="46"/>
      <c r="C993" s="57"/>
      <c r="D993" s="46"/>
      <c r="E993" s="46"/>
      <c r="F993" s="58"/>
      <c r="G993" s="46"/>
      <c r="H993" s="46"/>
      <c r="I993" s="59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 spans="1:25" ht="16.5">
      <c r="A994" s="46"/>
      <c r="B994" s="46"/>
      <c r="C994" s="57"/>
      <c r="D994" s="46"/>
      <c r="E994" s="46"/>
      <c r="F994" s="58"/>
      <c r="G994" s="46"/>
      <c r="H994" s="46"/>
      <c r="I994" s="59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 spans="1:25" ht="16.5">
      <c r="A995" s="46"/>
      <c r="B995" s="46"/>
      <c r="C995" s="57"/>
      <c r="D995" s="46"/>
      <c r="E995" s="46"/>
      <c r="F995" s="58"/>
      <c r="G995" s="46"/>
      <c r="H995" s="46"/>
      <c r="I995" s="59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 spans="1:25" ht="16.5">
      <c r="A996" s="46"/>
      <c r="B996" s="46"/>
      <c r="C996" s="57"/>
      <c r="D996" s="46"/>
      <c r="E996" s="46"/>
      <c r="F996" s="58"/>
      <c r="G996" s="46"/>
      <c r="H996" s="46"/>
      <c r="I996" s="59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 spans="1:25" ht="16.5">
      <c r="A997" s="46"/>
      <c r="B997" s="46"/>
      <c r="C997" s="57"/>
      <c r="D997" s="46"/>
      <c r="E997" s="46"/>
      <c r="F997" s="58"/>
      <c r="G997" s="46"/>
      <c r="H997" s="46"/>
      <c r="I997" s="59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 spans="1:25" ht="16.5">
      <c r="A998" s="46"/>
      <c r="B998" s="46"/>
      <c r="C998" s="57"/>
      <c r="D998" s="46"/>
      <c r="E998" s="46"/>
      <c r="F998" s="58"/>
      <c r="G998" s="46"/>
      <c r="H998" s="46"/>
      <c r="I998" s="59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 spans="1:25" ht="16.5">
      <c r="A999" s="46"/>
      <c r="B999" s="46"/>
      <c r="C999" s="57"/>
      <c r="D999" s="46"/>
      <c r="E999" s="46"/>
      <c r="F999" s="58"/>
      <c r="G999" s="46"/>
      <c r="H999" s="46"/>
      <c r="I999" s="59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</sheetData>
  <mergeCells count="3">
    <mergeCell ref="A3:B3"/>
    <mergeCell ref="D3:E3"/>
    <mergeCell ref="G3:H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AA1000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4.42578125" customWidth="1"/>
    <col min="3" max="3" width="4.42578125" customWidth="1"/>
    <col min="4" max="4" width="18.42578125" customWidth="1"/>
    <col min="5" max="5" width="64.7109375" customWidth="1"/>
    <col min="6" max="6" width="3.7109375" customWidth="1"/>
    <col min="7" max="7" width="18.42578125" customWidth="1"/>
    <col min="8" max="8" width="46.85546875" customWidth="1"/>
    <col min="9" max="9" width="4" customWidth="1"/>
    <col min="10" max="27" width="12.7109375" customWidth="1"/>
  </cols>
  <sheetData>
    <row r="1" spans="1:27" ht="27">
      <c r="A1" s="31" t="s">
        <v>203</v>
      </c>
      <c r="B1" s="32" t="s">
        <v>1</v>
      </c>
      <c r="C1" s="33"/>
      <c r="D1" s="34" t="s">
        <v>176</v>
      </c>
      <c r="E1" s="32" t="s">
        <v>1</v>
      </c>
      <c r="F1" s="35"/>
      <c r="G1" s="34" t="s">
        <v>177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24">
      <c r="A2" s="37" t="s">
        <v>5</v>
      </c>
      <c r="B2" s="38" t="s">
        <v>6</v>
      </c>
      <c r="C2" s="33"/>
      <c r="D2" s="39" t="s">
        <v>5</v>
      </c>
      <c r="E2" s="38" t="s">
        <v>6</v>
      </c>
      <c r="F2" s="35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ht="27">
      <c r="A3" s="193" t="s">
        <v>7</v>
      </c>
      <c r="B3" s="192"/>
      <c r="C3" s="33"/>
      <c r="D3" s="193" t="s">
        <v>7</v>
      </c>
      <c r="E3" s="192"/>
      <c r="F3" s="35"/>
      <c r="G3" s="194" t="s">
        <v>7</v>
      </c>
      <c r="H3" s="192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16.5">
      <c r="A4" s="42" t="s">
        <v>204</v>
      </c>
      <c r="B4" s="22" t="s">
        <v>205</v>
      </c>
      <c r="C4" s="33"/>
      <c r="D4" s="42" t="s">
        <v>206</v>
      </c>
      <c r="E4" s="22"/>
      <c r="F4" s="35"/>
      <c r="G4" s="42" t="s">
        <v>207</v>
      </c>
      <c r="H4" s="43"/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ht="16.5">
      <c r="A5" s="42" t="s">
        <v>208</v>
      </c>
      <c r="B5" s="22"/>
      <c r="C5" s="33"/>
      <c r="D5" s="42" t="s">
        <v>209</v>
      </c>
      <c r="F5" s="35"/>
      <c r="G5" s="42" t="s">
        <v>210</v>
      </c>
      <c r="H5" s="44"/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ht="16.5">
      <c r="A6" s="42" t="s">
        <v>211</v>
      </c>
      <c r="B6" s="48"/>
      <c r="C6" s="33"/>
      <c r="D6" s="42" t="s">
        <v>212</v>
      </c>
      <c r="F6" s="35"/>
      <c r="G6" s="42" t="s">
        <v>213</v>
      </c>
      <c r="H6" s="44"/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ht="16.5">
      <c r="A7" s="42" t="s">
        <v>214</v>
      </c>
      <c r="B7" s="48"/>
      <c r="C7" s="33"/>
      <c r="D7" s="42" t="s">
        <v>215</v>
      </c>
      <c r="F7" s="35"/>
      <c r="G7" s="42" t="s">
        <v>216</v>
      </c>
      <c r="H7" s="44"/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ht="16.5">
      <c r="A8" s="42" t="s">
        <v>206</v>
      </c>
      <c r="B8" s="48"/>
      <c r="C8" s="33"/>
      <c r="D8" s="42" t="s">
        <v>207</v>
      </c>
      <c r="F8" s="35"/>
      <c r="G8" s="42" t="s">
        <v>217</v>
      </c>
      <c r="H8" s="44"/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27">
      <c r="A9" s="195" t="s">
        <v>218</v>
      </c>
      <c r="B9" s="196"/>
      <c r="C9" s="33"/>
      <c r="D9" s="195" t="s">
        <v>218</v>
      </c>
      <c r="E9" s="196"/>
      <c r="F9" s="35"/>
      <c r="G9" s="197" t="s">
        <v>218</v>
      </c>
      <c r="H9" s="196"/>
      <c r="I9" s="41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ht="16.5">
      <c r="A10" s="56" t="s">
        <v>59</v>
      </c>
      <c r="B10" s="55"/>
      <c r="C10" s="51"/>
      <c r="D10" s="52"/>
      <c r="E10" s="52"/>
      <c r="F10" s="53"/>
      <c r="G10" s="52"/>
      <c r="H10" s="52"/>
      <c r="I10" s="54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ht="16.5">
      <c r="A11" s="56" t="s">
        <v>59</v>
      </c>
      <c r="B11" s="55"/>
      <c r="C11" s="51"/>
      <c r="D11" s="52"/>
      <c r="E11" s="52"/>
      <c r="F11" s="53"/>
      <c r="G11" s="52"/>
      <c r="H11" s="52"/>
      <c r="I11" s="54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ht="16.5">
      <c r="A12" s="56" t="s">
        <v>59</v>
      </c>
      <c r="B12" s="55"/>
      <c r="C12" s="51"/>
      <c r="D12" s="52"/>
      <c r="E12" s="52"/>
      <c r="F12" s="53"/>
      <c r="G12" s="52"/>
      <c r="H12" s="52"/>
      <c r="I12" s="54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ht="16.5">
      <c r="A13" s="56" t="s">
        <v>59</v>
      </c>
      <c r="B13" s="55"/>
      <c r="C13" s="51"/>
      <c r="D13" s="52"/>
      <c r="E13" s="52"/>
      <c r="F13" s="53"/>
      <c r="G13" s="52"/>
      <c r="H13" s="52"/>
      <c r="I13" s="54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ht="16.5">
      <c r="A14" s="56" t="s">
        <v>59</v>
      </c>
      <c r="B14" s="55"/>
      <c r="C14" s="51"/>
      <c r="D14" s="52"/>
      <c r="E14" s="52"/>
      <c r="F14" s="53"/>
      <c r="G14" s="52"/>
      <c r="H14" s="52"/>
      <c r="I14" s="54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ht="16.5">
      <c r="A15" s="56" t="s">
        <v>59</v>
      </c>
      <c r="B15" s="55"/>
      <c r="C15" s="51"/>
      <c r="D15" s="52"/>
      <c r="E15" s="52"/>
      <c r="F15" s="53"/>
      <c r="G15" s="52"/>
      <c r="H15" s="52"/>
      <c r="I15" s="54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16.5">
      <c r="A16" s="56" t="s">
        <v>59</v>
      </c>
      <c r="B16" s="55"/>
      <c r="C16" s="51"/>
      <c r="D16" s="52"/>
      <c r="E16" s="52"/>
      <c r="F16" s="53"/>
      <c r="G16" s="52"/>
      <c r="H16" s="52"/>
      <c r="I16" s="54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6.5">
      <c r="A17" s="56" t="s">
        <v>59</v>
      </c>
      <c r="B17" s="55"/>
      <c r="C17" s="51"/>
      <c r="D17" s="52"/>
      <c r="E17" s="52"/>
      <c r="F17" s="53"/>
      <c r="G17" s="52"/>
      <c r="H17" s="52"/>
      <c r="I17" s="54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spans="1:27" ht="16.5">
      <c r="A18" s="56" t="s">
        <v>59</v>
      </c>
      <c r="B18" s="55"/>
      <c r="C18" s="51"/>
      <c r="D18" s="52"/>
      <c r="E18" s="52"/>
      <c r="F18" s="53"/>
      <c r="G18" s="52"/>
      <c r="H18" s="52"/>
      <c r="I18" s="54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spans="1:27" ht="16.5">
      <c r="A19" s="56" t="s">
        <v>59</v>
      </c>
      <c r="B19" s="55"/>
      <c r="C19" s="51"/>
      <c r="D19" s="52"/>
      <c r="E19" s="52"/>
      <c r="F19" s="53"/>
      <c r="G19" s="52"/>
      <c r="H19" s="52"/>
      <c r="I19" s="54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spans="1:27" ht="16.5">
      <c r="A20" s="56" t="s">
        <v>59</v>
      </c>
      <c r="B20" s="55"/>
      <c r="C20" s="51"/>
      <c r="D20" s="52"/>
      <c r="E20" s="52"/>
      <c r="F20" s="53"/>
      <c r="G20" s="52"/>
      <c r="H20" s="52"/>
      <c r="I20" s="54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7" ht="16.5">
      <c r="A21" s="56" t="s">
        <v>59</v>
      </c>
      <c r="B21" s="55"/>
      <c r="C21" s="51"/>
      <c r="D21" s="52"/>
      <c r="E21" s="52"/>
      <c r="F21" s="53"/>
      <c r="G21" s="52"/>
      <c r="H21" s="52"/>
      <c r="I21" s="54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27" ht="16.5">
      <c r="A22" s="56" t="s">
        <v>59</v>
      </c>
      <c r="B22" s="55"/>
      <c r="C22" s="51"/>
      <c r="D22" s="52"/>
      <c r="E22" s="52"/>
      <c r="F22" s="53"/>
      <c r="G22" s="52"/>
      <c r="H22" s="52"/>
      <c r="I22" s="54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 ht="16.5">
      <c r="A23" s="56" t="s">
        <v>59</v>
      </c>
      <c r="B23" s="55"/>
      <c r="C23" s="51"/>
      <c r="D23" s="52"/>
      <c r="E23" s="52"/>
      <c r="F23" s="53"/>
      <c r="G23" s="52"/>
      <c r="H23" s="52"/>
      <c r="I23" s="54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27" ht="16.5">
      <c r="A24" s="56" t="s">
        <v>59</v>
      </c>
      <c r="B24" s="55"/>
      <c r="C24" s="51"/>
      <c r="D24" s="52"/>
      <c r="E24" s="52"/>
      <c r="F24" s="53"/>
      <c r="G24" s="52"/>
      <c r="H24" s="52"/>
      <c r="I24" s="54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27" ht="16.5">
      <c r="A25" s="56" t="s">
        <v>59</v>
      </c>
      <c r="B25" s="55"/>
      <c r="C25" s="51"/>
      <c r="D25" s="52"/>
      <c r="E25" s="52"/>
      <c r="F25" s="53"/>
      <c r="G25" s="52"/>
      <c r="H25" s="52"/>
      <c r="I25" s="54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 ht="16.5">
      <c r="A26" s="56" t="s">
        <v>59</v>
      </c>
      <c r="B26" s="55"/>
      <c r="C26" s="51"/>
      <c r="D26" s="52"/>
      <c r="E26" s="52"/>
      <c r="F26" s="53"/>
      <c r="G26" s="52"/>
      <c r="H26" s="52"/>
      <c r="I26" s="54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27" ht="16.5">
      <c r="A27" s="56" t="s">
        <v>59</v>
      </c>
      <c r="B27" s="55"/>
      <c r="C27" s="51"/>
      <c r="D27" s="52"/>
      <c r="E27" s="52"/>
      <c r="F27" s="53"/>
      <c r="G27" s="52"/>
      <c r="H27" s="52"/>
      <c r="I27" s="54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 ht="16.5">
      <c r="A28" s="56" t="s">
        <v>59</v>
      </c>
      <c r="B28" s="55"/>
      <c r="C28" s="51"/>
      <c r="D28" s="52"/>
      <c r="E28" s="52"/>
      <c r="F28" s="53"/>
      <c r="G28" s="52"/>
      <c r="H28" s="52"/>
      <c r="I28" s="54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27" ht="16.5">
      <c r="A29" s="56" t="s">
        <v>59</v>
      </c>
      <c r="B29" s="55"/>
      <c r="C29" s="51"/>
      <c r="D29" s="52"/>
      <c r="E29" s="52"/>
      <c r="F29" s="53"/>
      <c r="G29" s="52"/>
      <c r="H29" s="52"/>
      <c r="I29" s="54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 ht="16.5">
      <c r="A30" s="56" t="s">
        <v>59</v>
      </c>
      <c r="B30" s="55"/>
      <c r="C30" s="51"/>
      <c r="D30" s="52"/>
      <c r="E30" s="52"/>
      <c r="F30" s="53"/>
      <c r="G30" s="52"/>
      <c r="H30" s="52"/>
      <c r="I30" s="54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16.5">
      <c r="A31" s="56" t="s">
        <v>59</v>
      </c>
      <c r="B31" s="55"/>
      <c r="C31" s="51"/>
      <c r="D31" s="52"/>
      <c r="E31" s="52"/>
      <c r="F31" s="53"/>
      <c r="G31" s="52"/>
      <c r="H31" s="52"/>
      <c r="I31" s="54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ht="16.5">
      <c r="A32" s="56" t="s">
        <v>59</v>
      </c>
      <c r="B32" s="55"/>
      <c r="C32" s="51"/>
      <c r="D32" s="52"/>
      <c r="E32" s="52"/>
      <c r="F32" s="53"/>
      <c r="G32" s="52"/>
      <c r="H32" s="52"/>
      <c r="I32" s="54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1:27" ht="16.5">
      <c r="A33" s="56" t="s">
        <v>59</v>
      </c>
      <c r="B33" s="55"/>
      <c r="C33" s="51"/>
      <c r="D33" s="52"/>
      <c r="E33" s="52"/>
      <c r="F33" s="53"/>
      <c r="G33" s="52"/>
      <c r="H33" s="52"/>
      <c r="I33" s="54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ht="16.5">
      <c r="A34" s="56" t="s">
        <v>59</v>
      </c>
      <c r="B34" s="55"/>
      <c r="C34" s="51"/>
      <c r="D34" s="52"/>
      <c r="E34" s="52"/>
      <c r="F34" s="53"/>
      <c r="G34" s="52"/>
      <c r="H34" s="52"/>
      <c r="I34" s="54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17.25" customHeight="1">
      <c r="A35" s="56" t="s">
        <v>59</v>
      </c>
      <c r="B35" s="55"/>
      <c r="C35" s="51"/>
      <c r="D35" s="52"/>
      <c r="E35" s="52"/>
      <c r="F35" s="53"/>
      <c r="G35" s="52"/>
      <c r="H35" s="52"/>
      <c r="I35" s="54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1:27" ht="16.5">
      <c r="A36" s="56" t="s">
        <v>59</v>
      </c>
      <c r="B36" s="55"/>
      <c r="C36" s="51"/>
      <c r="D36" s="52"/>
      <c r="E36" s="52"/>
      <c r="F36" s="53"/>
      <c r="G36" s="52"/>
      <c r="H36" s="52"/>
      <c r="I36" s="54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1:27" ht="16.5">
      <c r="A37" s="56" t="s">
        <v>59</v>
      </c>
      <c r="B37" s="55"/>
      <c r="C37" s="51"/>
      <c r="D37" s="52"/>
      <c r="E37" s="52"/>
      <c r="F37" s="53"/>
      <c r="G37" s="52"/>
      <c r="H37" s="52"/>
      <c r="I37" s="54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1:27" ht="16.5">
      <c r="A38" s="56" t="s">
        <v>59</v>
      </c>
      <c r="B38" s="55"/>
      <c r="C38" s="51"/>
      <c r="D38" s="52"/>
      <c r="E38" s="52"/>
      <c r="F38" s="53"/>
      <c r="G38" s="52"/>
      <c r="H38" s="52"/>
      <c r="I38" s="54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spans="1:27" ht="16.5">
      <c r="A39" s="56" t="s">
        <v>59</v>
      </c>
      <c r="B39" s="55"/>
      <c r="C39" s="51"/>
      <c r="D39" s="52"/>
      <c r="E39" s="52"/>
      <c r="F39" s="53"/>
      <c r="G39" s="52"/>
      <c r="H39" s="52"/>
      <c r="I39" s="54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1:27" ht="16.5">
      <c r="A40" s="56" t="s">
        <v>59</v>
      </c>
      <c r="B40" s="55"/>
      <c r="C40" s="51"/>
      <c r="D40" s="52"/>
      <c r="E40" s="52"/>
      <c r="F40" s="53"/>
      <c r="G40" s="52"/>
      <c r="H40" s="52"/>
      <c r="I40" s="54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 spans="1:27" ht="16.5">
      <c r="A41" s="56" t="s">
        <v>59</v>
      </c>
      <c r="B41" s="55"/>
      <c r="C41" s="51"/>
      <c r="D41" s="52"/>
      <c r="E41" s="52"/>
      <c r="F41" s="53"/>
      <c r="G41" s="52"/>
      <c r="H41" s="52"/>
      <c r="I41" s="54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 spans="1:27" ht="16.5">
      <c r="A42" s="56" t="s">
        <v>59</v>
      </c>
      <c r="B42" s="55"/>
      <c r="C42" s="51"/>
      <c r="D42" s="52"/>
      <c r="E42" s="52"/>
      <c r="F42" s="53"/>
      <c r="G42" s="52"/>
      <c r="H42" s="52"/>
      <c r="I42" s="54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 spans="1:27" ht="16.5">
      <c r="A43" s="56" t="s">
        <v>59</v>
      </c>
      <c r="B43" s="55"/>
      <c r="C43" s="51"/>
      <c r="D43" s="52"/>
      <c r="E43" s="52"/>
      <c r="F43" s="53"/>
      <c r="G43" s="52"/>
      <c r="H43" s="52"/>
      <c r="I43" s="5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 spans="1:27" ht="16.5">
      <c r="A44" s="56" t="s">
        <v>59</v>
      </c>
      <c r="B44" s="55"/>
      <c r="C44" s="51"/>
      <c r="D44" s="52"/>
      <c r="E44" s="52"/>
      <c r="F44" s="53"/>
      <c r="G44" s="52"/>
      <c r="H44" s="52"/>
      <c r="I44" s="54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 spans="1:27" ht="16.5">
      <c r="A45" s="56" t="s">
        <v>59</v>
      </c>
      <c r="B45" s="55"/>
      <c r="C45" s="51"/>
      <c r="D45" s="52"/>
      <c r="E45" s="52"/>
      <c r="F45" s="53"/>
      <c r="G45" s="52"/>
      <c r="H45" s="52"/>
      <c r="I45" s="54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 spans="1:27" ht="16.5">
      <c r="A46" s="56" t="s">
        <v>59</v>
      </c>
      <c r="B46" s="55"/>
      <c r="C46" s="51"/>
      <c r="D46" s="52"/>
      <c r="E46" s="52"/>
      <c r="F46" s="53"/>
      <c r="G46" s="52"/>
      <c r="H46" s="52"/>
      <c r="I46" s="54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 spans="1:27" ht="16.5">
      <c r="A47" s="56" t="s">
        <v>59</v>
      </c>
      <c r="B47" s="55"/>
      <c r="C47" s="51"/>
      <c r="D47" s="52"/>
      <c r="E47" s="52"/>
      <c r="F47" s="53"/>
      <c r="G47" s="52"/>
      <c r="H47" s="52"/>
      <c r="I47" s="54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 spans="1:27" ht="16.5">
      <c r="A48" s="56" t="s">
        <v>59</v>
      </c>
      <c r="B48" s="55"/>
      <c r="C48" s="51"/>
      <c r="D48" s="52"/>
      <c r="E48" s="52"/>
      <c r="F48" s="53"/>
      <c r="G48" s="52"/>
      <c r="H48" s="52"/>
      <c r="I48" s="54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 spans="1:27" ht="16.5">
      <c r="A49" s="56" t="s">
        <v>59</v>
      </c>
      <c r="B49" s="55"/>
      <c r="C49" s="51"/>
      <c r="D49" s="52"/>
      <c r="E49" s="52"/>
      <c r="F49" s="53"/>
      <c r="G49" s="52"/>
      <c r="H49" s="52"/>
      <c r="I49" s="54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 spans="1:27" ht="16.5">
      <c r="A50" s="56" t="s">
        <v>59</v>
      </c>
      <c r="B50" s="55"/>
      <c r="C50" s="51"/>
      <c r="D50" s="52"/>
      <c r="E50" s="52"/>
      <c r="F50" s="53"/>
      <c r="G50" s="52"/>
      <c r="H50" s="52"/>
      <c r="I50" s="54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1:27" ht="16.5">
      <c r="A51" s="56" t="s">
        <v>59</v>
      </c>
      <c r="B51" s="55"/>
      <c r="C51" s="51"/>
      <c r="D51" s="52"/>
      <c r="E51" s="52"/>
      <c r="F51" s="53"/>
      <c r="G51" s="52"/>
      <c r="H51" s="52"/>
      <c r="I51" s="54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 spans="1:27" ht="16.5">
      <c r="A52" s="56" t="s">
        <v>59</v>
      </c>
      <c r="B52" s="55"/>
      <c r="C52" s="51"/>
      <c r="D52" s="52"/>
      <c r="E52" s="52"/>
      <c r="F52" s="53"/>
      <c r="G52" s="52"/>
      <c r="H52" s="52"/>
      <c r="I52" s="54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 spans="1:27" ht="16.5">
      <c r="A53" s="56" t="s">
        <v>59</v>
      </c>
      <c r="B53" s="55"/>
      <c r="C53" s="51"/>
      <c r="D53" s="52"/>
      <c r="E53" s="52"/>
      <c r="F53" s="53"/>
      <c r="G53" s="52"/>
      <c r="H53" s="52"/>
      <c r="I53" s="54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 spans="1:27" ht="16.5">
      <c r="A54" s="56" t="s">
        <v>59</v>
      </c>
      <c r="B54" s="55"/>
      <c r="C54" s="51"/>
      <c r="D54" s="52"/>
      <c r="E54" s="52"/>
      <c r="F54" s="53"/>
      <c r="G54" s="52"/>
      <c r="H54" s="52"/>
      <c r="I54" s="54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 spans="1:27" ht="16.5">
      <c r="A55" s="56" t="s">
        <v>59</v>
      </c>
      <c r="B55" s="55"/>
      <c r="C55" s="51"/>
      <c r="D55" s="52"/>
      <c r="E55" s="52"/>
      <c r="F55" s="53"/>
      <c r="G55" s="52"/>
      <c r="H55" s="52"/>
      <c r="I55" s="54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1:27" ht="16.5">
      <c r="A56" s="46"/>
      <c r="B56" s="46"/>
      <c r="C56" s="57"/>
      <c r="D56" s="46"/>
      <c r="E56" s="46"/>
      <c r="F56" s="58"/>
      <c r="G56" s="46"/>
      <c r="H56" s="46"/>
      <c r="I56" s="59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spans="1:27" ht="16.5">
      <c r="A57" s="46"/>
      <c r="B57" s="46"/>
      <c r="C57" s="57"/>
      <c r="D57" s="46"/>
      <c r="E57" s="46"/>
      <c r="F57" s="58"/>
      <c r="G57" s="46"/>
      <c r="H57" s="46"/>
      <c r="I57" s="59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6.5">
      <c r="A58" s="46"/>
      <c r="B58" s="46"/>
      <c r="C58" s="57"/>
      <c r="D58" s="46"/>
      <c r="E58" s="46"/>
      <c r="F58" s="58"/>
      <c r="G58" s="46"/>
      <c r="H58" s="46"/>
      <c r="I58" s="59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spans="1:27" ht="16.5">
      <c r="A59" s="46"/>
      <c r="B59" s="46"/>
      <c r="C59" s="57"/>
      <c r="D59" s="46"/>
      <c r="E59" s="46"/>
      <c r="F59" s="58"/>
      <c r="G59" s="46"/>
      <c r="H59" s="46"/>
      <c r="I59" s="59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6.5">
      <c r="A60" s="46"/>
      <c r="B60" s="46"/>
      <c r="C60" s="57"/>
      <c r="D60" s="46"/>
      <c r="E60" s="46"/>
      <c r="F60" s="58"/>
      <c r="G60" s="46"/>
      <c r="H60" s="46"/>
      <c r="I60" s="5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spans="1:27" ht="16.5">
      <c r="A61" s="46"/>
      <c r="B61" s="46"/>
      <c r="C61" s="57"/>
      <c r="D61" s="46"/>
      <c r="E61" s="46"/>
      <c r="F61" s="58"/>
      <c r="G61" s="46"/>
      <c r="H61" s="46"/>
      <c r="I61" s="5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6.5">
      <c r="A62" s="46"/>
      <c r="B62" s="46"/>
      <c r="C62" s="57"/>
      <c r="D62" s="46"/>
      <c r="E62" s="46"/>
      <c r="F62" s="58"/>
      <c r="G62" s="46"/>
      <c r="H62" s="46"/>
      <c r="I62" s="59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spans="1:27" ht="16.5">
      <c r="A63" s="46"/>
      <c r="B63" s="46"/>
      <c r="C63" s="57"/>
      <c r="D63" s="46"/>
      <c r="E63" s="46"/>
      <c r="F63" s="58"/>
      <c r="G63" s="46"/>
      <c r="H63" s="46"/>
      <c r="I63" s="59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6.5">
      <c r="A64" s="46"/>
      <c r="B64" s="46"/>
      <c r="C64" s="57"/>
      <c r="D64" s="46"/>
      <c r="E64" s="46"/>
      <c r="F64" s="58"/>
      <c r="G64" s="46"/>
      <c r="H64" s="46"/>
      <c r="I64" s="59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spans="1:27" ht="16.5">
      <c r="A65" s="46"/>
      <c r="B65" s="46"/>
      <c r="C65" s="57"/>
      <c r="D65" s="46"/>
      <c r="E65" s="46"/>
      <c r="F65" s="58"/>
      <c r="G65" s="46"/>
      <c r="H65" s="46"/>
      <c r="I65" s="59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ht="16.5">
      <c r="A66" s="46"/>
      <c r="B66" s="46"/>
      <c r="C66" s="57"/>
      <c r="D66" s="46"/>
      <c r="E66" s="46"/>
      <c r="F66" s="58"/>
      <c r="G66" s="46"/>
      <c r="H66" s="46"/>
      <c r="I66" s="59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spans="1:27" ht="16.5">
      <c r="A67" s="46"/>
      <c r="B67" s="46"/>
      <c r="C67" s="57"/>
      <c r="D67" s="46"/>
      <c r="E67" s="46"/>
      <c r="F67" s="58"/>
      <c r="G67" s="46"/>
      <c r="H67" s="46"/>
      <c r="I67" s="59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spans="1:27" ht="16.5">
      <c r="A68" s="46"/>
      <c r="B68" s="46"/>
      <c r="C68" s="57"/>
      <c r="D68" s="46"/>
      <c r="E68" s="46"/>
      <c r="F68" s="58"/>
      <c r="G68" s="46"/>
      <c r="H68" s="46"/>
      <c r="I68" s="59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spans="1:27" ht="16.5">
      <c r="A69" s="46"/>
      <c r="B69" s="46"/>
      <c r="C69" s="57"/>
      <c r="D69" s="46"/>
      <c r="E69" s="46"/>
      <c r="F69" s="58"/>
      <c r="G69" s="46"/>
      <c r="H69" s="46"/>
      <c r="I69" s="59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spans="1:27" ht="16.5">
      <c r="A70" s="46"/>
      <c r="B70" s="46"/>
      <c r="C70" s="57"/>
      <c r="D70" s="46"/>
      <c r="E70" s="46"/>
      <c r="F70" s="58"/>
      <c r="G70" s="46"/>
      <c r="H70" s="46"/>
      <c r="I70" s="5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spans="1:27" ht="16.5">
      <c r="A71" s="46"/>
      <c r="B71" s="46"/>
      <c r="C71" s="57"/>
      <c r="D71" s="46"/>
      <c r="E71" s="46"/>
      <c r="F71" s="58"/>
      <c r="G71" s="46"/>
      <c r="H71" s="46"/>
      <c r="I71" s="5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spans="1:27" ht="16.5">
      <c r="A72" s="46"/>
      <c r="B72" s="46"/>
      <c r="C72" s="57"/>
      <c r="D72" s="46"/>
      <c r="E72" s="46"/>
      <c r="F72" s="58"/>
      <c r="G72" s="46"/>
      <c r="H72" s="46"/>
      <c r="I72" s="5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spans="1:27" ht="16.5">
      <c r="A73" s="46"/>
      <c r="B73" s="46"/>
      <c r="C73" s="57"/>
      <c r="D73" s="46"/>
      <c r="E73" s="46"/>
      <c r="F73" s="58"/>
      <c r="G73" s="46"/>
      <c r="H73" s="46"/>
      <c r="I73" s="59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spans="1:27" ht="16.5">
      <c r="A74" s="46"/>
      <c r="B74" s="46"/>
      <c r="C74" s="57"/>
      <c r="D74" s="46"/>
      <c r="E74" s="46"/>
      <c r="F74" s="58"/>
      <c r="G74" s="46"/>
      <c r="H74" s="46"/>
      <c r="I74" s="59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spans="1:27" ht="16.5">
      <c r="A75" s="46"/>
      <c r="B75" s="46"/>
      <c r="C75" s="57"/>
      <c r="D75" s="46"/>
      <c r="E75" s="46"/>
      <c r="F75" s="58"/>
      <c r="G75" s="46"/>
      <c r="H75" s="46"/>
      <c r="I75" s="59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spans="1:27" ht="16.5">
      <c r="A76" s="46"/>
      <c r="B76" s="46"/>
      <c r="C76" s="57"/>
      <c r="D76" s="46"/>
      <c r="E76" s="46"/>
      <c r="F76" s="58"/>
      <c r="G76" s="46"/>
      <c r="H76" s="46"/>
      <c r="I76" s="59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spans="1:27" ht="16.5">
      <c r="A77" s="46"/>
      <c r="B77" s="46"/>
      <c r="C77" s="57"/>
      <c r="D77" s="46"/>
      <c r="E77" s="46"/>
      <c r="F77" s="58"/>
      <c r="G77" s="46"/>
      <c r="H77" s="46"/>
      <c r="I77" s="59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spans="1:27" ht="16.5">
      <c r="A78" s="46"/>
      <c r="B78" s="46"/>
      <c r="C78" s="57"/>
      <c r="D78" s="46"/>
      <c r="E78" s="46"/>
      <c r="F78" s="58"/>
      <c r="G78" s="46"/>
      <c r="H78" s="46"/>
      <c r="I78" s="59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spans="1:27" ht="16.5">
      <c r="A79" s="46"/>
      <c r="B79" s="46"/>
      <c r="C79" s="57"/>
      <c r="D79" s="46"/>
      <c r="E79" s="46"/>
      <c r="F79" s="58"/>
      <c r="G79" s="46"/>
      <c r="H79" s="46"/>
      <c r="I79" s="5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spans="1:27" ht="16.5">
      <c r="A80" s="46"/>
      <c r="B80" s="46"/>
      <c r="C80" s="57"/>
      <c r="D80" s="46"/>
      <c r="E80" s="46"/>
      <c r="F80" s="58"/>
      <c r="G80" s="46"/>
      <c r="H80" s="46"/>
      <c r="I80" s="59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spans="1:27" ht="16.5">
      <c r="A81" s="46"/>
      <c r="B81" s="46"/>
      <c r="C81" s="57"/>
      <c r="D81" s="46"/>
      <c r="E81" s="46"/>
      <c r="F81" s="58"/>
      <c r="G81" s="46"/>
      <c r="H81" s="46"/>
      <c r="I81" s="59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spans="1:27" ht="16.5">
      <c r="A82" s="46"/>
      <c r="B82" s="46"/>
      <c r="C82" s="57"/>
      <c r="D82" s="46"/>
      <c r="E82" s="46"/>
      <c r="F82" s="58"/>
      <c r="G82" s="46"/>
      <c r="H82" s="46"/>
      <c r="I82" s="59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spans="1:27" ht="16.5">
      <c r="A83" s="46"/>
      <c r="B83" s="46"/>
      <c r="C83" s="57"/>
      <c r="D83" s="46"/>
      <c r="E83" s="46"/>
      <c r="F83" s="58"/>
      <c r="G83" s="46"/>
      <c r="H83" s="46"/>
      <c r="I83" s="59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spans="1:27" ht="16.5">
      <c r="A84" s="46"/>
      <c r="B84" s="46"/>
      <c r="C84" s="57"/>
      <c r="D84" s="46"/>
      <c r="E84" s="46"/>
      <c r="F84" s="58"/>
      <c r="G84" s="46"/>
      <c r="H84" s="46"/>
      <c r="I84" s="59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spans="1:27" ht="16.5">
      <c r="A85" s="46"/>
      <c r="B85" s="46"/>
      <c r="C85" s="57"/>
      <c r="D85" s="46"/>
      <c r="E85" s="46"/>
      <c r="F85" s="58"/>
      <c r="G85" s="46"/>
      <c r="H85" s="46"/>
      <c r="I85" s="59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spans="1:27" ht="16.5">
      <c r="A86" s="46"/>
      <c r="B86" s="46"/>
      <c r="C86" s="57"/>
      <c r="D86" s="46"/>
      <c r="E86" s="46"/>
      <c r="F86" s="58"/>
      <c r="G86" s="46"/>
      <c r="H86" s="46"/>
      <c r="I86" s="59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spans="1:27" ht="16.5">
      <c r="A87" s="46"/>
      <c r="B87" s="46"/>
      <c r="C87" s="57"/>
      <c r="D87" s="46"/>
      <c r="E87" s="46"/>
      <c r="F87" s="58"/>
      <c r="G87" s="46"/>
      <c r="H87" s="46"/>
      <c r="I87" s="59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spans="1:27" ht="16.5">
      <c r="A88" s="46"/>
      <c r="B88" s="46"/>
      <c r="C88" s="57"/>
      <c r="D88" s="46"/>
      <c r="E88" s="46"/>
      <c r="F88" s="58"/>
      <c r="G88" s="46"/>
      <c r="H88" s="46"/>
      <c r="I88" s="59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spans="1:27" ht="16.5">
      <c r="A89" s="46"/>
      <c r="B89" s="46"/>
      <c r="C89" s="57"/>
      <c r="D89" s="46"/>
      <c r="E89" s="46"/>
      <c r="F89" s="58"/>
      <c r="G89" s="46"/>
      <c r="H89" s="46"/>
      <c r="I89" s="5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spans="1:27" ht="16.5">
      <c r="A90" s="46"/>
      <c r="B90" s="46"/>
      <c r="C90" s="57"/>
      <c r="D90" s="46"/>
      <c r="E90" s="46"/>
      <c r="F90" s="58"/>
      <c r="G90" s="46"/>
      <c r="H90" s="46"/>
      <c r="I90" s="59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spans="1:27" ht="16.5">
      <c r="A91" s="46"/>
      <c r="B91" s="46"/>
      <c r="C91" s="57"/>
      <c r="D91" s="46"/>
      <c r="E91" s="46"/>
      <c r="F91" s="58"/>
      <c r="G91" s="46"/>
      <c r="H91" s="46"/>
      <c r="I91" s="59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spans="1:27" ht="16.5">
      <c r="A92" s="46"/>
      <c r="B92" s="46"/>
      <c r="C92" s="57"/>
      <c r="D92" s="46"/>
      <c r="E92" s="46"/>
      <c r="F92" s="58"/>
      <c r="G92" s="46"/>
      <c r="H92" s="46"/>
      <c r="I92" s="59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spans="1:27" ht="16.5">
      <c r="A93" s="46"/>
      <c r="B93" s="46"/>
      <c r="C93" s="57"/>
      <c r="D93" s="46"/>
      <c r="E93" s="46"/>
      <c r="F93" s="58"/>
      <c r="G93" s="46"/>
      <c r="H93" s="46"/>
      <c r="I93" s="59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spans="1:27" ht="16.5">
      <c r="A94" s="46"/>
      <c r="B94" s="46"/>
      <c r="C94" s="57"/>
      <c r="D94" s="46"/>
      <c r="E94" s="46"/>
      <c r="F94" s="58"/>
      <c r="G94" s="46"/>
      <c r="H94" s="46"/>
      <c r="I94" s="59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spans="1:27" ht="16.5">
      <c r="A95" s="46"/>
      <c r="B95" s="46"/>
      <c r="C95" s="57"/>
      <c r="D95" s="46"/>
      <c r="E95" s="46"/>
      <c r="F95" s="58"/>
      <c r="G95" s="46"/>
      <c r="H95" s="46"/>
      <c r="I95" s="59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spans="1:27" ht="16.5">
      <c r="A96" s="46"/>
      <c r="B96" s="46"/>
      <c r="C96" s="57"/>
      <c r="D96" s="46"/>
      <c r="E96" s="46"/>
      <c r="F96" s="58"/>
      <c r="G96" s="46"/>
      <c r="H96" s="46"/>
      <c r="I96" s="59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spans="1:27" ht="16.5">
      <c r="A97" s="46"/>
      <c r="B97" s="46"/>
      <c r="C97" s="57"/>
      <c r="D97" s="46"/>
      <c r="E97" s="46"/>
      <c r="F97" s="58"/>
      <c r="G97" s="46"/>
      <c r="H97" s="46"/>
      <c r="I97" s="59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spans="1:27" ht="16.5">
      <c r="A98" s="46"/>
      <c r="B98" s="46"/>
      <c r="C98" s="57"/>
      <c r="D98" s="46"/>
      <c r="E98" s="46"/>
      <c r="F98" s="58"/>
      <c r="G98" s="46"/>
      <c r="H98" s="46"/>
      <c r="I98" s="59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spans="1:27" ht="16.5">
      <c r="A99" s="46"/>
      <c r="B99" s="46"/>
      <c r="C99" s="57"/>
      <c r="D99" s="46"/>
      <c r="E99" s="46"/>
      <c r="F99" s="58"/>
      <c r="G99" s="46"/>
      <c r="H99" s="46"/>
      <c r="I99" s="59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spans="1:27" ht="16.5">
      <c r="A100" s="46"/>
      <c r="B100" s="46"/>
      <c r="C100" s="57"/>
      <c r="D100" s="46"/>
      <c r="E100" s="46"/>
      <c r="F100" s="58"/>
      <c r="G100" s="46"/>
      <c r="H100" s="46"/>
      <c r="I100" s="59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spans="1:27" ht="16.5">
      <c r="A101" s="46"/>
      <c r="B101" s="46"/>
      <c r="C101" s="57"/>
      <c r="D101" s="46"/>
      <c r="E101" s="46"/>
      <c r="F101" s="58"/>
      <c r="G101" s="46"/>
      <c r="H101" s="46"/>
      <c r="I101" s="59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spans="1:27" ht="16.5">
      <c r="A102" s="46"/>
      <c r="B102" s="46"/>
      <c r="C102" s="57"/>
      <c r="D102" s="46"/>
      <c r="E102" s="46"/>
      <c r="F102" s="58"/>
      <c r="G102" s="46"/>
      <c r="H102" s="46"/>
      <c r="I102" s="59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spans="1:27" ht="16.5">
      <c r="A103" s="46"/>
      <c r="B103" s="46"/>
      <c r="C103" s="57"/>
      <c r="D103" s="46"/>
      <c r="E103" s="46"/>
      <c r="F103" s="58"/>
      <c r="G103" s="46"/>
      <c r="H103" s="46"/>
      <c r="I103" s="59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spans="1:27" ht="16.5">
      <c r="A104" s="46"/>
      <c r="B104" s="46"/>
      <c r="C104" s="57"/>
      <c r="D104" s="46"/>
      <c r="E104" s="46"/>
      <c r="F104" s="58"/>
      <c r="G104" s="46"/>
      <c r="H104" s="46"/>
      <c r="I104" s="5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spans="1:27" ht="16.5">
      <c r="A105" s="46"/>
      <c r="B105" s="46"/>
      <c r="C105" s="57"/>
      <c r="D105" s="46"/>
      <c r="E105" s="46"/>
      <c r="F105" s="58"/>
      <c r="G105" s="46"/>
      <c r="H105" s="46"/>
      <c r="I105" s="5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spans="1:27" ht="16.5">
      <c r="A106" s="46"/>
      <c r="B106" s="46"/>
      <c r="C106" s="57"/>
      <c r="D106" s="46"/>
      <c r="E106" s="46"/>
      <c r="F106" s="58"/>
      <c r="G106" s="46"/>
      <c r="H106" s="46"/>
      <c r="I106" s="59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spans="1:27" ht="16.5">
      <c r="A107" s="46"/>
      <c r="B107" s="46"/>
      <c r="C107" s="57"/>
      <c r="D107" s="46"/>
      <c r="E107" s="46"/>
      <c r="F107" s="58"/>
      <c r="G107" s="46"/>
      <c r="H107" s="46"/>
      <c r="I107" s="59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spans="1:27" ht="16.5">
      <c r="A108" s="46"/>
      <c r="B108" s="46"/>
      <c r="C108" s="57"/>
      <c r="D108" s="46"/>
      <c r="E108" s="46"/>
      <c r="F108" s="58"/>
      <c r="G108" s="46"/>
      <c r="H108" s="46"/>
      <c r="I108" s="59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spans="1:27" ht="16.5">
      <c r="A109" s="46"/>
      <c r="B109" s="46"/>
      <c r="C109" s="57"/>
      <c r="D109" s="46"/>
      <c r="E109" s="46"/>
      <c r="F109" s="58"/>
      <c r="G109" s="46"/>
      <c r="H109" s="46"/>
      <c r="I109" s="59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spans="1:27" ht="16.5">
      <c r="A110" s="46"/>
      <c r="B110" s="46"/>
      <c r="C110" s="57"/>
      <c r="D110" s="46"/>
      <c r="E110" s="46"/>
      <c r="F110" s="58"/>
      <c r="G110" s="46"/>
      <c r="H110" s="46"/>
      <c r="I110" s="59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spans="1:27" ht="16.5">
      <c r="A111" s="46"/>
      <c r="B111" s="46"/>
      <c r="C111" s="57"/>
      <c r="D111" s="46"/>
      <c r="E111" s="46"/>
      <c r="F111" s="58"/>
      <c r="G111" s="46"/>
      <c r="H111" s="46"/>
      <c r="I111" s="59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spans="1:27" ht="16.5">
      <c r="A112" s="46"/>
      <c r="B112" s="46"/>
      <c r="C112" s="57"/>
      <c r="D112" s="46"/>
      <c r="E112" s="46"/>
      <c r="F112" s="58"/>
      <c r="G112" s="46"/>
      <c r="H112" s="46"/>
      <c r="I112" s="59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spans="1:27" ht="16.5">
      <c r="A113" s="46"/>
      <c r="B113" s="46"/>
      <c r="C113" s="57"/>
      <c r="D113" s="46"/>
      <c r="E113" s="46"/>
      <c r="F113" s="58"/>
      <c r="G113" s="46"/>
      <c r="H113" s="46"/>
      <c r="I113" s="59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spans="1:27" ht="16.5">
      <c r="A114" s="46"/>
      <c r="B114" s="46"/>
      <c r="C114" s="57"/>
      <c r="D114" s="46"/>
      <c r="E114" s="46"/>
      <c r="F114" s="58"/>
      <c r="G114" s="46"/>
      <c r="H114" s="46"/>
      <c r="I114" s="5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spans="1:27" ht="16.5">
      <c r="A115" s="46"/>
      <c r="B115" s="46"/>
      <c r="C115" s="57"/>
      <c r="D115" s="46"/>
      <c r="E115" s="46"/>
      <c r="F115" s="58"/>
      <c r="G115" s="46"/>
      <c r="H115" s="46"/>
      <c r="I115" s="5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spans="1:27" ht="16.5">
      <c r="A116" s="46"/>
      <c r="B116" s="46"/>
      <c r="C116" s="57"/>
      <c r="D116" s="46"/>
      <c r="E116" s="46"/>
      <c r="F116" s="58"/>
      <c r="G116" s="46"/>
      <c r="H116" s="46"/>
      <c r="I116" s="59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spans="1:27" ht="16.5">
      <c r="A117" s="46"/>
      <c r="B117" s="46"/>
      <c r="C117" s="57"/>
      <c r="D117" s="46"/>
      <c r="E117" s="46"/>
      <c r="F117" s="58"/>
      <c r="G117" s="46"/>
      <c r="H117" s="46"/>
      <c r="I117" s="59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spans="1:27" ht="16.5">
      <c r="A118" s="46"/>
      <c r="B118" s="46"/>
      <c r="C118" s="57"/>
      <c r="D118" s="46"/>
      <c r="E118" s="46"/>
      <c r="F118" s="58"/>
      <c r="G118" s="46"/>
      <c r="H118" s="46"/>
      <c r="I118" s="59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spans="1:27" ht="16.5">
      <c r="A119" s="46"/>
      <c r="B119" s="46"/>
      <c r="C119" s="57"/>
      <c r="D119" s="46"/>
      <c r="E119" s="46"/>
      <c r="F119" s="58"/>
      <c r="G119" s="46"/>
      <c r="H119" s="46"/>
      <c r="I119" s="59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spans="1:27" ht="16.5">
      <c r="A120" s="46"/>
      <c r="B120" s="46"/>
      <c r="C120" s="57"/>
      <c r="D120" s="46"/>
      <c r="E120" s="46"/>
      <c r="F120" s="58"/>
      <c r="G120" s="46"/>
      <c r="H120" s="46"/>
      <c r="I120" s="59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spans="1:27" ht="16.5">
      <c r="A121" s="46"/>
      <c r="B121" s="46"/>
      <c r="C121" s="57"/>
      <c r="D121" s="46"/>
      <c r="E121" s="46"/>
      <c r="F121" s="58"/>
      <c r="G121" s="46"/>
      <c r="H121" s="46"/>
      <c r="I121" s="59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spans="1:27" ht="16.5">
      <c r="A122" s="46"/>
      <c r="B122" s="46"/>
      <c r="C122" s="57"/>
      <c r="D122" s="46"/>
      <c r="E122" s="46"/>
      <c r="F122" s="58"/>
      <c r="G122" s="46"/>
      <c r="H122" s="46"/>
      <c r="I122" s="59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spans="1:27" ht="16.5">
      <c r="A123" s="46"/>
      <c r="B123" s="46"/>
      <c r="C123" s="57"/>
      <c r="D123" s="46"/>
      <c r="E123" s="46"/>
      <c r="F123" s="58"/>
      <c r="G123" s="46"/>
      <c r="H123" s="46"/>
      <c r="I123" s="59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spans="1:27" ht="16.5">
      <c r="A124" s="46"/>
      <c r="B124" s="46"/>
      <c r="C124" s="57"/>
      <c r="D124" s="46"/>
      <c r="E124" s="46"/>
      <c r="F124" s="58"/>
      <c r="G124" s="46"/>
      <c r="H124" s="46"/>
      <c r="I124" s="59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spans="1:27" ht="16.5">
      <c r="A125" s="46"/>
      <c r="B125" s="46"/>
      <c r="C125" s="57"/>
      <c r="D125" s="46"/>
      <c r="E125" s="46"/>
      <c r="F125" s="58"/>
      <c r="G125" s="46"/>
      <c r="H125" s="46"/>
      <c r="I125" s="59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spans="1:27" ht="16.5">
      <c r="A126" s="46"/>
      <c r="B126" s="46"/>
      <c r="C126" s="57"/>
      <c r="D126" s="46"/>
      <c r="E126" s="46"/>
      <c r="F126" s="58"/>
      <c r="G126" s="46"/>
      <c r="H126" s="46"/>
      <c r="I126" s="59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spans="1:27" ht="16.5">
      <c r="A127" s="46"/>
      <c r="B127" s="46"/>
      <c r="C127" s="57"/>
      <c r="D127" s="46"/>
      <c r="E127" s="46"/>
      <c r="F127" s="58"/>
      <c r="G127" s="46"/>
      <c r="H127" s="46"/>
      <c r="I127" s="59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spans="1:27" ht="16.5">
      <c r="A128" s="46"/>
      <c r="B128" s="46"/>
      <c r="C128" s="57"/>
      <c r="D128" s="46"/>
      <c r="E128" s="46"/>
      <c r="F128" s="58"/>
      <c r="G128" s="46"/>
      <c r="H128" s="46"/>
      <c r="I128" s="59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spans="1:27" ht="16.5">
      <c r="A129" s="46"/>
      <c r="B129" s="46"/>
      <c r="C129" s="57"/>
      <c r="D129" s="46"/>
      <c r="E129" s="46"/>
      <c r="F129" s="58"/>
      <c r="G129" s="46"/>
      <c r="H129" s="46"/>
      <c r="I129" s="59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spans="1:27" ht="16.5">
      <c r="A130" s="46"/>
      <c r="B130" s="46"/>
      <c r="C130" s="57"/>
      <c r="D130" s="46"/>
      <c r="E130" s="46"/>
      <c r="F130" s="58"/>
      <c r="G130" s="46"/>
      <c r="H130" s="46"/>
      <c r="I130" s="59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spans="1:27" ht="16.5">
      <c r="A131" s="46"/>
      <c r="B131" s="46"/>
      <c r="C131" s="57"/>
      <c r="D131" s="46"/>
      <c r="E131" s="46"/>
      <c r="F131" s="58"/>
      <c r="G131" s="46"/>
      <c r="H131" s="46"/>
      <c r="I131" s="59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spans="1:27" ht="16.5">
      <c r="A132" s="46"/>
      <c r="B132" s="46"/>
      <c r="C132" s="57"/>
      <c r="D132" s="46"/>
      <c r="E132" s="46"/>
      <c r="F132" s="58"/>
      <c r="G132" s="46"/>
      <c r="H132" s="46"/>
      <c r="I132" s="59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spans="1:27" ht="16.5">
      <c r="A133" s="46"/>
      <c r="B133" s="46"/>
      <c r="C133" s="57"/>
      <c r="D133" s="46"/>
      <c r="E133" s="46"/>
      <c r="F133" s="58"/>
      <c r="G133" s="46"/>
      <c r="H133" s="46"/>
      <c r="I133" s="59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spans="1:27" ht="16.5">
      <c r="A134" s="46"/>
      <c r="B134" s="46"/>
      <c r="C134" s="57"/>
      <c r="D134" s="46"/>
      <c r="E134" s="46"/>
      <c r="F134" s="58"/>
      <c r="G134" s="46"/>
      <c r="H134" s="46"/>
      <c r="I134" s="59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spans="1:27" ht="16.5">
      <c r="A135" s="46"/>
      <c r="B135" s="46"/>
      <c r="C135" s="57"/>
      <c r="D135" s="46"/>
      <c r="E135" s="46"/>
      <c r="F135" s="58"/>
      <c r="G135" s="46"/>
      <c r="H135" s="46"/>
      <c r="I135" s="59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spans="1:27" ht="16.5">
      <c r="A136" s="46"/>
      <c r="B136" s="46"/>
      <c r="C136" s="57"/>
      <c r="D136" s="46"/>
      <c r="E136" s="46"/>
      <c r="F136" s="58"/>
      <c r="G136" s="46"/>
      <c r="H136" s="46"/>
      <c r="I136" s="59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spans="1:27" ht="16.5">
      <c r="A137" s="46"/>
      <c r="B137" s="46"/>
      <c r="C137" s="57"/>
      <c r="D137" s="46"/>
      <c r="E137" s="46"/>
      <c r="F137" s="58"/>
      <c r="G137" s="46"/>
      <c r="H137" s="46"/>
      <c r="I137" s="59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spans="1:27" ht="16.5">
      <c r="A138" s="46"/>
      <c r="B138" s="46"/>
      <c r="C138" s="57"/>
      <c r="D138" s="46"/>
      <c r="E138" s="46"/>
      <c r="F138" s="58"/>
      <c r="G138" s="46"/>
      <c r="H138" s="46"/>
      <c r="I138" s="59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spans="1:27" ht="16.5">
      <c r="A139" s="46"/>
      <c r="B139" s="46"/>
      <c r="C139" s="57"/>
      <c r="D139" s="46"/>
      <c r="E139" s="46"/>
      <c r="F139" s="58"/>
      <c r="G139" s="46"/>
      <c r="H139" s="46"/>
      <c r="I139" s="59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spans="1:27" ht="16.5">
      <c r="A140" s="46"/>
      <c r="B140" s="46"/>
      <c r="C140" s="57"/>
      <c r="D140" s="46"/>
      <c r="E140" s="46"/>
      <c r="F140" s="58"/>
      <c r="G140" s="46"/>
      <c r="H140" s="46"/>
      <c r="I140" s="59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spans="1:27" ht="16.5">
      <c r="A141" s="46"/>
      <c r="B141" s="46"/>
      <c r="C141" s="57"/>
      <c r="D141" s="46"/>
      <c r="E141" s="46"/>
      <c r="F141" s="58"/>
      <c r="G141" s="46"/>
      <c r="H141" s="46"/>
      <c r="I141" s="59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spans="1:27" ht="16.5">
      <c r="A142" s="46"/>
      <c r="B142" s="46"/>
      <c r="C142" s="57"/>
      <c r="D142" s="46"/>
      <c r="E142" s="46"/>
      <c r="F142" s="58"/>
      <c r="G142" s="46"/>
      <c r="H142" s="46"/>
      <c r="I142" s="59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spans="1:27" ht="16.5">
      <c r="A143" s="46"/>
      <c r="B143" s="46"/>
      <c r="C143" s="57"/>
      <c r="D143" s="46"/>
      <c r="E143" s="46"/>
      <c r="F143" s="58"/>
      <c r="G143" s="46"/>
      <c r="H143" s="46"/>
      <c r="I143" s="59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spans="1:27" ht="16.5">
      <c r="A144" s="46"/>
      <c r="B144" s="46"/>
      <c r="C144" s="57"/>
      <c r="D144" s="46"/>
      <c r="E144" s="46"/>
      <c r="F144" s="58"/>
      <c r="G144" s="46"/>
      <c r="H144" s="46"/>
      <c r="I144" s="59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spans="1:27" ht="16.5">
      <c r="A145" s="46"/>
      <c r="B145" s="46"/>
      <c r="C145" s="57"/>
      <c r="D145" s="46"/>
      <c r="E145" s="46"/>
      <c r="F145" s="58"/>
      <c r="G145" s="46"/>
      <c r="H145" s="46"/>
      <c r="I145" s="59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spans="1:27" ht="16.5">
      <c r="A146" s="46"/>
      <c r="B146" s="46"/>
      <c r="C146" s="57"/>
      <c r="D146" s="46"/>
      <c r="E146" s="46"/>
      <c r="F146" s="58"/>
      <c r="G146" s="46"/>
      <c r="H146" s="46"/>
      <c r="I146" s="59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spans="1:27" ht="16.5">
      <c r="A147" s="46"/>
      <c r="B147" s="46"/>
      <c r="C147" s="57"/>
      <c r="D147" s="46"/>
      <c r="E147" s="46"/>
      <c r="F147" s="58"/>
      <c r="G147" s="46"/>
      <c r="H147" s="46"/>
      <c r="I147" s="59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spans="1:27" ht="16.5">
      <c r="A148" s="46"/>
      <c r="B148" s="46"/>
      <c r="C148" s="57"/>
      <c r="D148" s="46"/>
      <c r="E148" s="46"/>
      <c r="F148" s="58"/>
      <c r="G148" s="46"/>
      <c r="H148" s="46"/>
      <c r="I148" s="59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spans="1:27" ht="16.5">
      <c r="A149" s="46"/>
      <c r="B149" s="46"/>
      <c r="C149" s="57"/>
      <c r="D149" s="46"/>
      <c r="E149" s="46"/>
      <c r="F149" s="58"/>
      <c r="G149" s="46"/>
      <c r="H149" s="46"/>
      <c r="I149" s="5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spans="1:27" ht="16.5">
      <c r="A150" s="46"/>
      <c r="B150" s="46"/>
      <c r="C150" s="57"/>
      <c r="D150" s="46"/>
      <c r="E150" s="46"/>
      <c r="F150" s="58"/>
      <c r="G150" s="46"/>
      <c r="H150" s="46"/>
      <c r="I150" s="59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spans="1:27" ht="16.5">
      <c r="A151" s="46"/>
      <c r="B151" s="46"/>
      <c r="C151" s="57"/>
      <c r="D151" s="46"/>
      <c r="E151" s="46"/>
      <c r="F151" s="58"/>
      <c r="G151" s="46"/>
      <c r="H151" s="46"/>
      <c r="I151" s="59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spans="1:27" ht="16.5">
      <c r="A152" s="46"/>
      <c r="B152" s="46"/>
      <c r="C152" s="57"/>
      <c r="D152" s="46"/>
      <c r="E152" s="46"/>
      <c r="F152" s="58"/>
      <c r="G152" s="46"/>
      <c r="H152" s="46"/>
      <c r="I152" s="59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spans="1:27" ht="16.5">
      <c r="A153" s="46"/>
      <c r="B153" s="46"/>
      <c r="C153" s="57"/>
      <c r="D153" s="46"/>
      <c r="E153" s="46"/>
      <c r="F153" s="58"/>
      <c r="G153" s="46"/>
      <c r="H153" s="46"/>
      <c r="I153" s="59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spans="1:27" ht="16.5">
      <c r="A154" s="46"/>
      <c r="B154" s="46"/>
      <c r="C154" s="57"/>
      <c r="D154" s="46"/>
      <c r="E154" s="46"/>
      <c r="F154" s="58"/>
      <c r="G154" s="46"/>
      <c r="H154" s="46"/>
      <c r="I154" s="59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spans="1:27" ht="16.5">
      <c r="A155" s="46"/>
      <c r="B155" s="46"/>
      <c r="C155" s="57"/>
      <c r="D155" s="46"/>
      <c r="E155" s="46"/>
      <c r="F155" s="58"/>
      <c r="G155" s="46"/>
      <c r="H155" s="46"/>
      <c r="I155" s="59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spans="1:27" ht="16.5">
      <c r="A156" s="46"/>
      <c r="B156" s="46"/>
      <c r="C156" s="57"/>
      <c r="D156" s="46"/>
      <c r="E156" s="46"/>
      <c r="F156" s="58"/>
      <c r="G156" s="46"/>
      <c r="H156" s="46"/>
      <c r="I156" s="59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spans="1:27" ht="16.5">
      <c r="A157" s="46"/>
      <c r="B157" s="46"/>
      <c r="C157" s="57"/>
      <c r="D157" s="46"/>
      <c r="E157" s="46"/>
      <c r="F157" s="58"/>
      <c r="G157" s="46"/>
      <c r="H157" s="46"/>
      <c r="I157" s="59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spans="1:27" ht="16.5">
      <c r="A158" s="46"/>
      <c r="B158" s="46"/>
      <c r="C158" s="57"/>
      <c r="D158" s="46"/>
      <c r="E158" s="46"/>
      <c r="F158" s="58"/>
      <c r="G158" s="46"/>
      <c r="H158" s="46"/>
      <c r="I158" s="59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spans="1:27" ht="16.5">
      <c r="A159" s="46"/>
      <c r="B159" s="46"/>
      <c r="C159" s="57"/>
      <c r="D159" s="46"/>
      <c r="E159" s="46"/>
      <c r="F159" s="58"/>
      <c r="G159" s="46"/>
      <c r="H159" s="46"/>
      <c r="I159" s="59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spans="1:27" ht="16.5">
      <c r="A160" s="46"/>
      <c r="B160" s="46"/>
      <c r="C160" s="57"/>
      <c r="D160" s="46"/>
      <c r="E160" s="46"/>
      <c r="F160" s="58"/>
      <c r="G160" s="46"/>
      <c r="H160" s="46"/>
      <c r="I160" s="59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spans="1:27" ht="16.5">
      <c r="A161" s="46"/>
      <c r="B161" s="46"/>
      <c r="C161" s="57"/>
      <c r="D161" s="46"/>
      <c r="E161" s="46"/>
      <c r="F161" s="58"/>
      <c r="G161" s="46"/>
      <c r="H161" s="46"/>
      <c r="I161" s="59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spans="1:27" ht="16.5">
      <c r="A162" s="46"/>
      <c r="B162" s="46"/>
      <c r="C162" s="57"/>
      <c r="D162" s="46"/>
      <c r="E162" s="46"/>
      <c r="F162" s="58"/>
      <c r="G162" s="46"/>
      <c r="H162" s="46"/>
      <c r="I162" s="59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spans="1:27" ht="16.5">
      <c r="A163" s="46"/>
      <c r="B163" s="46"/>
      <c r="C163" s="57"/>
      <c r="D163" s="46"/>
      <c r="E163" s="46"/>
      <c r="F163" s="58"/>
      <c r="G163" s="46"/>
      <c r="H163" s="46"/>
      <c r="I163" s="59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spans="1:27" ht="16.5">
      <c r="A164" s="46"/>
      <c r="B164" s="46"/>
      <c r="C164" s="57"/>
      <c r="D164" s="46"/>
      <c r="E164" s="46"/>
      <c r="F164" s="58"/>
      <c r="G164" s="46"/>
      <c r="H164" s="46"/>
      <c r="I164" s="59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spans="1:27" ht="16.5">
      <c r="A165" s="46"/>
      <c r="B165" s="46"/>
      <c r="C165" s="57"/>
      <c r="D165" s="46"/>
      <c r="E165" s="46"/>
      <c r="F165" s="58"/>
      <c r="G165" s="46"/>
      <c r="H165" s="46"/>
      <c r="I165" s="59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spans="1:27" ht="16.5">
      <c r="A166" s="46"/>
      <c r="B166" s="46"/>
      <c r="C166" s="57"/>
      <c r="D166" s="46"/>
      <c r="E166" s="46"/>
      <c r="F166" s="58"/>
      <c r="G166" s="46"/>
      <c r="H166" s="46"/>
      <c r="I166" s="59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spans="1:27" ht="16.5">
      <c r="A167" s="46"/>
      <c r="B167" s="46"/>
      <c r="C167" s="57"/>
      <c r="D167" s="46"/>
      <c r="E167" s="46"/>
      <c r="F167" s="58"/>
      <c r="G167" s="46"/>
      <c r="H167" s="46"/>
      <c r="I167" s="59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spans="1:27" ht="16.5">
      <c r="A168" s="46"/>
      <c r="B168" s="46"/>
      <c r="C168" s="57"/>
      <c r="D168" s="46"/>
      <c r="E168" s="46"/>
      <c r="F168" s="58"/>
      <c r="G168" s="46"/>
      <c r="H168" s="46"/>
      <c r="I168" s="59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spans="1:27" ht="16.5">
      <c r="A169" s="46"/>
      <c r="B169" s="46"/>
      <c r="C169" s="57"/>
      <c r="D169" s="46"/>
      <c r="E169" s="46"/>
      <c r="F169" s="58"/>
      <c r="G169" s="46"/>
      <c r="H169" s="46"/>
      <c r="I169" s="59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spans="1:27" ht="16.5">
      <c r="A170" s="46"/>
      <c r="B170" s="46"/>
      <c r="C170" s="57"/>
      <c r="D170" s="46"/>
      <c r="E170" s="46"/>
      <c r="F170" s="58"/>
      <c r="G170" s="46"/>
      <c r="H170" s="46"/>
      <c r="I170" s="59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spans="1:27" ht="16.5">
      <c r="A171" s="46"/>
      <c r="B171" s="46"/>
      <c r="C171" s="57"/>
      <c r="D171" s="46"/>
      <c r="E171" s="46"/>
      <c r="F171" s="58"/>
      <c r="G171" s="46"/>
      <c r="H171" s="46"/>
      <c r="I171" s="59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spans="1:27" ht="16.5">
      <c r="A172" s="46"/>
      <c r="B172" s="46"/>
      <c r="C172" s="57"/>
      <c r="D172" s="46"/>
      <c r="E172" s="46"/>
      <c r="F172" s="58"/>
      <c r="G172" s="46"/>
      <c r="H172" s="46"/>
      <c r="I172" s="59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spans="1:27" ht="16.5">
      <c r="A173" s="46"/>
      <c r="B173" s="46"/>
      <c r="C173" s="57"/>
      <c r="D173" s="46"/>
      <c r="E173" s="46"/>
      <c r="F173" s="58"/>
      <c r="G173" s="46"/>
      <c r="H173" s="46"/>
      <c r="I173" s="59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spans="1:27" ht="16.5">
      <c r="A174" s="46"/>
      <c r="B174" s="46"/>
      <c r="C174" s="57"/>
      <c r="D174" s="46"/>
      <c r="E174" s="46"/>
      <c r="F174" s="58"/>
      <c r="G174" s="46"/>
      <c r="H174" s="46"/>
      <c r="I174" s="59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spans="1:27" ht="16.5">
      <c r="A175" s="46"/>
      <c r="B175" s="46"/>
      <c r="C175" s="57"/>
      <c r="D175" s="46"/>
      <c r="E175" s="46"/>
      <c r="F175" s="58"/>
      <c r="G175" s="46"/>
      <c r="H175" s="46"/>
      <c r="I175" s="59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spans="1:27" ht="16.5">
      <c r="A176" s="46"/>
      <c r="B176" s="46"/>
      <c r="C176" s="57"/>
      <c r="D176" s="46"/>
      <c r="E176" s="46"/>
      <c r="F176" s="58"/>
      <c r="G176" s="46"/>
      <c r="H176" s="46"/>
      <c r="I176" s="59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spans="1:27" ht="16.5">
      <c r="A177" s="46"/>
      <c r="B177" s="46"/>
      <c r="C177" s="57"/>
      <c r="D177" s="46"/>
      <c r="E177" s="46"/>
      <c r="F177" s="58"/>
      <c r="G177" s="46"/>
      <c r="H177" s="46"/>
      <c r="I177" s="59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spans="1:27" ht="16.5">
      <c r="A178" s="46"/>
      <c r="B178" s="46"/>
      <c r="C178" s="57"/>
      <c r="D178" s="46"/>
      <c r="E178" s="46"/>
      <c r="F178" s="58"/>
      <c r="G178" s="46"/>
      <c r="H178" s="46"/>
      <c r="I178" s="59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spans="1:27" ht="16.5">
      <c r="A179" s="46"/>
      <c r="B179" s="46"/>
      <c r="C179" s="57"/>
      <c r="D179" s="46"/>
      <c r="E179" s="46"/>
      <c r="F179" s="58"/>
      <c r="G179" s="46"/>
      <c r="H179" s="46"/>
      <c r="I179" s="59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spans="1:27" ht="16.5">
      <c r="A180" s="46"/>
      <c r="B180" s="46"/>
      <c r="C180" s="57"/>
      <c r="D180" s="46"/>
      <c r="E180" s="46"/>
      <c r="F180" s="58"/>
      <c r="G180" s="46"/>
      <c r="H180" s="46"/>
      <c r="I180" s="59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spans="1:27" ht="16.5">
      <c r="A181" s="46"/>
      <c r="B181" s="46"/>
      <c r="C181" s="57"/>
      <c r="D181" s="46"/>
      <c r="E181" s="46"/>
      <c r="F181" s="58"/>
      <c r="G181" s="46"/>
      <c r="H181" s="46"/>
      <c r="I181" s="59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spans="1:27" ht="16.5">
      <c r="A182" s="46"/>
      <c r="B182" s="46"/>
      <c r="C182" s="57"/>
      <c r="D182" s="46"/>
      <c r="E182" s="46"/>
      <c r="F182" s="58"/>
      <c r="G182" s="46"/>
      <c r="H182" s="46"/>
      <c r="I182" s="59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spans="1:27" ht="16.5">
      <c r="A183" s="46"/>
      <c r="B183" s="46"/>
      <c r="C183" s="57"/>
      <c r="D183" s="46"/>
      <c r="E183" s="46"/>
      <c r="F183" s="58"/>
      <c r="G183" s="46"/>
      <c r="H183" s="46"/>
      <c r="I183" s="59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spans="1:27" ht="16.5">
      <c r="A184" s="46"/>
      <c r="B184" s="46"/>
      <c r="C184" s="57"/>
      <c r="D184" s="46"/>
      <c r="E184" s="46"/>
      <c r="F184" s="58"/>
      <c r="G184" s="46"/>
      <c r="H184" s="46"/>
      <c r="I184" s="59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spans="1:27" ht="16.5">
      <c r="A185" s="46"/>
      <c r="B185" s="46"/>
      <c r="C185" s="57"/>
      <c r="D185" s="46"/>
      <c r="E185" s="46"/>
      <c r="F185" s="58"/>
      <c r="G185" s="46"/>
      <c r="H185" s="46"/>
      <c r="I185" s="59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spans="1:27" ht="16.5">
      <c r="A186" s="46"/>
      <c r="B186" s="46"/>
      <c r="C186" s="57"/>
      <c r="D186" s="46"/>
      <c r="E186" s="46"/>
      <c r="F186" s="58"/>
      <c r="G186" s="46"/>
      <c r="H186" s="46"/>
      <c r="I186" s="59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spans="1:27" ht="16.5">
      <c r="A187" s="46"/>
      <c r="B187" s="46"/>
      <c r="C187" s="57"/>
      <c r="D187" s="46"/>
      <c r="E187" s="46"/>
      <c r="F187" s="58"/>
      <c r="G187" s="46"/>
      <c r="H187" s="46"/>
      <c r="I187" s="59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spans="1:27" ht="16.5">
      <c r="A188" s="46"/>
      <c r="B188" s="46"/>
      <c r="C188" s="57"/>
      <c r="D188" s="46"/>
      <c r="E188" s="46"/>
      <c r="F188" s="58"/>
      <c r="G188" s="46"/>
      <c r="H188" s="46"/>
      <c r="I188" s="59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spans="1:27" ht="16.5">
      <c r="A189" s="46"/>
      <c r="B189" s="46"/>
      <c r="C189" s="57"/>
      <c r="D189" s="46"/>
      <c r="E189" s="46"/>
      <c r="F189" s="58"/>
      <c r="G189" s="46"/>
      <c r="H189" s="46"/>
      <c r="I189" s="59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spans="1:27" ht="16.5">
      <c r="A190" s="46"/>
      <c r="B190" s="46"/>
      <c r="C190" s="57"/>
      <c r="D190" s="46"/>
      <c r="E190" s="46"/>
      <c r="F190" s="58"/>
      <c r="G190" s="46"/>
      <c r="H190" s="46"/>
      <c r="I190" s="59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spans="1:27" ht="16.5">
      <c r="A191" s="46"/>
      <c r="B191" s="46"/>
      <c r="C191" s="57"/>
      <c r="D191" s="46"/>
      <c r="E191" s="46"/>
      <c r="F191" s="58"/>
      <c r="G191" s="46"/>
      <c r="H191" s="46"/>
      <c r="I191" s="59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spans="1:27" ht="16.5">
      <c r="A192" s="46"/>
      <c r="B192" s="46"/>
      <c r="C192" s="57"/>
      <c r="D192" s="46"/>
      <c r="E192" s="46"/>
      <c r="F192" s="58"/>
      <c r="G192" s="46"/>
      <c r="H192" s="46"/>
      <c r="I192" s="59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spans="1:27" ht="16.5">
      <c r="A193" s="46"/>
      <c r="B193" s="46"/>
      <c r="C193" s="57"/>
      <c r="D193" s="46"/>
      <c r="E193" s="46"/>
      <c r="F193" s="58"/>
      <c r="G193" s="46"/>
      <c r="H193" s="46"/>
      <c r="I193" s="59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spans="1:27" ht="16.5">
      <c r="A194" s="46"/>
      <c r="B194" s="46"/>
      <c r="C194" s="57"/>
      <c r="D194" s="46"/>
      <c r="E194" s="46"/>
      <c r="F194" s="58"/>
      <c r="G194" s="46"/>
      <c r="H194" s="46"/>
      <c r="I194" s="59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spans="1:27" ht="16.5">
      <c r="A195" s="46"/>
      <c r="B195" s="46"/>
      <c r="C195" s="57"/>
      <c r="D195" s="46"/>
      <c r="E195" s="46"/>
      <c r="F195" s="58"/>
      <c r="G195" s="46"/>
      <c r="H195" s="46"/>
      <c r="I195" s="59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spans="1:27" ht="16.5">
      <c r="A196" s="46"/>
      <c r="B196" s="46"/>
      <c r="C196" s="57"/>
      <c r="D196" s="46"/>
      <c r="E196" s="46"/>
      <c r="F196" s="58"/>
      <c r="G196" s="46"/>
      <c r="H196" s="46"/>
      <c r="I196" s="59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spans="1:27" ht="16.5">
      <c r="A197" s="46"/>
      <c r="B197" s="46"/>
      <c r="C197" s="57"/>
      <c r="D197" s="46"/>
      <c r="E197" s="46"/>
      <c r="F197" s="58"/>
      <c r="G197" s="46"/>
      <c r="H197" s="46"/>
      <c r="I197" s="59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spans="1:27" ht="16.5">
      <c r="A198" s="46"/>
      <c r="B198" s="46"/>
      <c r="C198" s="57"/>
      <c r="D198" s="46"/>
      <c r="E198" s="46"/>
      <c r="F198" s="58"/>
      <c r="G198" s="46"/>
      <c r="H198" s="46"/>
      <c r="I198" s="59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spans="1:27" ht="16.5">
      <c r="A199" s="46"/>
      <c r="B199" s="46"/>
      <c r="C199" s="57"/>
      <c r="D199" s="46"/>
      <c r="E199" s="46"/>
      <c r="F199" s="58"/>
      <c r="G199" s="46"/>
      <c r="H199" s="46"/>
      <c r="I199" s="59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spans="1:27" ht="16.5">
      <c r="A200" s="46"/>
      <c r="B200" s="46"/>
      <c r="C200" s="57"/>
      <c r="D200" s="46"/>
      <c r="E200" s="46"/>
      <c r="F200" s="58"/>
      <c r="G200" s="46"/>
      <c r="H200" s="46"/>
      <c r="I200" s="59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spans="1:27" ht="16.5">
      <c r="A201" s="46"/>
      <c r="B201" s="46"/>
      <c r="C201" s="57"/>
      <c r="D201" s="46"/>
      <c r="E201" s="46"/>
      <c r="F201" s="58"/>
      <c r="G201" s="46"/>
      <c r="H201" s="46"/>
      <c r="I201" s="59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spans="1:27" ht="16.5">
      <c r="A202" s="46"/>
      <c r="B202" s="46"/>
      <c r="C202" s="57"/>
      <c r="D202" s="46"/>
      <c r="E202" s="46"/>
      <c r="F202" s="58"/>
      <c r="G202" s="46"/>
      <c r="H202" s="46"/>
      <c r="I202" s="59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spans="1:27" ht="16.5">
      <c r="A203" s="46"/>
      <c r="B203" s="46"/>
      <c r="C203" s="57"/>
      <c r="D203" s="46"/>
      <c r="E203" s="46"/>
      <c r="F203" s="58"/>
      <c r="G203" s="46"/>
      <c r="H203" s="46"/>
      <c r="I203" s="59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spans="1:27" ht="16.5">
      <c r="A204" s="46"/>
      <c r="B204" s="46"/>
      <c r="C204" s="57"/>
      <c r="D204" s="46"/>
      <c r="E204" s="46"/>
      <c r="F204" s="58"/>
      <c r="G204" s="46"/>
      <c r="H204" s="46"/>
      <c r="I204" s="59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spans="1:27" ht="16.5">
      <c r="A205" s="46"/>
      <c r="B205" s="46"/>
      <c r="C205" s="57"/>
      <c r="D205" s="46"/>
      <c r="E205" s="46"/>
      <c r="F205" s="58"/>
      <c r="G205" s="46"/>
      <c r="H205" s="46"/>
      <c r="I205" s="59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spans="1:27" ht="16.5">
      <c r="A206" s="46"/>
      <c r="B206" s="46"/>
      <c r="C206" s="57"/>
      <c r="D206" s="46"/>
      <c r="E206" s="46"/>
      <c r="F206" s="58"/>
      <c r="G206" s="46"/>
      <c r="H206" s="46"/>
      <c r="I206" s="59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spans="1:27" ht="16.5">
      <c r="A207" s="46"/>
      <c r="B207" s="46"/>
      <c r="C207" s="57"/>
      <c r="D207" s="46"/>
      <c r="E207" s="46"/>
      <c r="F207" s="58"/>
      <c r="G207" s="46"/>
      <c r="H207" s="46"/>
      <c r="I207" s="59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spans="1:27" ht="16.5">
      <c r="A208" s="46"/>
      <c r="B208" s="46"/>
      <c r="C208" s="57"/>
      <c r="D208" s="46"/>
      <c r="E208" s="46"/>
      <c r="F208" s="58"/>
      <c r="G208" s="46"/>
      <c r="H208" s="46"/>
      <c r="I208" s="59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spans="1:27" ht="16.5">
      <c r="A209" s="46"/>
      <c r="B209" s="46"/>
      <c r="C209" s="57"/>
      <c r="D209" s="46"/>
      <c r="E209" s="46"/>
      <c r="F209" s="58"/>
      <c r="G209" s="46"/>
      <c r="H209" s="46"/>
      <c r="I209" s="59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spans="1:27" ht="16.5">
      <c r="A210" s="46"/>
      <c r="B210" s="46"/>
      <c r="C210" s="57"/>
      <c r="D210" s="46"/>
      <c r="E210" s="46"/>
      <c r="F210" s="58"/>
      <c r="G210" s="46"/>
      <c r="H210" s="46"/>
      <c r="I210" s="59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spans="1:27" ht="16.5">
      <c r="A211" s="46"/>
      <c r="B211" s="46"/>
      <c r="C211" s="57"/>
      <c r="D211" s="46"/>
      <c r="E211" s="46"/>
      <c r="F211" s="58"/>
      <c r="G211" s="46"/>
      <c r="H211" s="46"/>
      <c r="I211" s="59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spans="1:27" ht="16.5">
      <c r="A212" s="46"/>
      <c r="B212" s="46"/>
      <c r="C212" s="57"/>
      <c r="D212" s="46"/>
      <c r="E212" s="46"/>
      <c r="F212" s="58"/>
      <c r="G212" s="46"/>
      <c r="H212" s="46"/>
      <c r="I212" s="59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spans="1:27" ht="16.5">
      <c r="A213" s="46"/>
      <c r="B213" s="46"/>
      <c r="C213" s="57"/>
      <c r="D213" s="46"/>
      <c r="E213" s="46"/>
      <c r="F213" s="58"/>
      <c r="G213" s="46"/>
      <c r="H213" s="46"/>
      <c r="I213" s="59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spans="1:27" ht="16.5">
      <c r="A214" s="46"/>
      <c r="B214" s="46"/>
      <c r="C214" s="57"/>
      <c r="D214" s="46"/>
      <c r="E214" s="46"/>
      <c r="F214" s="58"/>
      <c r="G214" s="46"/>
      <c r="H214" s="46"/>
      <c r="I214" s="59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spans="1:27" ht="16.5">
      <c r="A215" s="46"/>
      <c r="B215" s="46"/>
      <c r="C215" s="57"/>
      <c r="D215" s="46"/>
      <c r="E215" s="46"/>
      <c r="F215" s="58"/>
      <c r="G215" s="46"/>
      <c r="H215" s="46"/>
      <c r="I215" s="59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spans="1:27" ht="16.5">
      <c r="A216" s="46"/>
      <c r="B216" s="46"/>
      <c r="C216" s="57"/>
      <c r="D216" s="46"/>
      <c r="E216" s="46"/>
      <c r="F216" s="58"/>
      <c r="G216" s="46"/>
      <c r="H216" s="46"/>
      <c r="I216" s="59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spans="1:27" ht="16.5">
      <c r="A217" s="46"/>
      <c r="B217" s="46"/>
      <c r="C217" s="57"/>
      <c r="D217" s="46"/>
      <c r="E217" s="46"/>
      <c r="F217" s="58"/>
      <c r="G217" s="46"/>
      <c r="H217" s="46"/>
      <c r="I217" s="59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spans="1:27" ht="16.5">
      <c r="A218" s="46"/>
      <c r="B218" s="46"/>
      <c r="C218" s="57"/>
      <c r="D218" s="46"/>
      <c r="E218" s="46"/>
      <c r="F218" s="58"/>
      <c r="G218" s="46"/>
      <c r="H218" s="46"/>
      <c r="I218" s="59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spans="1:27" ht="16.5">
      <c r="A219" s="46"/>
      <c r="B219" s="46"/>
      <c r="C219" s="57"/>
      <c r="D219" s="46"/>
      <c r="E219" s="46"/>
      <c r="F219" s="58"/>
      <c r="G219" s="46"/>
      <c r="H219" s="46"/>
      <c r="I219" s="59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spans="1:27" ht="16.5">
      <c r="A220" s="46"/>
      <c r="B220" s="46"/>
      <c r="C220" s="57"/>
      <c r="D220" s="46"/>
      <c r="E220" s="46"/>
      <c r="F220" s="58"/>
      <c r="G220" s="46"/>
      <c r="H220" s="46"/>
      <c r="I220" s="59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spans="1:27" ht="16.5">
      <c r="A221" s="46"/>
      <c r="B221" s="46"/>
      <c r="C221" s="57"/>
      <c r="D221" s="46"/>
      <c r="E221" s="46"/>
      <c r="F221" s="58"/>
      <c r="G221" s="46"/>
      <c r="H221" s="46"/>
      <c r="I221" s="59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spans="1:27" ht="16.5">
      <c r="A222" s="46"/>
      <c r="B222" s="46"/>
      <c r="C222" s="57"/>
      <c r="D222" s="46"/>
      <c r="E222" s="46"/>
      <c r="F222" s="58"/>
      <c r="G222" s="46"/>
      <c r="H222" s="46"/>
      <c r="I222" s="59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spans="1:27" ht="16.5">
      <c r="A223" s="46"/>
      <c r="B223" s="46"/>
      <c r="C223" s="57"/>
      <c r="D223" s="46"/>
      <c r="E223" s="46"/>
      <c r="F223" s="58"/>
      <c r="G223" s="46"/>
      <c r="H223" s="46"/>
      <c r="I223" s="59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spans="1:27" ht="16.5">
      <c r="A224" s="46"/>
      <c r="B224" s="46"/>
      <c r="C224" s="57"/>
      <c r="D224" s="46"/>
      <c r="E224" s="46"/>
      <c r="F224" s="58"/>
      <c r="G224" s="46"/>
      <c r="H224" s="46"/>
      <c r="I224" s="59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spans="1:27" ht="16.5">
      <c r="A225" s="46"/>
      <c r="B225" s="46"/>
      <c r="C225" s="57"/>
      <c r="D225" s="46"/>
      <c r="E225" s="46"/>
      <c r="F225" s="58"/>
      <c r="G225" s="46"/>
      <c r="H225" s="46"/>
      <c r="I225" s="59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spans="1:27" ht="16.5">
      <c r="A226" s="46"/>
      <c r="B226" s="46"/>
      <c r="C226" s="57"/>
      <c r="D226" s="46"/>
      <c r="E226" s="46"/>
      <c r="F226" s="58"/>
      <c r="G226" s="46"/>
      <c r="H226" s="46"/>
      <c r="I226" s="59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spans="1:27" ht="16.5">
      <c r="A227" s="46"/>
      <c r="B227" s="46"/>
      <c r="C227" s="57"/>
      <c r="D227" s="46"/>
      <c r="E227" s="46"/>
      <c r="F227" s="58"/>
      <c r="G227" s="46"/>
      <c r="H227" s="46"/>
      <c r="I227" s="59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spans="1:27" ht="16.5">
      <c r="A228" s="46"/>
      <c r="B228" s="46"/>
      <c r="C228" s="57"/>
      <c r="D228" s="46"/>
      <c r="E228" s="46"/>
      <c r="F228" s="58"/>
      <c r="G228" s="46"/>
      <c r="H228" s="46"/>
      <c r="I228" s="59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spans="1:27" ht="16.5">
      <c r="A229" s="46"/>
      <c r="B229" s="46"/>
      <c r="C229" s="57"/>
      <c r="D229" s="46"/>
      <c r="E229" s="46"/>
      <c r="F229" s="58"/>
      <c r="G229" s="46"/>
      <c r="H229" s="46"/>
      <c r="I229" s="59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spans="1:27" ht="16.5">
      <c r="A230" s="46"/>
      <c r="B230" s="46"/>
      <c r="C230" s="57"/>
      <c r="D230" s="46"/>
      <c r="E230" s="46"/>
      <c r="F230" s="58"/>
      <c r="G230" s="46"/>
      <c r="H230" s="46"/>
      <c r="I230" s="59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spans="1:27" ht="16.5">
      <c r="A231" s="46"/>
      <c r="B231" s="46"/>
      <c r="C231" s="57"/>
      <c r="D231" s="46"/>
      <c r="E231" s="46"/>
      <c r="F231" s="58"/>
      <c r="G231" s="46"/>
      <c r="H231" s="46"/>
      <c r="I231" s="59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spans="1:27" ht="16.5">
      <c r="A232" s="46"/>
      <c r="B232" s="46"/>
      <c r="C232" s="57"/>
      <c r="D232" s="46"/>
      <c r="E232" s="46"/>
      <c r="F232" s="58"/>
      <c r="G232" s="46"/>
      <c r="H232" s="46"/>
      <c r="I232" s="59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spans="1:27" ht="16.5">
      <c r="A233" s="46"/>
      <c r="B233" s="46"/>
      <c r="C233" s="57"/>
      <c r="D233" s="46"/>
      <c r="E233" s="46"/>
      <c r="F233" s="58"/>
      <c r="G233" s="46"/>
      <c r="H233" s="46"/>
      <c r="I233" s="59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spans="1:27" ht="16.5">
      <c r="A234" s="46"/>
      <c r="B234" s="46"/>
      <c r="C234" s="57"/>
      <c r="D234" s="46"/>
      <c r="E234" s="46"/>
      <c r="F234" s="58"/>
      <c r="G234" s="46"/>
      <c r="H234" s="46"/>
      <c r="I234" s="59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spans="1:27" ht="16.5">
      <c r="A235" s="46"/>
      <c r="B235" s="46"/>
      <c r="C235" s="57"/>
      <c r="D235" s="46"/>
      <c r="E235" s="46"/>
      <c r="F235" s="58"/>
      <c r="G235" s="46"/>
      <c r="H235" s="46"/>
      <c r="I235" s="59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spans="1:27" ht="16.5">
      <c r="A236" s="46"/>
      <c r="B236" s="46"/>
      <c r="C236" s="57"/>
      <c r="D236" s="46"/>
      <c r="E236" s="46"/>
      <c r="F236" s="58"/>
      <c r="G236" s="46"/>
      <c r="H236" s="46"/>
      <c r="I236" s="59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spans="1:27" ht="16.5">
      <c r="A237" s="46"/>
      <c r="B237" s="46"/>
      <c r="C237" s="57"/>
      <c r="D237" s="46"/>
      <c r="E237" s="46"/>
      <c r="F237" s="58"/>
      <c r="G237" s="46"/>
      <c r="H237" s="46"/>
      <c r="I237" s="59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spans="1:27" ht="16.5">
      <c r="A238" s="46"/>
      <c r="B238" s="46"/>
      <c r="C238" s="57"/>
      <c r="D238" s="46"/>
      <c r="E238" s="46"/>
      <c r="F238" s="58"/>
      <c r="G238" s="46"/>
      <c r="H238" s="46"/>
      <c r="I238" s="59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spans="1:27" ht="16.5">
      <c r="A239" s="46"/>
      <c r="B239" s="46"/>
      <c r="C239" s="57"/>
      <c r="D239" s="46"/>
      <c r="E239" s="46"/>
      <c r="F239" s="58"/>
      <c r="G239" s="46"/>
      <c r="H239" s="46"/>
      <c r="I239" s="59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spans="1:27" ht="16.5">
      <c r="A240" s="46"/>
      <c r="B240" s="46"/>
      <c r="C240" s="57"/>
      <c r="D240" s="46"/>
      <c r="E240" s="46"/>
      <c r="F240" s="58"/>
      <c r="G240" s="46"/>
      <c r="H240" s="46"/>
      <c r="I240" s="59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spans="1:27" ht="16.5">
      <c r="A241" s="46"/>
      <c r="B241" s="46"/>
      <c r="C241" s="57"/>
      <c r="D241" s="46"/>
      <c r="E241" s="46"/>
      <c r="F241" s="58"/>
      <c r="G241" s="46"/>
      <c r="H241" s="46"/>
      <c r="I241" s="59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spans="1:27" ht="16.5">
      <c r="A242" s="46"/>
      <c r="B242" s="46"/>
      <c r="C242" s="57"/>
      <c r="D242" s="46"/>
      <c r="E242" s="46"/>
      <c r="F242" s="58"/>
      <c r="G242" s="46"/>
      <c r="H242" s="46"/>
      <c r="I242" s="59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spans="1:27" ht="16.5">
      <c r="A243" s="46"/>
      <c r="B243" s="46"/>
      <c r="C243" s="57"/>
      <c r="D243" s="46"/>
      <c r="E243" s="46"/>
      <c r="F243" s="58"/>
      <c r="G243" s="46"/>
      <c r="H243" s="46"/>
      <c r="I243" s="59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spans="1:27" ht="16.5">
      <c r="A244" s="46"/>
      <c r="B244" s="46"/>
      <c r="C244" s="57"/>
      <c r="D244" s="46"/>
      <c r="E244" s="46"/>
      <c r="F244" s="58"/>
      <c r="G244" s="46"/>
      <c r="H244" s="46"/>
      <c r="I244" s="59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spans="1:27" ht="16.5">
      <c r="A245" s="46"/>
      <c r="B245" s="46"/>
      <c r="C245" s="57"/>
      <c r="D245" s="46"/>
      <c r="E245" s="46"/>
      <c r="F245" s="58"/>
      <c r="G245" s="46"/>
      <c r="H245" s="46"/>
      <c r="I245" s="59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spans="1:27" ht="16.5">
      <c r="A246" s="46"/>
      <c r="B246" s="46"/>
      <c r="C246" s="57"/>
      <c r="D246" s="46"/>
      <c r="E246" s="46"/>
      <c r="F246" s="58"/>
      <c r="G246" s="46"/>
      <c r="H246" s="46"/>
      <c r="I246" s="59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spans="1:27" ht="16.5">
      <c r="A247" s="46"/>
      <c r="B247" s="46"/>
      <c r="C247" s="57"/>
      <c r="D247" s="46"/>
      <c r="E247" s="46"/>
      <c r="F247" s="58"/>
      <c r="G247" s="46"/>
      <c r="H247" s="46"/>
      <c r="I247" s="59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spans="1:27" ht="16.5">
      <c r="A248" s="46"/>
      <c r="B248" s="46"/>
      <c r="C248" s="57"/>
      <c r="D248" s="46"/>
      <c r="E248" s="46"/>
      <c r="F248" s="58"/>
      <c r="G248" s="46"/>
      <c r="H248" s="46"/>
      <c r="I248" s="59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spans="1:27" ht="16.5">
      <c r="A249" s="46"/>
      <c r="B249" s="46"/>
      <c r="C249" s="57"/>
      <c r="D249" s="46"/>
      <c r="E249" s="46"/>
      <c r="F249" s="58"/>
      <c r="G249" s="46"/>
      <c r="H249" s="46"/>
      <c r="I249" s="59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spans="1:27" ht="16.5">
      <c r="A250" s="46"/>
      <c r="B250" s="46"/>
      <c r="C250" s="57"/>
      <c r="D250" s="46"/>
      <c r="E250" s="46"/>
      <c r="F250" s="58"/>
      <c r="G250" s="46"/>
      <c r="H250" s="46"/>
      <c r="I250" s="59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spans="1:27" ht="16.5">
      <c r="A251" s="46"/>
      <c r="B251" s="46"/>
      <c r="C251" s="57"/>
      <c r="D251" s="46"/>
      <c r="E251" s="46"/>
      <c r="F251" s="58"/>
      <c r="G251" s="46"/>
      <c r="H251" s="46"/>
      <c r="I251" s="59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spans="1:27" ht="16.5">
      <c r="A252" s="46"/>
      <c r="B252" s="46"/>
      <c r="C252" s="57"/>
      <c r="D252" s="46"/>
      <c r="E252" s="46"/>
      <c r="F252" s="58"/>
      <c r="G252" s="46"/>
      <c r="H252" s="46"/>
      <c r="I252" s="59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spans="1:27" ht="16.5">
      <c r="A253" s="46"/>
      <c r="B253" s="46"/>
      <c r="C253" s="57"/>
      <c r="D253" s="46"/>
      <c r="E253" s="46"/>
      <c r="F253" s="58"/>
      <c r="G253" s="46"/>
      <c r="H253" s="46"/>
      <c r="I253" s="59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spans="1:27" ht="16.5">
      <c r="A254" s="46"/>
      <c r="B254" s="46"/>
      <c r="C254" s="57"/>
      <c r="D254" s="46"/>
      <c r="E254" s="46"/>
      <c r="F254" s="58"/>
      <c r="G254" s="46"/>
      <c r="H254" s="46"/>
      <c r="I254" s="59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spans="1:27" ht="16.5">
      <c r="A255" s="46"/>
      <c r="B255" s="46"/>
      <c r="C255" s="57"/>
      <c r="D255" s="46"/>
      <c r="E255" s="46"/>
      <c r="F255" s="58"/>
      <c r="G255" s="46"/>
      <c r="H255" s="46"/>
      <c r="I255" s="59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spans="1:27" ht="16.5">
      <c r="A256" s="46"/>
      <c r="B256" s="46"/>
      <c r="C256" s="57"/>
      <c r="D256" s="46"/>
      <c r="E256" s="46"/>
      <c r="F256" s="58"/>
      <c r="G256" s="46"/>
      <c r="H256" s="46"/>
      <c r="I256" s="59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spans="1:27" ht="16.5">
      <c r="A257" s="46"/>
      <c r="B257" s="46"/>
      <c r="C257" s="57"/>
      <c r="D257" s="46"/>
      <c r="E257" s="46"/>
      <c r="F257" s="58"/>
      <c r="G257" s="46"/>
      <c r="H257" s="46"/>
      <c r="I257" s="59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spans="1:27" ht="16.5">
      <c r="A258" s="46"/>
      <c r="B258" s="46"/>
      <c r="C258" s="57"/>
      <c r="D258" s="46"/>
      <c r="E258" s="46"/>
      <c r="F258" s="58"/>
      <c r="G258" s="46"/>
      <c r="H258" s="46"/>
      <c r="I258" s="59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spans="1:27" ht="16.5">
      <c r="A259" s="46"/>
      <c r="B259" s="46"/>
      <c r="C259" s="57"/>
      <c r="D259" s="46"/>
      <c r="E259" s="46"/>
      <c r="F259" s="58"/>
      <c r="G259" s="46"/>
      <c r="H259" s="46"/>
      <c r="I259" s="59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spans="1:27" ht="16.5">
      <c r="A260" s="46"/>
      <c r="B260" s="46"/>
      <c r="C260" s="57"/>
      <c r="D260" s="46"/>
      <c r="E260" s="46"/>
      <c r="F260" s="58"/>
      <c r="G260" s="46"/>
      <c r="H260" s="46"/>
      <c r="I260" s="59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spans="1:27" ht="16.5">
      <c r="A261" s="46"/>
      <c r="B261" s="46"/>
      <c r="C261" s="57"/>
      <c r="D261" s="46"/>
      <c r="E261" s="46"/>
      <c r="F261" s="58"/>
      <c r="G261" s="46"/>
      <c r="H261" s="46"/>
      <c r="I261" s="59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spans="1:27" ht="16.5">
      <c r="A262" s="46"/>
      <c r="B262" s="46"/>
      <c r="C262" s="57"/>
      <c r="D262" s="46"/>
      <c r="E262" s="46"/>
      <c r="F262" s="58"/>
      <c r="G262" s="46"/>
      <c r="H262" s="46"/>
      <c r="I262" s="59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spans="1:27" ht="16.5">
      <c r="A263" s="46"/>
      <c r="B263" s="46"/>
      <c r="C263" s="57"/>
      <c r="D263" s="46"/>
      <c r="E263" s="46"/>
      <c r="F263" s="58"/>
      <c r="G263" s="46"/>
      <c r="H263" s="46"/>
      <c r="I263" s="59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spans="1:27" ht="16.5">
      <c r="A264" s="46"/>
      <c r="B264" s="46"/>
      <c r="C264" s="57"/>
      <c r="D264" s="46"/>
      <c r="E264" s="46"/>
      <c r="F264" s="58"/>
      <c r="G264" s="46"/>
      <c r="H264" s="46"/>
      <c r="I264" s="59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spans="1:27" ht="16.5">
      <c r="A265" s="46"/>
      <c r="B265" s="46"/>
      <c r="C265" s="57"/>
      <c r="D265" s="46"/>
      <c r="E265" s="46"/>
      <c r="F265" s="58"/>
      <c r="G265" s="46"/>
      <c r="H265" s="46"/>
      <c r="I265" s="59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spans="1:27" ht="16.5">
      <c r="A266" s="46"/>
      <c r="B266" s="46"/>
      <c r="C266" s="57"/>
      <c r="D266" s="46"/>
      <c r="E266" s="46"/>
      <c r="F266" s="58"/>
      <c r="G266" s="46"/>
      <c r="H266" s="46"/>
      <c r="I266" s="59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spans="1:27" ht="16.5">
      <c r="A267" s="46"/>
      <c r="B267" s="46"/>
      <c r="C267" s="57"/>
      <c r="D267" s="46"/>
      <c r="E267" s="46"/>
      <c r="F267" s="58"/>
      <c r="G267" s="46"/>
      <c r="H267" s="46"/>
      <c r="I267" s="59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spans="1:27" ht="16.5">
      <c r="A268" s="46"/>
      <c r="B268" s="46"/>
      <c r="C268" s="57"/>
      <c r="D268" s="46"/>
      <c r="E268" s="46"/>
      <c r="F268" s="58"/>
      <c r="G268" s="46"/>
      <c r="H268" s="46"/>
      <c r="I268" s="59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spans="1:27" ht="16.5">
      <c r="A269" s="46"/>
      <c r="B269" s="46"/>
      <c r="C269" s="57"/>
      <c r="D269" s="46"/>
      <c r="E269" s="46"/>
      <c r="F269" s="58"/>
      <c r="G269" s="46"/>
      <c r="H269" s="46"/>
      <c r="I269" s="59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spans="1:27" ht="16.5">
      <c r="A270" s="46"/>
      <c r="B270" s="46"/>
      <c r="C270" s="57"/>
      <c r="D270" s="46"/>
      <c r="E270" s="46"/>
      <c r="F270" s="58"/>
      <c r="G270" s="46"/>
      <c r="H270" s="46"/>
      <c r="I270" s="59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spans="1:27" ht="16.5">
      <c r="A271" s="46"/>
      <c r="B271" s="46"/>
      <c r="C271" s="57"/>
      <c r="D271" s="46"/>
      <c r="E271" s="46"/>
      <c r="F271" s="58"/>
      <c r="G271" s="46"/>
      <c r="H271" s="46"/>
      <c r="I271" s="59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spans="1:27" ht="16.5">
      <c r="A272" s="46"/>
      <c r="B272" s="46"/>
      <c r="C272" s="57"/>
      <c r="D272" s="46"/>
      <c r="E272" s="46"/>
      <c r="F272" s="58"/>
      <c r="G272" s="46"/>
      <c r="H272" s="46"/>
      <c r="I272" s="59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spans="1:27" ht="16.5">
      <c r="A273" s="46"/>
      <c r="B273" s="46"/>
      <c r="C273" s="57"/>
      <c r="D273" s="46"/>
      <c r="E273" s="46"/>
      <c r="F273" s="58"/>
      <c r="G273" s="46"/>
      <c r="H273" s="46"/>
      <c r="I273" s="59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spans="1:27" ht="16.5">
      <c r="A274" s="46"/>
      <c r="B274" s="46"/>
      <c r="C274" s="57"/>
      <c r="D274" s="46"/>
      <c r="E274" s="46"/>
      <c r="F274" s="58"/>
      <c r="G274" s="46"/>
      <c r="H274" s="46"/>
      <c r="I274" s="59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spans="1:27" ht="16.5">
      <c r="A275" s="46"/>
      <c r="B275" s="46"/>
      <c r="C275" s="57"/>
      <c r="D275" s="46"/>
      <c r="E275" s="46"/>
      <c r="F275" s="58"/>
      <c r="G275" s="46"/>
      <c r="H275" s="46"/>
      <c r="I275" s="59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spans="1:27" ht="16.5">
      <c r="A276" s="46"/>
      <c r="B276" s="46"/>
      <c r="C276" s="57"/>
      <c r="D276" s="46"/>
      <c r="E276" s="46"/>
      <c r="F276" s="58"/>
      <c r="G276" s="46"/>
      <c r="H276" s="46"/>
      <c r="I276" s="59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spans="1:27" ht="16.5">
      <c r="A277" s="46"/>
      <c r="B277" s="46"/>
      <c r="C277" s="57"/>
      <c r="D277" s="46"/>
      <c r="E277" s="46"/>
      <c r="F277" s="58"/>
      <c r="G277" s="46"/>
      <c r="H277" s="46"/>
      <c r="I277" s="59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spans="1:27" ht="16.5">
      <c r="A278" s="46"/>
      <c r="B278" s="46"/>
      <c r="C278" s="57"/>
      <c r="D278" s="46"/>
      <c r="E278" s="46"/>
      <c r="F278" s="58"/>
      <c r="G278" s="46"/>
      <c r="H278" s="46"/>
      <c r="I278" s="59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spans="1:27" ht="16.5">
      <c r="A279" s="46"/>
      <c r="B279" s="46"/>
      <c r="C279" s="57"/>
      <c r="D279" s="46"/>
      <c r="E279" s="46"/>
      <c r="F279" s="58"/>
      <c r="G279" s="46"/>
      <c r="H279" s="46"/>
      <c r="I279" s="59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spans="1:27" ht="16.5">
      <c r="A280" s="46"/>
      <c r="B280" s="46"/>
      <c r="C280" s="57"/>
      <c r="D280" s="46"/>
      <c r="E280" s="46"/>
      <c r="F280" s="58"/>
      <c r="G280" s="46"/>
      <c r="H280" s="46"/>
      <c r="I280" s="59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spans="1:27" ht="16.5">
      <c r="A281" s="46"/>
      <c r="B281" s="46"/>
      <c r="C281" s="57"/>
      <c r="D281" s="46"/>
      <c r="E281" s="46"/>
      <c r="F281" s="58"/>
      <c r="G281" s="46"/>
      <c r="H281" s="46"/>
      <c r="I281" s="59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spans="1:27" ht="16.5">
      <c r="A282" s="46"/>
      <c r="B282" s="46"/>
      <c r="C282" s="57"/>
      <c r="D282" s="46"/>
      <c r="E282" s="46"/>
      <c r="F282" s="58"/>
      <c r="G282" s="46"/>
      <c r="H282" s="46"/>
      <c r="I282" s="59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spans="1:27" ht="16.5">
      <c r="A283" s="46"/>
      <c r="B283" s="46"/>
      <c r="C283" s="57"/>
      <c r="D283" s="46"/>
      <c r="E283" s="46"/>
      <c r="F283" s="58"/>
      <c r="G283" s="46"/>
      <c r="H283" s="46"/>
      <c r="I283" s="59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spans="1:27" ht="16.5">
      <c r="A284" s="46"/>
      <c r="B284" s="46"/>
      <c r="C284" s="57"/>
      <c r="D284" s="46"/>
      <c r="E284" s="46"/>
      <c r="F284" s="58"/>
      <c r="G284" s="46"/>
      <c r="H284" s="46"/>
      <c r="I284" s="59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spans="1:27" ht="16.5">
      <c r="A285" s="46"/>
      <c r="B285" s="46"/>
      <c r="C285" s="57"/>
      <c r="D285" s="46"/>
      <c r="E285" s="46"/>
      <c r="F285" s="58"/>
      <c r="G285" s="46"/>
      <c r="H285" s="46"/>
      <c r="I285" s="59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spans="1:27" ht="16.5">
      <c r="A286" s="46"/>
      <c r="B286" s="46"/>
      <c r="C286" s="57"/>
      <c r="D286" s="46"/>
      <c r="E286" s="46"/>
      <c r="F286" s="58"/>
      <c r="G286" s="46"/>
      <c r="H286" s="46"/>
      <c r="I286" s="59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spans="1:27" ht="16.5">
      <c r="A287" s="46"/>
      <c r="B287" s="46"/>
      <c r="C287" s="57"/>
      <c r="D287" s="46"/>
      <c r="E287" s="46"/>
      <c r="F287" s="58"/>
      <c r="G287" s="46"/>
      <c r="H287" s="46"/>
      <c r="I287" s="59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spans="1:27" ht="16.5">
      <c r="A288" s="46"/>
      <c r="B288" s="46"/>
      <c r="C288" s="57"/>
      <c r="D288" s="46"/>
      <c r="E288" s="46"/>
      <c r="F288" s="58"/>
      <c r="G288" s="46"/>
      <c r="H288" s="46"/>
      <c r="I288" s="59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spans="1:27" ht="16.5">
      <c r="A289" s="46"/>
      <c r="B289" s="46"/>
      <c r="C289" s="57"/>
      <c r="D289" s="46"/>
      <c r="E289" s="46"/>
      <c r="F289" s="58"/>
      <c r="G289" s="46"/>
      <c r="H289" s="46"/>
      <c r="I289" s="59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spans="1:27" ht="16.5">
      <c r="A290" s="46"/>
      <c r="B290" s="46"/>
      <c r="C290" s="57"/>
      <c r="D290" s="46"/>
      <c r="E290" s="46"/>
      <c r="F290" s="58"/>
      <c r="G290" s="46"/>
      <c r="H290" s="46"/>
      <c r="I290" s="59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spans="1:27" ht="16.5">
      <c r="A291" s="46"/>
      <c r="B291" s="46"/>
      <c r="C291" s="57"/>
      <c r="D291" s="46"/>
      <c r="E291" s="46"/>
      <c r="F291" s="58"/>
      <c r="G291" s="46"/>
      <c r="H291" s="46"/>
      <c r="I291" s="59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spans="1:27" ht="16.5">
      <c r="A292" s="46"/>
      <c r="B292" s="46"/>
      <c r="C292" s="57"/>
      <c r="D292" s="46"/>
      <c r="E292" s="46"/>
      <c r="F292" s="58"/>
      <c r="G292" s="46"/>
      <c r="H292" s="46"/>
      <c r="I292" s="59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spans="1:27" ht="16.5">
      <c r="A293" s="46"/>
      <c r="B293" s="46"/>
      <c r="C293" s="57"/>
      <c r="D293" s="46"/>
      <c r="E293" s="46"/>
      <c r="F293" s="58"/>
      <c r="G293" s="46"/>
      <c r="H293" s="46"/>
      <c r="I293" s="59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spans="1:27" ht="16.5">
      <c r="A294" s="46"/>
      <c r="B294" s="46"/>
      <c r="C294" s="57"/>
      <c r="D294" s="46"/>
      <c r="E294" s="46"/>
      <c r="F294" s="58"/>
      <c r="G294" s="46"/>
      <c r="H294" s="46"/>
      <c r="I294" s="59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spans="1:27" ht="16.5">
      <c r="A295" s="46"/>
      <c r="B295" s="46"/>
      <c r="C295" s="57"/>
      <c r="D295" s="46"/>
      <c r="E295" s="46"/>
      <c r="F295" s="58"/>
      <c r="G295" s="46"/>
      <c r="H295" s="46"/>
      <c r="I295" s="59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spans="1:27" ht="16.5">
      <c r="A296" s="46"/>
      <c r="B296" s="46"/>
      <c r="C296" s="57"/>
      <c r="D296" s="46"/>
      <c r="E296" s="46"/>
      <c r="F296" s="58"/>
      <c r="G296" s="46"/>
      <c r="H296" s="46"/>
      <c r="I296" s="59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spans="1:27" ht="16.5">
      <c r="A297" s="46"/>
      <c r="B297" s="46"/>
      <c r="C297" s="57"/>
      <c r="D297" s="46"/>
      <c r="E297" s="46"/>
      <c r="F297" s="58"/>
      <c r="G297" s="46"/>
      <c r="H297" s="46"/>
      <c r="I297" s="59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spans="1:27" ht="16.5">
      <c r="A298" s="46"/>
      <c r="B298" s="46"/>
      <c r="C298" s="57"/>
      <c r="D298" s="46"/>
      <c r="E298" s="46"/>
      <c r="F298" s="58"/>
      <c r="G298" s="46"/>
      <c r="H298" s="46"/>
      <c r="I298" s="59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spans="1:27" ht="16.5">
      <c r="A299" s="46"/>
      <c r="B299" s="46"/>
      <c r="C299" s="57"/>
      <c r="D299" s="46"/>
      <c r="E299" s="46"/>
      <c r="F299" s="58"/>
      <c r="G299" s="46"/>
      <c r="H299" s="46"/>
      <c r="I299" s="59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spans="1:27" ht="16.5">
      <c r="A300" s="46"/>
      <c r="B300" s="46"/>
      <c r="C300" s="57"/>
      <c r="D300" s="46"/>
      <c r="E300" s="46"/>
      <c r="F300" s="58"/>
      <c r="G300" s="46"/>
      <c r="H300" s="46"/>
      <c r="I300" s="59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spans="1:27" ht="16.5">
      <c r="A301" s="46"/>
      <c r="B301" s="46"/>
      <c r="C301" s="57"/>
      <c r="D301" s="46"/>
      <c r="E301" s="46"/>
      <c r="F301" s="58"/>
      <c r="G301" s="46"/>
      <c r="H301" s="46"/>
      <c r="I301" s="59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spans="1:27" ht="16.5">
      <c r="A302" s="46"/>
      <c r="B302" s="46"/>
      <c r="C302" s="57"/>
      <c r="D302" s="46"/>
      <c r="E302" s="46"/>
      <c r="F302" s="58"/>
      <c r="G302" s="46"/>
      <c r="H302" s="46"/>
      <c r="I302" s="59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spans="1:27" ht="16.5">
      <c r="A303" s="46"/>
      <c r="B303" s="46"/>
      <c r="C303" s="57"/>
      <c r="D303" s="46"/>
      <c r="E303" s="46"/>
      <c r="F303" s="58"/>
      <c r="G303" s="46"/>
      <c r="H303" s="46"/>
      <c r="I303" s="59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spans="1:27" ht="16.5">
      <c r="A304" s="46"/>
      <c r="B304" s="46"/>
      <c r="C304" s="57"/>
      <c r="D304" s="46"/>
      <c r="E304" s="46"/>
      <c r="F304" s="58"/>
      <c r="G304" s="46"/>
      <c r="H304" s="46"/>
      <c r="I304" s="59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spans="1:27" ht="16.5">
      <c r="A305" s="46"/>
      <c r="B305" s="46"/>
      <c r="C305" s="57"/>
      <c r="D305" s="46"/>
      <c r="E305" s="46"/>
      <c r="F305" s="58"/>
      <c r="G305" s="46"/>
      <c r="H305" s="46"/>
      <c r="I305" s="59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spans="1:27" ht="16.5">
      <c r="A306" s="46"/>
      <c r="B306" s="46"/>
      <c r="C306" s="57"/>
      <c r="D306" s="46"/>
      <c r="E306" s="46"/>
      <c r="F306" s="58"/>
      <c r="G306" s="46"/>
      <c r="H306" s="46"/>
      <c r="I306" s="59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spans="1:27" ht="16.5">
      <c r="A307" s="46"/>
      <c r="B307" s="46"/>
      <c r="C307" s="57"/>
      <c r="D307" s="46"/>
      <c r="E307" s="46"/>
      <c r="F307" s="58"/>
      <c r="G307" s="46"/>
      <c r="H307" s="46"/>
      <c r="I307" s="59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spans="1:27" ht="16.5">
      <c r="A308" s="46"/>
      <c r="B308" s="46"/>
      <c r="C308" s="57"/>
      <c r="D308" s="46"/>
      <c r="E308" s="46"/>
      <c r="F308" s="58"/>
      <c r="G308" s="46"/>
      <c r="H308" s="46"/>
      <c r="I308" s="59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spans="1:27" ht="16.5">
      <c r="A309" s="46"/>
      <c r="B309" s="46"/>
      <c r="C309" s="57"/>
      <c r="D309" s="46"/>
      <c r="E309" s="46"/>
      <c r="F309" s="58"/>
      <c r="G309" s="46"/>
      <c r="H309" s="46"/>
      <c r="I309" s="59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spans="1:27" ht="16.5">
      <c r="A310" s="46"/>
      <c r="B310" s="46"/>
      <c r="C310" s="57"/>
      <c r="D310" s="46"/>
      <c r="E310" s="46"/>
      <c r="F310" s="58"/>
      <c r="G310" s="46"/>
      <c r="H310" s="46"/>
      <c r="I310" s="59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spans="1:27" ht="16.5">
      <c r="A311" s="46"/>
      <c r="B311" s="46"/>
      <c r="C311" s="57"/>
      <c r="D311" s="46"/>
      <c r="E311" s="46"/>
      <c r="F311" s="58"/>
      <c r="G311" s="46"/>
      <c r="H311" s="46"/>
      <c r="I311" s="59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spans="1:27" ht="16.5">
      <c r="A312" s="46"/>
      <c r="B312" s="46"/>
      <c r="C312" s="57"/>
      <c r="D312" s="46"/>
      <c r="E312" s="46"/>
      <c r="F312" s="58"/>
      <c r="G312" s="46"/>
      <c r="H312" s="46"/>
      <c r="I312" s="59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spans="1:27" ht="16.5">
      <c r="A313" s="46"/>
      <c r="B313" s="46"/>
      <c r="C313" s="57"/>
      <c r="D313" s="46"/>
      <c r="E313" s="46"/>
      <c r="F313" s="58"/>
      <c r="G313" s="46"/>
      <c r="H313" s="46"/>
      <c r="I313" s="59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spans="1:27" ht="16.5">
      <c r="A314" s="46"/>
      <c r="B314" s="46"/>
      <c r="C314" s="57"/>
      <c r="D314" s="46"/>
      <c r="E314" s="46"/>
      <c r="F314" s="58"/>
      <c r="G314" s="46"/>
      <c r="H314" s="46"/>
      <c r="I314" s="59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spans="1:27" ht="16.5">
      <c r="A315" s="46"/>
      <c r="B315" s="46"/>
      <c r="C315" s="57"/>
      <c r="D315" s="46"/>
      <c r="E315" s="46"/>
      <c r="F315" s="58"/>
      <c r="G315" s="46"/>
      <c r="H315" s="46"/>
      <c r="I315" s="59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spans="1:27" ht="16.5">
      <c r="A316" s="46"/>
      <c r="B316" s="46"/>
      <c r="C316" s="57"/>
      <c r="D316" s="46"/>
      <c r="E316" s="46"/>
      <c r="F316" s="58"/>
      <c r="G316" s="46"/>
      <c r="H316" s="46"/>
      <c r="I316" s="59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spans="1:27" ht="16.5">
      <c r="A317" s="46"/>
      <c r="B317" s="46"/>
      <c r="C317" s="57"/>
      <c r="D317" s="46"/>
      <c r="E317" s="46"/>
      <c r="F317" s="58"/>
      <c r="G317" s="46"/>
      <c r="H317" s="46"/>
      <c r="I317" s="59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spans="1:27" ht="16.5">
      <c r="A318" s="46"/>
      <c r="B318" s="46"/>
      <c r="C318" s="57"/>
      <c r="D318" s="46"/>
      <c r="E318" s="46"/>
      <c r="F318" s="58"/>
      <c r="G318" s="46"/>
      <c r="H318" s="46"/>
      <c r="I318" s="59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spans="1:27" ht="16.5">
      <c r="A319" s="46"/>
      <c r="B319" s="46"/>
      <c r="C319" s="57"/>
      <c r="D319" s="46"/>
      <c r="E319" s="46"/>
      <c r="F319" s="58"/>
      <c r="G319" s="46"/>
      <c r="H319" s="46"/>
      <c r="I319" s="59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spans="1:27" ht="16.5">
      <c r="A320" s="46"/>
      <c r="B320" s="46"/>
      <c r="C320" s="57"/>
      <c r="D320" s="46"/>
      <c r="E320" s="46"/>
      <c r="F320" s="58"/>
      <c r="G320" s="46"/>
      <c r="H320" s="46"/>
      <c r="I320" s="59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spans="1:27" ht="16.5">
      <c r="A321" s="46"/>
      <c r="B321" s="46"/>
      <c r="C321" s="57"/>
      <c r="D321" s="46"/>
      <c r="E321" s="46"/>
      <c r="F321" s="58"/>
      <c r="G321" s="46"/>
      <c r="H321" s="46"/>
      <c r="I321" s="59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spans="1:27" ht="16.5">
      <c r="A322" s="46"/>
      <c r="B322" s="46"/>
      <c r="C322" s="57"/>
      <c r="D322" s="46"/>
      <c r="E322" s="46"/>
      <c r="F322" s="58"/>
      <c r="G322" s="46"/>
      <c r="H322" s="46"/>
      <c r="I322" s="59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spans="1:27" ht="16.5">
      <c r="A323" s="46"/>
      <c r="B323" s="46"/>
      <c r="C323" s="57"/>
      <c r="D323" s="46"/>
      <c r="E323" s="46"/>
      <c r="F323" s="58"/>
      <c r="G323" s="46"/>
      <c r="H323" s="46"/>
      <c r="I323" s="59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spans="1:27" ht="16.5">
      <c r="A324" s="46"/>
      <c r="B324" s="46"/>
      <c r="C324" s="57"/>
      <c r="D324" s="46"/>
      <c r="E324" s="46"/>
      <c r="F324" s="58"/>
      <c r="G324" s="46"/>
      <c r="H324" s="46"/>
      <c r="I324" s="59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spans="1:27" ht="16.5">
      <c r="A325" s="46"/>
      <c r="B325" s="46"/>
      <c r="C325" s="57"/>
      <c r="D325" s="46"/>
      <c r="E325" s="46"/>
      <c r="F325" s="58"/>
      <c r="G325" s="46"/>
      <c r="H325" s="46"/>
      <c r="I325" s="59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spans="1:27" ht="16.5">
      <c r="A326" s="46"/>
      <c r="B326" s="46"/>
      <c r="C326" s="57"/>
      <c r="D326" s="46"/>
      <c r="E326" s="46"/>
      <c r="F326" s="58"/>
      <c r="G326" s="46"/>
      <c r="H326" s="46"/>
      <c r="I326" s="59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spans="1:27" ht="16.5">
      <c r="A327" s="46"/>
      <c r="B327" s="46"/>
      <c r="C327" s="57"/>
      <c r="D327" s="46"/>
      <c r="E327" s="46"/>
      <c r="F327" s="58"/>
      <c r="G327" s="46"/>
      <c r="H327" s="46"/>
      <c r="I327" s="59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spans="1:27" ht="16.5">
      <c r="A328" s="46"/>
      <c r="B328" s="46"/>
      <c r="C328" s="57"/>
      <c r="D328" s="46"/>
      <c r="E328" s="46"/>
      <c r="F328" s="58"/>
      <c r="G328" s="46"/>
      <c r="H328" s="46"/>
      <c r="I328" s="59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spans="1:27" ht="16.5">
      <c r="A329" s="46"/>
      <c r="B329" s="46"/>
      <c r="C329" s="57"/>
      <c r="D329" s="46"/>
      <c r="E329" s="46"/>
      <c r="F329" s="58"/>
      <c r="G329" s="46"/>
      <c r="H329" s="46"/>
      <c r="I329" s="59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spans="1:27" ht="16.5">
      <c r="A330" s="46"/>
      <c r="B330" s="46"/>
      <c r="C330" s="57"/>
      <c r="D330" s="46"/>
      <c r="E330" s="46"/>
      <c r="F330" s="58"/>
      <c r="G330" s="46"/>
      <c r="H330" s="46"/>
      <c r="I330" s="5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spans="1:27" ht="16.5">
      <c r="A331" s="46"/>
      <c r="B331" s="46"/>
      <c r="C331" s="57"/>
      <c r="D331" s="46"/>
      <c r="E331" s="46"/>
      <c r="F331" s="58"/>
      <c r="G331" s="46"/>
      <c r="H331" s="46"/>
      <c r="I331" s="59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spans="1:27" ht="16.5">
      <c r="A332" s="46"/>
      <c r="B332" s="46"/>
      <c r="C332" s="57"/>
      <c r="D332" s="46"/>
      <c r="E332" s="46"/>
      <c r="F332" s="58"/>
      <c r="G332" s="46"/>
      <c r="H332" s="46"/>
      <c r="I332" s="59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spans="1:27" ht="16.5">
      <c r="A333" s="46"/>
      <c r="B333" s="46"/>
      <c r="C333" s="57"/>
      <c r="D333" s="46"/>
      <c r="E333" s="46"/>
      <c r="F333" s="58"/>
      <c r="G333" s="46"/>
      <c r="H333" s="46"/>
      <c r="I333" s="59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spans="1:27" ht="16.5">
      <c r="A334" s="46"/>
      <c r="B334" s="46"/>
      <c r="C334" s="57"/>
      <c r="D334" s="46"/>
      <c r="E334" s="46"/>
      <c r="F334" s="58"/>
      <c r="G334" s="46"/>
      <c r="H334" s="46"/>
      <c r="I334" s="59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spans="1:27" ht="16.5">
      <c r="A335" s="46"/>
      <c r="B335" s="46"/>
      <c r="C335" s="57"/>
      <c r="D335" s="46"/>
      <c r="E335" s="46"/>
      <c r="F335" s="58"/>
      <c r="G335" s="46"/>
      <c r="H335" s="46"/>
      <c r="I335" s="59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spans="1:27" ht="16.5">
      <c r="A336" s="46"/>
      <c r="B336" s="46"/>
      <c r="C336" s="57"/>
      <c r="D336" s="46"/>
      <c r="E336" s="46"/>
      <c r="F336" s="58"/>
      <c r="G336" s="46"/>
      <c r="H336" s="46"/>
      <c r="I336" s="59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spans="1:27" ht="16.5">
      <c r="A337" s="46"/>
      <c r="B337" s="46"/>
      <c r="C337" s="57"/>
      <c r="D337" s="46"/>
      <c r="E337" s="46"/>
      <c r="F337" s="58"/>
      <c r="G337" s="46"/>
      <c r="H337" s="46"/>
      <c r="I337" s="59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spans="1:27" ht="16.5">
      <c r="A338" s="46"/>
      <c r="B338" s="46"/>
      <c r="C338" s="57"/>
      <c r="D338" s="46"/>
      <c r="E338" s="46"/>
      <c r="F338" s="58"/>
      <c r="G338" s="46"/>
      <c r="H338" s="46"/>
      <c r="I338" s="59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spans="1:27" ht="16.5">
      <c r="A339" s="46"/>
      <c r="B339" s="46"/>
      <c r="C339" s="57"/>
      <c r="D339" s="46"/>
      <c r="E339" s="46"/>
      <c r="F339" s="58"/>
      <c r="G339" s="46"/>
      <c r="H339" s="46"/>
      <c r="I339" s="59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spans="1:27" ht="16.5">
      <c r="A340" s="46"/>
      <c r="B340" s="46"/>
      <c r="C340" s="57"/>
      <c r="D340" s="46"/>
      <c r="E340" s="46"/>
      <c r="F340" s="58"/>
      <c r="G340" s="46"/>
      <c r="H340" s="46"/>
      <c r="I340" s="59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spans="1:27" ht="16.5">
      <c r="A341" s="46"/>
      <c r="B341" s="46"/>
      <c r="C341" s="57"/>
      <c r="D341" s="46"/>
      <c r="E341" s="46"/>
      <c r="F341" s="58"/>
      <c r="G341" s="46"/>
      <c r="H341" s="46"/>
      <c r="I341" s="59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spans="1:27" ht="16.5">
      <c r="A342" s="46"/>
      <c r="B342" s="46"/>
      <c r="C342" s="57"/>
      <c r="D342" s="46"/>
      <c r="E342" s="46"/>
      <c r="F342" s="58"/>
      <c r="G342" s="46"/>
      <c r="H342" s="46"/>
      <c r="I342" s="59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spans="1:27" ht="16.5">
      <c r="A343" s="46"/>
      <c r="B343" s="46"/>
      <c r="C343" s="57"/>
      <c r="D343" s="46"/>
      <c r="E343" s="46"/>
      <c r="F343" s="58"/>
      <c r="G343" s="46"/>
      <c r="H343" s="46"/>
      <c r="I343" s="59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spans="1:27" ht="16.5">
      <c r="A344" s="46"/>
      <c r="B344" s="46"/>
      <c r="C344" s="57"/>
      <c r="D344" s="46"/>
      <c r="E344" s="46"/>
      <c r="F344" s="58"/>
      <c r="G344" s="46"/>
      <c r="H344" s="46"/>
      <c r="I344" s="59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spans="1:27" ht="16.5">
      <c r="A345" s="46"/>
      <c r="B345" s="46"/>
      <c r="C345" s="57"/>
      <c r="D345" s="46"/>
      <c r="E345" s="46"/>
      <c r="F345" s="58"/>
      <c r="G345" s="46"/>
      <c r="H345" s="46"/>
      <c r="I345" s="59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spans="1:27" ht="16.5">
      <c r="A346" s="46"/>
      <c r="B346" s="46"/>
      <c r="C346" s="57"/>
      <c r="D346" s="46"/>
      <c r="E346" s="46"/>
      <c r="F346" s="58"/>
      <c r="G346" s="46"/>
      <c r="H346" s="46"/>
      <c r="I346" s="59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spans="1:27" ht="16.5">
      <c r="A347" s="46"/>
      <c r="B347" s="46"/>
      <c r="C347" s="57"/>
      <c r="D347" s="46"/>
      <c r="E347" s="46"/>
      <c r="F347" s="58"/>
      <c r="G347" s="46"/>
      <c r="H347" s="46"/>
      <c r="I347" s="59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spans="1:27" ht="16.5">
      <c r="A348" s="46"/>
      <c r="B348" s="46"/>
      <c r="C348" s="57"/>
      <c r="D348" s="46"/>
      <c r="E348" s="46"/>
      <c r="F348" s="58"/>
      <c r="G348" s="46"/>
      <c r="H348" s="46"/>
      <c r="I348" s="59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spans="1:27" ht="16.5">
      <c r="A349" s="46"/>
      <c r="B349" s="46"/>
      <c r="C349" s="57"/>
      <c r="D349" s="46"/>
      <c r="E349" s="46"/>
      <c r="F349" s="58"/>
      <c r="G349" s="46"/>
      <c r="H349" s="46"/>
      <c r="I349" s="59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spans="1:27" ht="16.5">
      <c r="A350" s="46"/>
      <c r="B350" s="46"/>
      <c r="C350" s="57"/>
      <c r="D350" s="46"/>
      <c r="E350" s="46"/>
      <c r="F350" s="58"/>
      <c r="G350" s="46"/>
      <c r="H350" s="46"/>
      <c r="I350" s="59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spans="1:27" ht="16.5">
      <c r="A351" s="46"/>
      <c r="B351" s="46"/>
      <c r="C351" s="57"/>
      <c r="D351" s="46"/>
      <c r="E351" s="46"/>
      <c r="F351" s="58"/>
      <c r="G351" s="46"/>
      <c r="H351" s="46"/>
      <c r="I351" s="59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spans="1:27" ht="16.5">
      <c r="A352" s="46"/>
      <c r="B352" s="46"/>
      <c r="C352" s="57"/>
      <c r="D352" s="46"/>
      <c r="E352" s="46"/>
      <c r="F352" s="58"/>
      <c r="G352" s="46"/>
      <c r="H352" s="46"/>
      <c r="I352" s="59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spans="1:27" ht="16.5">
      <c r="A353" s="46"/>
      <c r="B353" s="46"/>
      <c r="C353" s="57"/>
      <c r="D353" s="46"/>
      <c r="E353" s="46"/>
      <c r="F353" s="58"/>
      <c r="G353" s="46"/>
      <c r="H353" s="46"/>
      <c r="I353" s="59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spans="1:27" ht="16.5">
      <c r="A354" s="46"/>
      <c r="B354" s="46"/>
      <c r="C354" s="57"/>
      <c r="D354" s="46"/>
      <c r="E354" s="46"/>
      <c r="F354" s="58"/>
      <c r="G354" s="46"/>
      <c r="H354" s="46"/>
      <c r="I354" s="59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spans="1:27" ht="16.5">
      <c r="A355" s="46"/>
      <c r="B355" s="46"/>
      <c r="C355" s="57"/>
      <c r="D355" s="46"/>
      <c r="E355" s="46"/>
      <c r="F355" s="58"/>
      <c r="G355" s="46"/>
      <c r="H355" s="46"/>
      <c r="I355" s="59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spans="1:27" ht="16.5">
      <c r="A356" s="46"/>
      <c r="B356" s="46"/>
      <c r="C356" s="57"/>
      <c r="D356" s="46"/>
      <c r="E356" s="46"/>
      <c r="F356" s="58"/>
      <c r="G356" s="46"/>
      <c r="H356" s="46"/>
      <c r="I356" s="59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spans="1:27" ht="16.5">
      <c r="A357" s="46"/>
      <c r="B357" s="46"/>
      <c r="C357" s="57"/>
      <c r="D357" s="46"/>
      <c r="E357" s="46"/>
      <c r="F357" s="58"/>
      <c r="G357" s="46"/>
      <c r="H357" s="46"/>
      <c r="I357" s="59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spans="1:27" ht="16.5">
      <c r="A358" s="46"/>
      <c r="B358" s="46"/>
      <c r="C358" s="57"/>
      <c r="D358" s="46"/>
      <c r="E358" s="46"/>
      <c r="F358" s="58"/>
      <c r="G358" s="46"/>
      <c r="H358" s="46"/>
      <c r="I358" s="59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spans="1:27" ht="16.5">
      <c r="A359" s="46"/>
      <c r="B359" s="46"/>
      <c r="C359" s="57"/>
      <c r="D359" s="46"/>
      <c r="E359" s="46"/>
      <c r="F359" s="58"/>
      <c r="G359" s="46"/>
      <c r="H359" s="46"/>
      <c r="I359" s="59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spans="1:27" ht="16.5">
      <c r="A360" s="46"/>
      <c r="B360" s="46"/>
      <c r="C360" s="57"/>
      <c r="D360" s="46"/>
      <c r="E360" s="46"/>
      <c r="F360" s="58"/>
      <c r="G360" s="46"/>
      <c r="H360" s="46"/>
      <c r="I360" s="59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spans="1:27" ht="16.5">
      <c r="A361" s="46"/>
      <c r="B361" s="46"/>
      <c r="C361" s="57"/>
      <c r="D361" s="46"/>
      <c r="E361" s="46"/>
      <c r="F361" s="58"/>
      <c r="G361" s="46"/>
      <c r="H361" s="46"/>
      <c r="I361" s="59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spans="1:27" ht="16.5">
      <c r="A362" s="46"/>
      <c r="B362" s="46"/>
      <c r="C362" s="57"/>
      <c r="D362" s="46"/>
      <c r="E362" s="46"/>
      <c r="F362" s="58"/>
      <c r="G362" s="46"/>
      <c r="H362" s="46"/>
      <c r="I362" s="59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spans="1:27" ht="16.5">
      <c r="A363" s="46"/>
      <c r="B363" s="46"/>
      <c r="C363" s="57"/>
      <c r="D363" s="46"/>
      <c r="E363" s="46"/>
      <c r="F363" s="58"/>
      <c r="G363" s="46"/>
      <c r="H363" s="46"/>
      <c r="I363" s="59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spans="1:27" ht="16.5">
      <c r="A364" s="46"/>
      <c r="B364" s="46"/>
      <c r="C364" s="57"/>
      <c r="D364" s="46"/>
      <c r="E364" s="46"/>
      <c r="F364" s="58"/>
      <c r="G364" s="46"/>
      <c r="H364" s="46"/>
      <c r="I364" s="59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spans="1:27" ht="16.5">
      <c r="A365" s="46"/>
      <c r="B365" s="46"/>
      <c r="C365" s="57"/>
      <c r="D365" s="46"/>
      <c r="E365" s="46"/>
      <c r="F365" s="58"/>
      <c r="G365" s="46"/>
      <c r="H365" s="46"/>
      <c r="I365" s="59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spans="1:27" ht="16.5">
      <c r="A366" s="46"/>
      <c r="B366" s="46"/>
      <c r="C366" s="57"/>
      <c r="D366" s="46"/>
      <c r="E366" s="46"/>
      <c r="F366" s="58"/>
      <c r="G366" s="46"/>
      <c r="H366" s="46"/>
      <c r="I366" s="59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spans="1:27" ht="16.5">
      <c r="A367" s="46"/>
      <c r="B367" s="46"/>
      <c r="C367" s="57"/>
      <c r="D367" s="46"/>
      <c r="E367" s="46"/>
      <c r="F367" s="58"/>
      <c r="G367" s="46"/>
      <c r="H367" s="46"/>
      <c r="I367" s="59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spans="1:27" ht="16.5">
      <c r="A368" s="46"/>
      <c r="B368" s="46"/>
      <c r="C368" s="57"/>
      <c r="D368" s="46"/>
      <c r="E368" s="46"/>
      <c r="F368" s="58"/>
      <c r="G368" s="46"/>
      <c r="H368" s="46"/>
      <c r="I368" s="59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spans="1:27" ht="16.5">
      <c r="A369" s="46"/>
      <c r="B369" s="46"/>
      <c r="C369" s="57"/>
      <c r="D369" s="46"/>
      <c r="E369" s="46"/>
      <c r="F369" s="58"/>
      <c r="G369" s="46"/>
      <c r="H369" s="46"/>
      <c r="I369" s="59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spans="1:27" ht="16.5">
      <c r="A370" s="46"/>
      <c r="B370" s="46"/>
      <c r="C370" s="57"/>
      <c r="D370" s="46"/>
      <c r="E370" s="46"/>
      <c r="F370" s="58"/>
      <c r="G370" s="46"/>
      <c r="H370" s="46"/>
      <c r="I370" s="59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spans="1:27" ht="16.5">
      <c r="A371" s="46"/>
      <c r="B371" s="46"/>
      <c r="C371" s="57"/>
      <c r="D371" s="46"/>
      <c r="E371" s="46"/>
      <c r="F371" s="58"/>
      <c r="G371" s="46"/>
      <c r="H371" s="46"/>
      <c r="I371" s="59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spans="1:27" ht="16.5">
      <c r="A372" s="46"/>
      <c r="B372" s="46"/>
      <c r="C372" s="57"/>
      <c r="D372" s="46"/>
      <c r="E372" s="46"/>
      <c r="F372" s="58"/>
      <c r="G372" s="46"/>
      <c r="H372" s="46"/>
      <c r="I372" s="59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spans="1:27" ht="16.5">
      <c r="A373" s="46"/>
      <c r="B373" s="46"/>
      <c r="C373" s="57"/>
      <c r="D373" s="46"/>
      <c r="E373" s="46"/>
      <c r="F373" s="58"/>
      <c r="G373" s="46"/>
      <c r="H373" s="46"/>
      <c r="I373" s="59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spans="1:27" ht="16.5">
      <c r="A374" s="46"/>
      <c r="B374" s="46"/>
      <c r="C374" s="57"/>
      <c r="D374" s="46"/>
      <c r="E374" s="46"/>
      <c r="F374" s="58"/>
      <c r="G374" s="46"/>
      <c r="H374" s="46"/>
      <c r="I374" s="59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spans="1:27" ht="16.5">
      <c r="A375" s="46"/>
      <c r="B375" s="46"/>
      <c r="C375" s="57"/>
      <c r="D375" s="46"/>
      <c r="E375" s="46"/>
      <c r="F375" s="58"/>
      <c r="G375" s="46"/>
      <c r="H375" s="46"/>
      <c r="I375" s="59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spans="1:27" ht="16.5">
      <c r="A376" s="46"/>
      <c r="B376" s="46"/>
      <c r="C376" s="57"/>
      <c r="D376" s="46"/>
      <c r="E376" s="46"/>
      <c r="F376" s="58"/>
      <c r="G376" s="46"/>
      <c r="H376" s="46"/>
      <c r="I376" s="59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spans="1:27" ht="16.5">
      <c r="A377" s="46"/>
      <c r="B377" s="46"/>
      <c r="C377" s="57"/>
      <c r="D377" s="46"/>
      <c r="E377" s="46"/>
      <c r="F377" s="58"/>
      <c r="G377" s="46"/>
      <c r="H377" s="46"/>
      <c r="I377" s="59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spans="1:27" ht="16.5">
      <c r="A378" s="46"/>
      <c r="B378" s="46"/>
      <c r="C378" s="57"/>
      <c r="D378" s="46"/>
      <c r="E378" s="46"/>
      <c r="F378" s="58"/>
      <c r="G378" s="46"/>
      <c r="H378" s="46"/>
      <c r="I378" s="59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spans="1:27" ht="16.5">
      <c r="A379" s="46"/>
      <c r="B379" s="46"/>
      <c r="C379" s="57"/>
      <c r="D379" s="46"/>
      <c r="E379" s="46"/>
      <c r="F379" s="58"/>
      <c r="G379" s="46"/>
      <c r="H379" s="46"/>
      <c r="I379" s="59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spans="1:27" ht="16.5">
      <c r="A380" s="46"/>
      <c r="B380" s="46"/>
      <c r="C380" s="57"/>
      <c r="D380" s="46"/>
      <c r="E380" s="46"/>
      <c r="F380" s="58"/>
      <c r="G380" s="46"/>
      <c r="H380" s="46"/>
      <c r="I380" s="59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spans="1:27" ht="16.5">
      <c r="A381" s="46"/>
      <c r="B381" s="46"/>
      <c r="C381" s="57"/>
      <c r="D381" s="46"/>
      <c r="E381" s="46"/>
      <c r="F381" s="58"/>
      <c r="G381" s="46"/>
      <c r="H381" s="46"/>
      <c r="I381" s="59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spans="1:27" ht="16.5">
      <c r="A382" s="46"/>
      <c r="B382" s="46"/>
      <c r="C382" s="57"/>
      <c r="D382" s="46"/>
      <c r="E382" s="46"/>
      <c r="F382" s="58"/>
      <c r="G382" s="46"/>
      <c r="H382" s="46"/>
      <c r="I382" s="59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spans="1:27" ht="16.5">
      <c r="A383" s="46"/>
      <c r="B383" s="46"/>
      <c r="C383" s="57"/>
      <c r="D383" s="46"/>
      <c r="E383" s="46"/>
      <c r="F383" s="58"/>
      <c r="G383" s="46"/>
      <c r="H383" s="46"/>
      <c r="I383" s="59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spans="1:27" ht="16.5">
      <c r="A384" s="46"/>
      <c r="B384" s="46"/>
      <c r="C384" s="57"/>
      <c r="D384" s="46"/>
      <c r="E384" s="46"/>
      <c r="F384" s="58"/>
      <c r="G384" s="46"/>
      <c r="H384" s="46"/>
      <c r="I384" s="59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spans="1:27" ht="16.5">
      <c r="A385" s="46"/>
      <c r="B385" s="46"/>
      <c r="C385" s="57"/>
      <c r="D385" s="46"/>
      <c r="E385" s="46"/>
      <c r="F385" s="58"/>
      <c r="G385" s="46"/>
      <c r="H385" s="46"/>
      <c r="I385" s="59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spans="1:27" ht="16.5">
      <c r="A386" s="46"/>
      <c r="B386" s="46"/>
      <c r="C386" s="57"/>
      <c r="D386" s="46"/>
      <c r="E386" s="46"/>
      <c r="F386" s="58"/>
      <c r="G386" s="46"/>
      <c r="H386" s="46"/>
      <c r="I386" s="59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spans="1:27" ht="16.5">
      <c r="A387" s="46"/>
      <c r="B387" s="46"/>
      <c r="C387" s="57"/>
      <c r="D387" s="46"/>
      <c r="E387" s="46"/>
      <c r="F387" s="58"/>
      <c r="G387" s="46"/>
      <c r="H387" s="46"/>
      <c r="I387" s="59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spans="1:27" ht="16.5">
      <c r="A388" s="46"/>
      <c r="B388" s="46"/>
      <c r="C388" s="57"/>
      <c r="D388" s="46"/>
      <c r="E388" s="46"/>
      <c r="F388" s="58"/>
      <c r="G388" s="46"/>
      <c r="H388" s="46"/>
      <c r="I388" s="59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spans="1:27" ht="16.5">
      <c r="A389" s="46"/>
      <c r="B389" s="46"/>
      <c r="C389" s="57"/>
      <c r="D389" s="46"/>
      <c r="E389" s="46"/>
      <c r="F389" s="58"/>
      <c r="G389" s="46"/>
      <c r="H389" s="46"/>
      <c r="I389" s="59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spans="1:27" ht="16.5">
      <c r="A390" s="46"/>
      <c r="B390" s="46"/>
      <c r="C390" s="57"/>
      <c r="D390" s="46"/>
      <c r="E390" s="46"/>
      <c r="F390" s="58"/>
      <c r="G390" s="46"/>
      <c r="H390" s="46"/>
      <c r="I390" s="59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spans="1:27" ht="16.5">
      <c r="A391" s="46"/>
      <c r="B391" s="46"/>
      <c r="C391" s="57"/>
      <c r="D391" s="46"/>
      <c r="E391" s="46"/>
      <c r="F391" s="58"/>
      <c r="G391" s="46"/>
      <c r="H391" s="46"/>
      <c r="I391" s="59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spans="1:27" ht="16.5">
      <c r="A392" s="46"/>
      <c r="B392" s="46"/>
      <c r="C392" s="57"/>
      <c r="D392" s="46"/>
      <c r="E392" s="46"/>
      <c r="F392" s="58"/>
      <c r="G392" s="46"/>
      <c r="H392" s="46"/>
      <c r="I392" s="59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spans="1:27" ht="16.5">
      <c r="A393" s="46"/>
      <c r="B393" s="46"/>
      <c r="C393" s="57"/>
      <c r="D393" s="46"/>
      <c r="E393" s="46"/>
      <c r="F393" s="58"/>
      <c r="G393" s="46"/>
      <c r="H393" s="46"/>
      <c r="I393" s="59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spans="1:27" ht="16.5">
      <c r="A394" s="46"/>
      <c r="B394" s="46"/>
      <c r="C394" s="57"/>
      <c r="D394" s="46"/>
      <c r="E394" s="46"/>
      <c r="F394" s="58"/>
      <c r="G394" s="46"/>
      <c r="H394" s="46"/>
      <c r="I394" s="59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spans="1:27" ht="16.5">
      <c r="A395" s="46"/>
      <c r="B395" s="46"/>
      <c r="C395" s="57"/>
      <c r="D395" s="46"/>
      <c r="E395" s="46"/>
      <c r="F395" s="58"/>
      <c r="G395" s="46"/>
      <c r="H395" s="46"/>
      <c r="I395" s="59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spans="1:27" ht="16.5">
      <c r="A396" s="46"/>
      <c r="B396" s="46"/>
      <c r="C396" s="57"/>
      <c r="D396" s="46"/>
      <c r="E396" s="46"/>
      <c r="F396" s="58"/>
      <c r="G396" s="46"/>
      <c r="H396" s="46"/>
      <c r="I396" s="59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spans="1:27" ht="16.5">
      <c r="A397" s="46"/>
      <c r="B397" s="46"/>
      <c r="C397" s="57"/>
      <c r="D397" s="46"/>
      <c r="E397" s="46"/>
      <c r="F397" s="58"/>
      <c r="G397" s="46"/>
      <c r="H397" s="46"/>
      <c r="I397" s="59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spans="1:27" ht="16.5">
      <c r="A398" s="46"/>
      <c r="B398" s="46"/>
      <c r="C398" s="57"/>
      <c r="D398" s="46"/>
      <c r="E398" s="46"/>
      <c r="F398" s="58"/>
      <c r="G398" s="46"/>
      <c r="H398" s="46"/>
      <c r="I398" s="59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spans="1:27" ht="16.5">
      <c r="A399" s="46"/>
      <c r="B399" s="46"/>
      <c r="C399" s="57"/>
      <c r="D399" s="46"/>
      <c r="E399" s="46"/>
      <c r="F399" s="58"/>
      <c r="G399" s="46"/>
      <c r="H399" s="46"/>
      <c r="I399" s="59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spans="1:27" ht="16.5">
      <c r="A400" s="46"/>
      <c r="B400" s="46"/>
      <c r="C400" s="57"/>
      <c r="D400" s="46"/>
      <c r="E400" s="46"/>
      <c r="F400" s="58"/>
      <c r="G400" s="46"/>
      <c r="H400" s="46"/>
      <c r="I400" s="59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spans="1:27" ht="16.5">
      <c r="A401" s="46"/>
      <c r="B401" s="46"/>
      <c r="C401" s="57"/>
      <c r="D401" s="46"/>
      <c r="E401" s="46"/>
      <c r="F401" s="58"/>
      <c r="G401" s="46"/>
      <c r="H401" s="46"/>
      <c r="I401" s="59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spans="1:27" ht="16.5">
      <c r="A402" s="46"/>
      <c r="B402" s="46"/>
      <c r="C402" s="57"/>
      <c r="D402" s="46"/>
      <c r="E402" s="46"/>
      <c r="F402" s="58"/>
      <c r="G402" s="46"/>
      <c r="H402" s="46"/>
      <c r="I402" s="59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spans="1:27" ht="16.5">
      <c r="A403" s="46"/>
      <c r="B403" s="46"/>
      <c r="C403" s="57"/>
      <c r="D403" s="46"/>
      <c r="E403" s="46"/>
      <c r="F403" s="58"/>
      <c r="G403" s="46"/>
      <c r="H403" s="46"/>
      <c r="I403" s="59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spans="1:27" ht="16.5">
      <c r="A404" s="46"/>
      <c r="B404" s="46"/>
      <c r="C404" s="57"/>
      <c r="D404" s="46"/>
      <c r="E404" s="46"/>
      <c r="F404" s="58"/>
      <c r="G404" s="46"/>
      <c r="H404" s="46"/>
      <c r="I404" s="59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spans="1:27" ht="16.5">
      <c r="A405" s="46"/>
      <c r="B405" s="46"/>
      <c r="C405" s="57"/>
      <c r="D405" s="46"/>
      <c r="E405" s="46"/>
      <c r="F405" s="58"/>
      <c r="G405" s="46"/>
      <c r="H405" s="46"/>
      <c r="I405" s="59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spans="1:27" ht="16.5">
      <c r="A406" s="46"/>
      <c r="B406" s="46"/>
      <c r="C406" s="57"/>
      <c r="D406" s="46"/>
      <c r="E406" s="46"/>
      <c r="F406" s="58"/>
      <c r="G406" s="46"/>
      <c r="H406" s="46"/>
      <c r="I406" s="59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spans="1:27" ht="16.5">
      <c r="A407" s="46"/>
      <c r="B407" s="46"/>
      <c r="C407" s="57"/>
      <c r="D407" s="46"/>
      <c r="E407" s="46"/>
      <c r="F407" s="58"/>
      <c r="G407" s="46"/>
      <c r="H407" s="46"/>
      <c r="I407" s="59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spans="1:27" ht="16.5">
      <c r="A408" s="46"/>
      <c r="B408" s="46"/>
      <c r="C408" s="57"/>
      <c r="D408" s="46"/>
      <c r="E408" s="46"/>
      <c r="F408" s="58"/>
      <c r="G408" s="46"/>
      <c r="H408" s="46"/>
      <c r="I408" s="59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spans="1:27" ht="16.5">
      <c r="A409" s="46"/>
      <c r="B409" s="46"/>
      <c r="C409" s="57"/>
      <c r="D409" s="46"/>
      <c r="E409" s="46"/>
      <c r="F409" s="58"/>
      <c r="G409" s="46"/>
      <c r="H409" s="46"/>
      <c r="I409" s="59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spans="1:27" ht="16.5">
      <c r="A410" s="46"/>
      <c r="B410" s="46"/>
      <c r="C410" s="57"/>
      <c r="D410" s="46"/>
      <c r="E410" s="46"/>
      <c r="F410" s="58"/>
      <c r="G410" s="46"/>
      <c r="H410" s="46"/>
      <c r="I410" s="59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spans="1:27" ht="16.5">
      <c r="A411" s="46"/>
      <c r="B411" s="46"/>
      <c r="C411" s="57"/>
      <c r="D411" s="46"/>
      <c r="E411" s="46"/>
      <c r="F411" s="58"/>
      <c r="G411" s="46"/>
      <c r="H411" s="46"/>
      <c r="I411" s="59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spans="1:27" ht="16.5">
      <c r="A412" s="46"/>
      <c r="B412" s="46"/>
      <c r="C412" s="57"/>
      <c r="D412" s="46"/>
      <c r="E412" s="46"/>
      <c r="F412" s="58"/>
      <c r="G412" s="46"/>
      <c r="H412" s="46"/>
      <c r="I412" s="59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spans="1:27" ht="16.5">
      <c r="A413" s="46"/>
      <c r="B413" s="46"/>
      <c r="C413" s="57"/>
      <c r="D413" s="46"/>
      <c r="E413" s="46"/>
      <c r="F413" s="58"/>
      <c r="G413" s="46"/>
      <c r="H413" s="46"/>
      <c r="I413" s="59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spans="1:27" ht="16.5">
      <c r="A414" s="46"/>
      <c r="B414" s="46"/>
      <c r="C414" s="57"/>
      <c r="D414" s="46"/>
      <c r="E414" s="46"/>
      <c r="F414" s="58"/>
      <c r="G414" s="46"/>
      <c r="H414" s="46"/>
      <c r="I414" s="59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spans="1:27" ht="16.5">
      <c r="A415" s="46"/>
      <c r="B415" s="46"/>
      <c r="C415" s="57"/>
      <c r="D415" s="46"/>
      <c r="E415" s="46"/>
      <c r="F415" s="58"/>
      <c r="G415" s="46"/>
      <c r="H415" s="46"/>
      <c r="I415" s="59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spans="1:27" ht="16.5">
      <c r="A416" s="46"/>
      <c r="B416" s="46"/>
      <c r="C416" s="57"/>
      <c r="D416" s="46"/>
      <c r="E416" s="46"/>
      <c r="F416" s="58"/>
      <c r="G416" s="46"/>
      <c r="H416" s="46"/>
      <c r="I416" s="59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spans="1:27" ht="16.5">
      <c r="A417" s="46"/>
      <c r="B417" s="46"/>
      <c r="C417" s="57"/>
      <c r="D417" s="46"/>
      <c r="E417" s="46"/>
      <c r="F417" s="58"/>
      <c r="G417" s="46"/>
      <c r="H417" s="46"/>
      <c r="I417" s="59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spans="1:27" ht="16.5">
      <c r="A418" s="46"/>
      <c r="B418" s="46"/>
      <c r="C418" s="57"/>
      <c r="D418" s="46"/>
      <c r="E418" s="46"/>
      <c r="F418" s="58"/>
      <c r="G418" s="46"/>
      <c r="H418" s="46"/>
      <c r="I418" s="59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spans="1:27" ht="16.5">
      <c r="A419" s="46"/>
      <c r="B419" s="46"/>
      <c r="C419" s="57"/>
      <c r="D419" s="46"/>
      <c r="E419" s="46"/>
      <c r="F419" s="58"/>
      <c r="G419" s="46"/>
      <c r="H419" s="46"/>
      <c r="I419" s="59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spans="1:27" ht="16.5">
      <c r="A420" s="46"/>
      <c r="B420" s="46"/>
      <c r="C420" s="57"/>
      <c r="D420" s="46"/>
      <c r="E420" s="46"/>
      <c r="F420" s="58"/>
      <c r="G420" s="46"/>
      <c r="H420" s="46"/>
      <c r="I420" s="59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spans="1:27" ht="16.5">
      <c r="A421" s="46"/>
      <c r="B421" s="46"/>
      <c r="C421" s="57"/>
      <c r="D421" s="46"/>
      <c r="E421" s="46"/>
      <c r="F421" s="58"/>
      <c r="G421" s="46"/>
      <c r="H421" s="46"/>
      <c r="I421" s="59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spans="1:27" ht="16.5">
      <c r="A422" s="46"/>
      <c r="B422" s="46"/>
      <c r="C422" s="57"/>
      <c r="D422" s="46"/>
      <c r="E422" s="46"/>
      <c r="F422" s="58"/>
      <c r="G422" s="46"/>
      <c r="H422" s="46"/>
      <c r="I422" s="59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spans="1:27" ht="16.5">
      <c r="A423" s="46"/>
      <c r="B423" s="46"/>
      <c r="C423" s="57"/>
      <c r="D423" s="46"/>
      <c r="E423" s="46"/>
      <c r="F423" s="58"/>
      <c r="G423" s="46"/>
      <c r="H423" s="46"/>
      <c r="I423" s="59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spans="1:27" ht="16.5">
      <c r="A424" s="46"/>
      <c r="B424" s="46"/>
      <c r="C424" s="57"/>
      <c r="D424" s="46"/>
      <c r="E424" s="46"/>
      <c r="F424" s="58"/>
      <c r="G424" s="46"/>
      <c r="H424" s="46"/>
      <c r="I424" s="59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spans="1:27" ht="16.5">
      <c r="A425" s="46"/>
      <c r="B425" s="46"/>
      <c r="C425" s="57"/>
      <c r="D425" s="46"/>
      <c r="E425" s="46"/>
      <c r="F425" s="58"/>
      <c r="G425" s="46"/>
      <c r="H425" s="46"/>
      <c r="I425" s="59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spans="1:27" ht="16.5">
      <c r="A426" s="46"/>
      <c r="B426" s="46"/>
      <c r="C426" s="57"/>
      <c r="D426" s="46"/>
      <c r="E426" s="46"/>
      <c r="F426" s="58"/>
      <c r="G426" s="46"/>
      <c r="H426" s="46"/>
      <c r="I426" s="59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spans="1:27" ht="16.5">
      <c r="A427" s="46"/>
      <c r="B427" s="46"/>
      <c r="C427" s="57"/>
      <c r="D427" s="46"/>
      <c r="E427" s="46"/>
      <c r="F427" s="58"/>
      <c r="G427" s="46"/>
      <c r="H427" s="46"/>
      <c r="I427" s="59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spans="1:27" ht="16.5">
      <c r="A428" s="46"/>
      <c r="B428" s="46"/>
      <c r="C428" s="57"/>
      <c r="D428" s="46"/>
      <c r="E428" s="46"/>
      <c r="F428" s="58"/>
      <c r="G428" s="46"/>
      <c r="H428" s="46"/>
      <c r="I428" s="59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spans="1:27" ht="16.5">
      <c r="A429" s="46"/>
      <c r="B429" s="46"/>
      <c r="C429" s="57"/>
      <c r="D429" s="46"/>
      <c r="E429" s="46"/>
      <c r="F429" s="58"/>
      <c r="G429" s="46"/>
      <c r="H429" s="46"/>
      <c r="I429" s="59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spans="1:27" ht="16.5">
      <c r="A430" s="46"/>
      <c r="B430" s="46"/>
      <c r="C430" s="57"/>
      <c r="D430" s="46"/>
      <c r="E430" s="46"/>
      <c r="F430" s="58"/>
      <c r="G430" s="46"/>
      <c r="H430" s="46"/>
      <c r="I430" s="59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spans="1:27" ht="16.5">
      <c r="A431" s="46"/>
      <c r="B431" s="46"/>
      <c r="C431" s="57"/>
      <c r="D431" s="46"/>
      <c r="E431" s="46"/>
      <c r="F431" s="58"/>
      <c r="G431" s="46"/>
      <c r="H431" s="46"/>
      <c r="I431" s="59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spans="1:27" ht="16.5">
      <c r="A432" s="46"/>
      <c r="B432" s="46"/>
      <c r="C432" s="57"/>
      <c r="D432" s="46"/>
      <c r="E432" s="46"/>
      <c r="F432" s="58"/>
      <c r="G432" s="46"/>
      <c r="H432" s="46"/>
      <c r="I432" s="59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spans="1:27" ht="16.5">
      <c r="A433" s="46"/>
      <c r="B433" s="46"/>
      <c r="C433" s="57"/>
      <c r="D433" s="46"/>
      <c r="E433" s="46"/>
      <c r="F433" s="58"/>
      <c r="G433" s="46"/>
      <c r="H433" s="46"/>
      <c r="I433" s="59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spans="1:27" ht="16.5">
      <c r="A434" s="46"/>
      <c r="B434" s="46"/>
      <c r="C434" s="57"/>
      <c r="D434" s="46"/>
      <c r="E434" s="46"/>
      <c r="F434" s="58"/>
      <c r="G434" s="46"/>
      <c r="H434" s="46"/>
      <c r="I434" s="59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spans="1:27" ht="16.5">
      <c r="A435" s="46"/>
      <c r="B435" s="46"/>
      <c r="C435" s="57"/>
      <c r="D435" s="46"/>
      <c r="E435" s="46"/>
      <c r="F435" s="58"/>
      <c r="G435" s="46"/>
      <c r="H435" s="46"/>
      <c r="I435" s="59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spans="1:27" ht="16.5">
      <c r="A436" s="46"/>
      <c r="B436" s="46"/>
      <c r="C436" s="57"/>
      <c r="D436" s="46"/>
      <c r="E436" s="46"/>
      <c r="F436" s="58"/>
      <c r="G436" s="46"/>
      <c r="H436" s="46"/>
      <c r="I436" s="59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spans="1:27" ht="16.5">
      <c r="A437" s="46"/>
      <c r="B437" s="46"/>
      <c r="C437" s="57"/>
      <c r="D437" s="46"/>
      <c r="E437" s="46"/>
      <c r="F437" s="58"/>
      <c r="G437" s="46"/>
      <c r="H437" s="46"/>
      <c r="I437" s="59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spans="1:27" ht="16.5">
      <c r="A438" s="46"/>
      <c r="B438" s="46"/>
      <c r="C438" s="57"/>
      <c r="D438" s="46"/>
      <c r="E438" s="46"/>
      <c r="F438" s="58"/>
      <c r="G438" s="46"/>
      <c r="H438" s="46"/>
      <c r="I438" s="59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spans="1:27" ht="16.5">
      <c r="A439" s="46"/>
      <c r="B439" s="46"/>
      <c r="C439" s="57"/>
      <c r="D439" s="46"/>
      <c r="E439" s="46"/>
      <c r="F439" s="58"/>
      <c r="G439" s="46"/>
      <c r="H439" s="46"/>
      <c r="I439" s="59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spans="1:27" ht="16.5">
      <c r="A440" s="46"/>
      <c r="B440" s="46"/>
      <c r="C440" s="57"/>
      <c r="D440" s="46"/>
      <c r="E440" s="46"/>
      <c r="F440" s="58"/>
      <c r="G440" s="46"/>
      <c r="H440" s="46"/>
      <c r="I440" s="59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spans="1:27" ht="16.5">
      <c r="A441" s="46"/>
      <c r="B441" s="46"/>
      <c r="C441" s="57"/>
      <c r="D441" s="46"/>
      <c r="E441" s="46"/>
      <c r="F441" s="58"/>
      <c r="G441" s="46"/>
      <c r="H441" s="46"/>
      <c r="I441" s="59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spans="1:27" ht="16.5">
      <c r="A442" s="46"/>
      <c r="B442" s="46"/>
      <c r="C442" s="57"/>
      <c r="D442" s="46"/>
      <c r="E442" s="46"/>
      <c r="F442" s="58"/>
      <c r="G442" s="46"/>
      <c r="H442" s="46"/>
      <c r="I442" s="59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spans="1:27" ht="16.5">
      <c r="A443" s="46"/>
      <c r="B443" s="46"/>
      <c r="C443" s="57"/>
      <c r="D443" s="46"/>
      <c r="E443" s="46"/>
      <c r="F443" s="58"/>
      <c r="G443" s="46"/>
      <c r="H443" s="46"/>
      <c r="I443" s="59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spans="1:27" ht="16.5">
      <c r="A444" s="46"/>
      <c r="B444" s="46"/>
      <c r="C444" s="57"/>
      <c r="D444" s="46"/>
      <c r="E444" s="46"/>
      <c r="F444" s="58"/>
      <c r="G444" s="46"/>
      <c r="H444" s="46"/>
      <c r="I444" s="59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spans="1:27" ht="16.5">
      <c r="A445" s="46"/>
      <c r="B445" s="46"/>
      <c r="C445" s="57"/>
      <c r="D445" s="46"/>
      <c r="E445" s="46"/>
      <c r="F445" s="58"/>
      <c r="G445" s="46"/>
      <c r="H445" s="46"/>
      <c r="I445" s="59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spans="1:27" ht="16.5">
      <c r="A446" s="46"/>
      <c r="B446" s="46"/>
      <c r="C446" s="57"/>
      <c r="D446" s="46"/>
      <c r="E446" s="46"/>
      <c r="F446" s="58"/>
      <c r="G446" s="46"/>
      <c r="H446" s="46"/>
      <c r="I446" s="59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spans="1:27" ht="16.5">
      <c r="A447" s="46"/>
      <c r="B447" s="46"/>
      <c r="C447" s="57"/>
      <c r="D447" s="46"/>
      <c r="E447" s="46"/>
      <c r="F447" s="58"/>
      <c r="G447" s="46"/>
      <c r="H447" s="46"/>
      <c r="I447" s="59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spans="1:27" ht="16.5">
      <c r="A448" s="46"/>
      <c r="B448" s="46"/>
      <c r="C448" s="57"/>
      <c r="D448" s="46"/>
      <c r="E448" s="46"/>
      <c r="F448" s="58"/>
      <c r="G448" s="46"/>
      <c r="H448" s="46"/>
      <c r="I448" s="59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spans="1:27" ht="16.5">
      <c r="A449" s="46"/>
      <c r="B449" s="46"/>
      <c r="C449" s="57"/>
      <c r="D449" s="46"/>
      <c r="E449" s="46"/>
      <c r="F449" s="58"/>
      <c r="G449" s="46"/>
      <c r="H449" s="46"/>
      <c r="I449" s="59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spans="1:27" ht="16.5">
      <c r="A450" s="46"/>
      <c r="B450" s="46"/>
      <c r="C450" s="57"/>
      <c r="D450" s="46"/>
      <c r="E450" s="46"/>
      <c r="F450" s="58"/>
      <c r="G450" s="46"/>
      <c r="H450" s="46"/>
      <c r="I450" s="59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spans="1:27" ht="16.5">
      <c r="A451" s="46"/>
      <c r="B451" s="46"/>
      <c r="C451" s="57"/>
      <c r="D451" s="46"/>
      <c r="E451" s="46"/>
      <c r="F451" s="58"/>
      <c r="G451" s="46"/>
      <c r="H451" s="46"/>
      <c r="I451" s="59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spans="1:27" ht="16.5">
      <c r="A452" s="46"/>
      <c r="B452" s="46"/>
      <c r="C452" s="57"/>
      <c r="D452" s="46"/>
      <c r="E452" s="46"/>
      <c r="F452" s="58"/>
      <c r="G452" s="46"/>
      <c r="H452" s="46"/>
      <c r="I452" s="59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spans="1:27" ht="16.5">
      <c r="A453" s="46"/>
      <c r="B453" s="46"/>
      <c r="C453" s="57"/>
      <c r="D453" s="46"/>
      <c r="E453" s="46"/>
      <c r="F453" s="58"/>
      <c r="G453" s="46"/>
      <c r="H453" s="46"/>
      <c r="I453" s="59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spans="1:27" ht="16.5">
      <c r="A454" s="46"/>
      <c r="B454" s="46"/>
      <c r="C454" s="57"/>
      <c r="D454" s="46"/>
      <c r="E454" s="46"/>
      <c r="F454" s="58"/>
      <c r="G454" s="46"/>
      <c r="H454" s="46"/>
      <c r="I454" s="59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spans="1:27" ht="16.5">
      <c r="A455" s="46"/>
      <c r="B455" s="46"/>
      <c r="C455" s="57"/>
      <c r="D455" s="46"/>
      <c r="E455" s="46"/>
      <c r="F455" s="58"/>
      <c r="G455" s="46"/>
      <c r="H455" s="46"/>
      <c r="I455" s="59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spans="1:27" ht="16.5">
      <c r="A456" s="46"/>
      <c r="B456" s="46"/>
      <c r="C456" s="57"/>
      <c r="D456" s="46"/>
      <c r="E456" s="46"/>
      <c r="F456" s="58"/>
      <c r="G456" s="46"/>
      <c r="H456" s="46"/>
      <c r="I456" s="59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spans="1:27" ht="16.5">
      <c r="A457" s="46"/>
      <c r="B457" s="46"/>
      <c r="C457" s="57"/>
      <c r="D457" s="46"/>
      <c r="E457" s="46"/>
      <c r="F457" s="58"/>
      <c r="G457" s="46"/>
      <c r="H457" s="46"/>
      <c r="I457" s="59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spans="1:27" ht="16.5">
      <c r="A458" s="46"/>
      <c r="B458" s="46"/>
      <c r="C458" s="57"/>
      <c r="D458" s="46"/>
      <c r="E458" s="46"/>
      <c r="F458" s="58"/>
      <c r="G458" s="46"/>
      <c r="H458" s="46"/>
      <c r="I458" s="59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spans="1:27" ht="16.5">
      <c r="A459" s="46"/>
      <c r="B459" s="46"/>
      <c r="C459" s="57"/>
      <c r="D459" s="46"/>
      <c r="E459" s="46"/>
      <c r="F459" s="58"/>
      <c r="G459" s="46"/>
      <c r="H459" s="46"/>
      <c r="I459" s="59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spans="1:27" ht="16.5">
      <c r="A460" s="46"/>
      <c r="B460" s="46"/>
      <c r="C460" s="57"/>
      <c r="D460" s="46"/>
      <c r="E460" s="46"/>
      <c r="F460" s="58"/>
      <c r="G460" s="46"/>
      <c r="H460" s="46"/>
      <c r="I460" s="59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27" ht="16.5">
      <c r="A461" s="46"/>
      <c r="B461" s="46"/>
      <c r="C461" s="57"/>
      <c r="D461" s="46"/>
      <c r="E461" s="46"/>
      <c r="F461" s="58"/>
      <c r="G461" s="46"/>
      <c r="H461" s="46"/>
      <c r="I461" s="59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27" ht="16.5">
      <c r="A462" s="46"/>
      <c r="B462" s="46"/>
      <c r="C462" s="57"/>
      <c r="D462" s="46"/>
      <c r="E462" s="46"/>
      <c r="F462" s="58"/>
      <c r="G462" s="46"/>
      <c r="H462" s="46"/>
      <c r="I462" s="59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27" ht="16.5">
      <c r="A463" s="46"/>
      <c r="B463" s="46"/>
      <c r="C463" s="57"/>
      <c r="D463" s="46"/>
      <c r="E463" s="46"/>
      <c r="F463" s="58"/>
      <c r="G463" s="46"/>
      <c r="H463" s="46"/>
      <c r="I463" s="59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spans="1:27" ht="16.5">
      <c r="A464" s="46"/>
      <c r="B464" s="46"/>
      <c r="C464" s="57"/>
      <c r="D464" s="46"/>
      <c r="E464" s="46"/>
      <c r="F464" s="58"/>
      <c r="G464" s="46"/>
      <c r="H464" s="46"/>
      <c r="I464" s="59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spans="1:27" ht="16.5">
      <c r="A465" s="46"/>
      <c r="B465" s="46"/>
      <c r="C465" s="57"/>
      <c r="D465" s="46"/>
      <c r="E465" s="46"/>
      <c r="F465" s="58"/>
      <c r="G465" s="46"/>
      <c r="H465" s="46"/>
      <c r="I465" s="59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spans="1:27" ht="16.5">
      <c r="A466" s="46"/>
      <c r="B466" s="46"/>
      <c r="C466" s="57"/>
      <c r="D466" s="46"/>
      <c r="E466" s="46"/>
      <c r="F466" s="58"/>
      <c r="G466" s="46"/>
      <c r="H466" s="46"/>
      <c r="I466" s="59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spans="1:27" ht="16.5">
      <c r="A467" s="46"/>
      <c r="B467" s="46"/>
      <c r="C467" s="57"/>
      <c r="D467" s="46"/>
      <c r="E467" s="46"/>
      <c r="F467" s="58"/>
      <c r="G467" s="46"/>
      <c r="H467" s="46"/>
      <c r="I467" s="59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spans="1:27" ht="16.5">
      <c r="A468" s="46"/>
      <c r="B468" s="46"/>
      <c r="C468" s="57"/>
      <c r="D468" s="46"/>
      <c r="E468" s="46"/>
      <c r="F468" s="58"/>
      <c r="G468" s="46"/>
      <c r="H468" s="46"/>
      <c r="I468" s="59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spans="1:27" ht="16.5">
      <c r="A469" s="46"/>
      <c r="B469" s="46"/>
      <c r="C469" s="57"/>
      <c r="D469" s="46"/>
      <c r="E469" s="46"/>
      <c r="F469" s="58"/>
      <c r="G469" s="46"/>
      <c r="H469" s="46"/>
      <c r="I469" s="59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spans="1:27" ht="16.5">
      <c r="A470" s="46"/>
      <c r="B470" s="46"/>
      <c r="C470" s="57"/>
      <c r="D470" s="46"/>
      <c r="E470" s="46"/>
      <c r="F470" s="58"/>
      <c r="G470" s="46"/>
      <c r="H470" s="46"/>
      <c r="I470" s="59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spans="1:27" ht="16.5">
      <c r="A471" s="46"/>
      <c r="B471" s="46"/>
      <c r="C471" s="57"/>
      <c r="D471" s="46"/>
      <c r="E471" s="46"/>
      <c r="F471" s="58"/>
      <c r="G471" s="46"/>
      <c r="H471" s="46"/>
      <c r="I471" s="59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spans="1:27" ht="16.5">
      <c r="A472" s="46"/>
      <c r="B472" s="46"/>
      <c r="C472" s="57"/>
      <c r="D472" s="46"/>
      <c r="E472" s="46"/>
      <c r="F472" s="58"/>
      <c r="G472" s="46"/>
      <c r="H472" s="46"/>
      <c r="I472" s="59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spans="1:27" ht="16.5">
      <c r="A473" s="46"/>
      <c r="B473" s="46"/>
      <c r="C473" s="57"/>
      <c r="D473" s="46"/>
      <c r="E473" s="46"/>
      <c r="F473" s="58"/>
      <c r="G473" s="46"/>
      <c r="H473" s="46"/>
      <c r="I473" s="59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spans="1:27" ht="16.5">
      <c r="A474" s="46"/>
      <c r="B474" s="46"/>
      <c r="C474" s="57"/>
      <c r="D474" s="46"/>
      <c r="E474" s="46"/>
      <c r="F474" s="58"/>
      <c r="G474" s="46"/>
      <c r="H474" s="46"/>
      <c r="I474" s="59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spans="1:27" ht="16.5">
      <c r="A475" s="46"/>
      <c r="B475" s="46"/>
      <c r="C475" s="57"/>
      <c r="D475" s="46"/>
      <c r="E475" s="46"/>
      <c r="F475" s="58"/>
      <c r="G475" s="46"/>
      <c r="H475" s="46"/>
      <c r="I475" s="59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spans="1:27" ht="16.5">
      <c r="A476" s="46"/>
      <c r="B476" s="46"/>
      <c r="C476" s="57"/>
      <c r="D476" s="46"/>
      <c r="E476" s="46"/>
      <c r="F476" s="58"/>
      <c r="G476" s="46"/>
      <c r="H476" s="46"/>
      <c r="I476" s="59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spans="1:27" ht="16.5">
      <c r="A477" s="46"/>
      <c r="B477" s="46"/>
      <c r="C477" s="57"/>
      <c r="D477" s="46"/>
      <c r="E477" s="46"/>
      <c r="F477" s="58"/>
      <c r="G477" s="46"/>
      <c r="H477" s="46"/>
      <c r="I477" s="59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spans="1:27" ht="16.5">
      <c r="A478" s="46"/>
      <c r="B478" s="46"/>
      <c r="C478" s="57"/>
      <c r="D478" s="46"/>
      <c r="E478" s="46"/>
      <c r="F478" s="58"/>
      <c r="G478" s="46"/>
      <c r="H478" s="46"/>
      <c r="I478" s="59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spans="1:27" ht="16.5">
      <c r="A479" s="46"/>
      <c r="B479" s="46"/>
      <c r="C479" s="57"/>
      <c r="D479" s="46"/>
      <c r="E479" s="46"/>
      <c r="F479" s="58"/>
      <c r="G479" s="46"/>
      <c r="H479" s="46"/>
      <c r="I479" s="59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spans="1:27" ht="16.5">
      <c r="A480" s="46"/>
      <c r="B480" s="46"/>
      <c r="C480" s="57"/>
      <c r="D480" s="46"/>
      <c r="E480" s="46"/>
      <c r="F480" s="58"/>
      <c r="G480" s="46"/>
      <c r="H480" s="46"/>
      <c r="I480" s="59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spans="1:27" ht="16.5">
      <c r="A481" s="46"/>
      <c r="B481" s="46"/>
      <c r="C481" s="57"/>
      <c r="D481" s="46"/>
      <c r="E481" s="46"/>
      <c r="F481" s="58"/>
      <c r="G481" s="46"/>
      <c r="H481" s="46"/>
      <c r="I481" s="59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spans="1:27" ht="16.5">
      <c r="A482" s="46"/>
      <c r="B482" s="46"/>
      <c r="C482" s="57"/>
      <c r="D482" s="46"/>
      <c r="E482" s="46"/>
      <c r="F482" s="58"/>
      <c r="G482" s="46"/>
      <c r="H482" s="46"/>
      <c r="I482" s="59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spans="1:27" ht="16.5">
      <c r="A483" s="46"/>
      <c r="B483" s="46"/>
      <c r="C483" s="57"/>
      <c r="D483" s="46"/>
      <c r="E483" s="46"/>
      <c r="F483" s="58"/>
      <c r="G483" s="46"/>
      <c r="H483" s="46"/>
      <c r="I483" s="59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spans="1:27" ht="16.5">
      <c r="A484" s="46"/>
      <c r="B484" s="46"/>
      <c r="C484" s="57"/>
      <c r="D484" s="46"/>
      <c r="E484" s="46"/>
      <c r="F484" s="58"/>
      <c r="G484" s="46"/>
      <c r="H484" s="46"/>
      <c r="I484" s="59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spans="1:27" ht="16.5">
      <c r="A485" s="46"/>
      <c r="B485" s="46"/>
      <c r="C485" s="57"/>
      <c r="D485" s="46"/>
      <c r="E485" s="46"/>
      <c r="F485" s="58"/>
      <c r="G485" s="46"/>
      <c r="H485" s="46"/>
      <c r="I485" s="59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spans="1:27" ht="16.5">
      <c r="A486" s="46"/>
      <c r="B486" s="46"/>
      <c r="C486" s="57"/>
      <c r="D486" s="46"/>
      <c r="E486" s="46"/>
      <c r="F486" s="58"/>
      <c r="G486" s="46"/>
      <c r="H486" s="46"/>
      <c r="I486" s="59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spans="1:27" ht="16.5">
      <c r="A487" s="46"/>
      <c r="B487" s="46"/>
      <c r="C487" s="57"/>
      <c r="D487" s="46"/>
      <c r="E487" s="46"/>
      <c r="F487" s="58"/>
      <c r="G487" s="46"/>
      <c r="H487" s="46"/>
      <c r="I487" s="59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spans="1:27" ht="16.5">
      <c r="A488" s="46"/>
      <c r="B488" s="46"/>
      <c r="C488" s="57"/>
      <c r="D488" s="46"/>
      <c r="E488" s="46"/>
      <c r="F488" s="58"/>
      <c r="G488" s="46"/>
      <c r="H488" s="46"/>
      <c r="I488" s="59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spans="1:27" ht="16.5">
      <c r="A489" s="46"/>
      <c r="B489" s="46"/>
      <c r="C489" s="57"/>
      <c r="D489" s="46"/>
      <c r="E489" s="46"/>
      <c r="F489" s="58"/>
      <c r="G489" s="46"/>
      <c r="H489" s="46"/>
      <c r="I489" s="59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spans="1:27" ht="16.5">
      <c r="A490" s="46"/>
      <c r="B490" s="46"/>
      <c r="C490" s="57"/>
      <c r="D490" s="46"/>
      <c r="E490" s="46"/>
      <c r="F490" s="58"/>
      <c r="G490" s="46"/>
      <c r="H490" s="46"/>
      <c r="I490" s="59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spans="1:27" ht="16.5">
      <c r="A491" s="46"/>
      <c r="B491" s="46"/>
      <c r="C491" s="57"/>
      <c r="D491" s="46"/>
      <c r="E491" s="46"/>
      <c r="F491" s="58"/>
      <c r="G491" s="46"/>
      <c r="H491" s="46"/>
      <c r="I491" s="59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spans="1:27" ht="16.5">
      <c r="A492" s="46"/>
      <c r="B492" s="46"/>
      <c r="C492" s="57"/>
      <c r="D492" s="46"/>
      <c r="E492" s="46"/>
      <c r="F492" s="58"/>
      <c r="G492" s="46"/>
      <c r="H492" s="46"/>
      <c r="I492" s="59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spans="1:27" ht="16.5">
      <c r="A493" s="46"/>
      <c r="B493" s="46"/>
      <c r="C493" s="57"/>
      <c r="D493" s="46"/>
      <c r="E493" s="46"/>
      <c r="F493" s="58"/>
      <c r="G493" s="46"/>
      <c r="H493" s="46"/>
      <c r="I493" s="59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spans="1:27" ht="16.5">
      <c r="A494" s="46"/>
      <c r="B494" s="46"/>
      <c r="C494" s="57"/>
      <c r="D494" s="46"/>
      <c r="E494" s="46"/>
      <c r="F494" s="58"/>
      <c r="G494" s="46"/>
      <c r="H494" s="46"/>
      <c r="I494" s="59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spans="1:27" ht="16.5">
      <c r="A495" s="46"/>
      <c r="B495" s="46"/>
      <c r="C495" s="57"/>
      <c r="D495" s="46"/>
      <c r="E495" s="46"/>
      <c r="F495" s="58"/>
      <c r="G495" s="46"/>
      <c r="H495" s="46"/>
      <c r="I495" s="59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spans="1:27" ht="16.5">
      <c r="A496" s="46"/>
      <c r="B496" s="46"/>
      <c r="C496" s="57"/>
      <c r="D496" s="46"/>
      <c r="E496" s="46"/>
      <c r="F496" s="58"/>
      <c r="G496" s="46"/>
      <c r="H496" s="46"/>
      <c r="I496" s="59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spans="1:27" ht="16.5">
      <c r="A497" s="46"/>
      <c r="B497" s="46"/>
      <c r="C497" s="57"/>
      <c r="D497" s="46"/>
      <c r="E497" s="46"/>
      <c r="F497" s="58"/>
      <c r="G497" s="46"/>
      <c r="H497" s="46"/>
      <c r="I497" s="59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spans="1:27" ht="16.5">
      <c r="A498" s="46"/>
      <c r="B498" s="46"/>
      <c r="C498" s="57"/>
      <c r="D498" s="46"/>
      <c r="E498" s="46"/>
      <c r="F498" s="58"/>
      <c r="G498" s="46"/>
      <c r="H498" s="46"/>
      <c r="I498" s="59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spans="1:27" ht="16.5">
      <c r="A499" s="46"/>
      <c r="B499" s="46"/>
      <c r="C499" s="57"/>
      <c r="D499" s="46"/>
      <c r="E499" s="46"/>
      <c r="F499" s="58"/>
      <c r="G499" s="46"/>
      <c r="H499" s="46"/>
      <c r="I499" s="59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spans="1:27" ht="16.5">
      <c r="A500" s="46"/>
      <c r="B500" s="46"/>
      <c r="C500" s="57"/>
      <c r="D500" s="46"/>
      <c r="E500" s="46"/>
      <c r="F500" s="58"/>
      <c r="G500" s="46"/>
      <c r="H500" s="46"/>
      <c r="I500" s="59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spans="1:27" ht="16.5">
      <c r="A501" s="46"/>
      <c r="B501" s="46"/>
      <c r="C501" s="57"/>
      <c r="D501" s="46"/>
      <c r="E501" s="46"/>
      <c r="F501" s="58"/>
      <c r="G501" s="46"/>
      <c r="H501" s="46"/>
      <c r="I501" s="59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spans="1:27" ht="16.5">
      <c r="A502" s="46"/>
      <c r="B502" s="46"/>
      <c r="C502" s="57"/>
      <c r="D502" s="46"/>
      <c r="E502" s="46"/>
      <c r="F502" s="58"/>
      <c r="G502" s="46"/>
      <c r="H502" s="46"/>
      <c r="I502" s="59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spans="1:27" ht="16.5">
      <c r="A503" s="46"/>
      <c r="B503" s="46"/>
      <c r="C503" s="57"/>
      <c r="D503" s="46"/>
      <c r="E503" s="46"/>
      <c r="F503" s="58"/>
      <c r="G503" s="46"/>
      <c r="H503" s="46"/>
      <c r="I503" s="59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spans="1:27" ht="16.5">
      <c r="A504" s="46"/>
      <c r="B504" s="46"/>
      <c r="C504" s="57"/>
      <c r="D504" s="46"/>
      <c r="E504" s="46"/>
      <c r="F504" s="58"/>
      <c r="G504" s="46"/>
      <c r="H504" s="46"/>
      <c r="I504" s="59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spans="1:27" ht="16.5">
      <c r="A505" s="46"/>
      <c r="B505" s="46"/>
      <c r="C505" s="57"/>
      <c r="D505" s="46"/>
      <c r="E505" s="46"/>
      <c r="F505" s="58"/>
      <c r="G505" s="46"/>
      <c r="H505" s="46"/>
      <c r="I505" s="59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spans="1:27" ht="16.5">
      <c r="A506" s="46"/>
      <c r="B506" s="46"/>
      <c r="C506" s="57"/>
      <c r="D506" s="46"/>
      <c r="E506" s="46"/>
      <c r="F506" s="58"/>
      <c r="G506" s="46"/>
      <c r="H506" s="46"/>
      <c r="I506" s="59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spans="1:27" ht="16.5">
      <c r="A507" s="46"/>
      <c r="B507" s="46"/>
      <c r="C507" s="57"/>
      <c r="D507" s="46"/>
      <c r="E507" s="46"/>
      <c r="F507" s="58"/>
      <c r="G507" s="46"/>
      <c r="H507" s="46"/>
      <c r="I507" s="59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spans="1:27" ht="16.5">
      <c r="A508" s="46"/>
      <c r="B508" s="46"/>
      <c r="C508" s="57"/>
      <c r="D508" s="46"/>
      <c r="E508" s="46"/>
      <c r="F508" s="58"/>
      <c r="G508" s="46"/>
      <c r="H508" s="46"/>
      <c r="I508" s="59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spans="1:27" ht="16.5">
      <c r="A509" s="46"/>
      <c r="B509" s="46"/>
      <c r="C509" s="57"/>
      <c r="D509" s="46"/>
      <c r="E509" s="46"/>
      <c r="F509" s="58"/>
      <c r="G509" s="46"/>
      <c r="H509" s="46"/>
      <c r="I509" s="59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spans="1:27" ht="16.5">
      <c r="A510" s="46"/>
      <c r="B510" s="46"/>
      <c r="C510" s="57"/>
      <c r="D510" s="46"/>
      <c r="E510" s="46"/>
      <c r="F510" s="58"/>
      <c r="G510" s="46"/>
      <c r="H510" s="46"/>
      <c r="I510" s="59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spans="1:27" ht="16.5">
      <c r="A511" s="46"/>
      <c r="B511" s="46"/>
      <c r="C511" s="57"/>
      <c r="D511" s="46"/>
      <c r="E511" s="46"/>
      <c r="F511" s="58"/>
      <c r="G511" s="46"/>
      <c r="H511" s="46"/>
      <c r="I511" s="59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27" ht="16.5">
      <c r="A512" s="46"/>
      <c r="B512" s="46"/>
      <c r="C512" s="57"/>
      <c r="D512" s="46"/>
      <c r="E512" s="46"/>
      <c r="F512" s="58"/>
      <c r="G512" s="46"/>
      <c r="H512" s="46"/>
      <c r="I512" s="59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27" ht="16.5">
      <c r="A513" s="46"/>
      <c r="B513" s="46"/>
      <c r="C513" s="57"/>
      <c r="D513" s="46"/>
      <c r="E513" s="46"/>
      <c r="F513" s="58"/>
      <c r="G513" s="46"/>
      <c r="H513" s="46"/>
      <c r="I513" s="59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27" ht="16.5">
      <c r="A514" s="46"/>
      <c r="B514" s="46"/>
      <c r="C514" s="57"/>
      <c r="D514" s="46"/>
      <c r="E514" s="46"/>
      <c r="F514" s="58"/>
      <c r="G514" s="46"/>
      <c r="H514" s="46"/>
      <c r="I514" s="59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spans="1:27" ht="16.5">
      <c r="A515" s="46"/>
      <c r="B515" s="46"/>
      <c r="C515" s="57"/>
      <c r="D515" s="46"/>
      <c r="E515" s="46"/>
      <c r="F515" s="58"/>
      <c r="G515" s="46"/>
      <c r="H515" s="46"/>
      <c r="I515" s="59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spans="1:27" ht="16.5">
      <c r="A516" s="46"/>
      <c r="B516" s="46"/>
      <c r="C516" s="57"/>
      <c r="D516" s="46"/>
      <c r="E516" s="46"/>
      <c r="F516" s="58"/>
      <c r="G516" s="46"/>
      <c r="H516" s="46"/>
      <c r="I516" s="59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spans="1:27" ht="16.5">
      <c r="A517" s="46"/>
      <c r="B517" s="46"/>
      <c r="C517" s="57"/>
      <c r="D517" s="46"/>
      <c r="E517" s="46"/>
      <c r="F517" s="58"/>
      <c r="G517" s="46"/>
      <c r="H517" s="46"/>
      <c r="I517" s="59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spans="1:27" ht="16.5">
      <c r="A518" s="46"/>
      <c r="B518" s="46"/>
      <c r="C518" s="57"/>
      <c r="D518" s="46"/>
      <c r="E518" s="46"/>
      <c r="F518" s="58"/>
      <c r="G518" s="46"/>
      <c r="H518" s="46"/>
      <c r="I518" s="59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spans="1:27" ht="16.5">
      <c r="A519" s="46"/>
      <c r="B519" s="46"/>
      <c r="C519" s="57"/>
      <c r="D519" s="46"/>
      <c r="E519" s="46"/>
      <c r="F519" s="58"/>
      <c r="G519" s="46"/>
      <c r="H519" s="46"/>
      <c r="I519" s="59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spans="1:27" ht="16.5">
      <c r="A520" s="46"/>
      <c r="B520" s="46"/>
      <c r="C520" s="57"/>
      <c r="D520" s="46"/>
      <c r="E520" s="46"/>
      <c r="F520" s="58"/>
      <c r="G520" s="46"/>
      <c r="H520" s="46"/>
      <c r="I520" s="59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spans="1:27" ht="16.5">
      <c r="A521" s="46"/>
      <c r="B521" s="46"/>
      <c r="C521" s="57"/>
      <c r="D521" s="46"/>
      <c r="E521" s="46"/>
      <c r="F521" s="58"/>
      <c r="G521" s="46"/>
      <c r="H521" s="46"/>
      <c r="I521" s="59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spans="1:27" ht="16.5">
      <c r="A522" s="46"/>
      <c r="B522" s="46"/>
      <c r="C522" s="57"/>
      <c r="D522" s="46"/>
      <c r="E522" s="46"/>
      <c r="F522" s="58"/>
      <c r="G522" s="46"/>
      <c r="H522" s="46"/>
      <c r="I522" s="59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spans="1:27" ht="16.5">
      <c r="A523" s="46"/>
      <c r="B523" s="46"/>
      <c r="C523" s="57"/>
      <c r="D523" s="46"/>
      <c r="E523" s="46"/>
      <c r="F523" s="58"/>
      <c r="G523" s="46"/>
      <c r="H523" s="46"/>
      <c r="I523" s="59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spans="1:27" ht="16.5">
      <c r="A524" s="46"/>
      <c r="B524" s="46"/>
      <c r="C524" s="57"/>
      <c r="D524" s="46"/>
      <c r="E524" s="46"/>
      <c r="F524" s="58"/>
      <c r="G524" s="46"/>
      <c r="H524" s="46"/>
      <c r="I524" s="59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spans="1:27" ht="16.5">
      <c r="A525" s="46"/>
      <c r="B525" s="46"/>
      <c r="C525" s="57"/>
      <c r="D525" s="46"/>
      <c r="E525" s="46"/>
      <c r="F525" s="58"/>
      <c r="G525" s="46"/>
      <c r="H525" s="46"/>
      <c r="I525" s="59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spans="1:27" ht="16.5">
      <c r="A526" s="46"/>
      <c r="B526" s="46"/>
      <c r="C526" s="57"/>
      <c r="D526" s="46"/>
      <c r="E526" s="46"/>
      <c r="F526" s="58"/>
      <c r="G526" s="46"/>
      <c r="H526" s="46"/>
      <c r="I526" s="59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spans="1:27" ht="16.5">
      <c r="A527" s="46"/>
      <c r="B527" s="46"/>
      <c r="C527" s="57"/>
      <c r="D527" s="46"/>
      <c r="E527" s="46"/>
      <c r="F527" s="58"/>
      <c r="G527" s="46"/>
      <c r="H527" s="46"/>
      <c r="I527" s="59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spans="1:27" ht="16.5">
      <c r="A528" s="46"/>
      <c r="B528" s="46"/>
      <c r="C528" s="57"/>
      <c r="D528" s="46"/>
      <c r="E528" s="46"/>
      <c r="F528" s="58"/>
      <c r="G528" s="46"/>
      <c r="H528" s="46"/>
      <c r="I528" s="59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spans="1:27" ht="16.5">
      <c r="A529" s="46"/>
      <c r="B529" s="46"/>
      <c r="C529" s="57"/>
      <c r="D529" s="46"/>
      <c r="E529" s="46"/>
      <c r="F529" s="58"/>
      <c r="G529" s="46"/>
      <c r="H529" s="46"/>
      <c r="I529" s="59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spans="1:27" ht="16.5">
      <c r="A530" s="46"/>
      <c r="B530" s="46"/>
      <c r="C530" s="57"/>
      <c r="D530" s="46"/>
      <c r="E530" s="46"/>
      <c r="F530" s="58"/>
      <c r="G530" s="46"/>
      <c r="H530" s="46"/>
      <c r="I530" s="59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spans="1:27" ht="16.5">
      <c r="A531" s="46"/>
      <c r="B531" s="46"/>
      <c r="C531" s="57"/>
      <c r="D531" s="46"/>
      <c r="E531" s="46"/>
      <c r="F531" s="58"/>
      <c r="G531" s="46"/>
      <c r="H531" s="46"/>
      <c r="I531" s="59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spans="1:27" ht="16.5">
      <c r="A532" s="46"/>
      <c r="B532" s="46"/>
      <c r="C532" s="57"/>
      <c r="D532" s="46"/>
      <c r="E532" s="46"/>
      <c r="F532" s="58"/>
      <c r="G532" s="46"/>
      <c r="H532" s="46"/>
      <c r="I532" s="59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spans="1:27" ht="16.5">
      <c r="A533" s="46"/>
      <c r="B533" s="46"/>
      <c r="C533" s="57"/>
      <c r="D533" s="46"/>
      <c r="E533" s="46"/>
      <c r="F533" s="58"/>
      <c r="G533" s="46"/>
      <c r="H533" s="46"/>
      <c r="I533" s="59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spans="1:27" ht="16.5">
      <c r="A534" s="46"/>
      <c r="B534" s="46"/>
      <c r="C534" s="57"/>
      <c r="D534" s="46"/>
      <c r="E534" s="46"/>
      <c r="F534" s="58"/>
      <c r="G534" s="46"/>
      <c r="H534" s="46"/>
      <c r="I534" s="59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spans="1:27" ht="16.5">
      <c r="A535" s="46"/>
      <c r="B535" s="46"/>
      <c r="C535" s="57"/>
      <c r="D535" s="46"/>
      <c r="E535" s="46"/>
      <c r="F535" s="58"/>
      <c r="G535" s="46"/>
      <c r="H535" s="46"/>
      <c r="I535" s="59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spans="1:27" ht="16.5">
      <c r="A536" s="46"/>
      <c r="B536" s="46"/>
      <c r="C536" s="57"/>
      <c r="D536" s="46"/>
      <c r="E536" s="46"/>
      <c r="F536" s="58"/>
      <c r="G536" s="46"/>
      <c r="H536" s="46"/>
      <c r="I536" s="59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spans="1:27" ht="16.5">
      <c r="A537" s="46"/>
      <c r="B537" s="46"/>
      <c r="C537" s="57"/>
      <c r="D537" s="46"/>
      <c r="E537" s="46"/>
      <c r="F537" s="58"/>
      <c r="G537" s="46"/>
      <c r="H537" s="46"/>
      <c r="I537" s="59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spans="1:27" ht="16.5">
      <c r="A538" s="46"/>
      <c r="B538" s="46"/>
      <c r="C538" s="57"/>
      <c r="D538" s="46"/>
      <c r="E538" s="46"/>
      <c r="F538" s="58"/>
      <c r="G538" s="46"/>
      <c r="H538" s="46"/>
      <c r="I538" s="59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spans="1:27" ht="16.5">
      <c r="A539" s="46"/>
      <c r="B539" s="46"/>
      <c r="C539" s="57"/>
      <c r="D539" s="46"/>
      <c r="E539" s="46"/>
      <c r="F539" s="58"/>
      <c r="G539" s="46"/>
      <c r="H539" s="46"/>
      <c r="I539" s="59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spans="1:27" ht="16.5">
      <c r="A540" s="46"/>
      <c r="B540" s="46"/>
      <c r="C540" s="57"/>
      <c r="D540" s="46"/>
      <c r="E540" s="46"/>
      <c r="F540" s="58"/>
      <c r="G540" s="46"/>
      <c r="H540" s="46"/>
      <c r="I540" s="59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spans="1:27" ht="16.5">
      <c r="A541" s="46"/>
      <c r="B541" s="46"/>
      <c r="C541" s="57"/>
      <c r="D541" s="46"/>
      <c r="E541" s="46"/>
      <c r="F541" s="58"/>
      <c r="G541" s="46"/>
      <c r="H541" s="46"/>
      <c r="I541" s="59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spans="1:27" ht="16.5">
      <c r="A542" s="46"/>
      <c r="B542" s="46"/>
      <c r="C542" s="57"/>
      <c r="D542" s="46"/>
      <c r="E542" s="46"/>
      <c r="F542" s="58"/>
      <c r="G542" s="46"/>
      <c r="H542" s="46"/>
      <c r="I542" s="59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spans="1:27" ht="16.5">
      <c r="A543" s="46"/>
      <c r="B543" s="46"/>
      <c r="C543" s="57"/>
      <c r="D543" s="46"/>
      <c r="E543" s="46"/>
      <c r="F543" s="58"/>
      <c r="G543" s="46"/>
      <c r="H543" s="46"/>
      <c r="I543" s="59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spans="1:27" ht="16.5">
      <c r="A544" s="46"/>
      <c r="B544" s="46"/>
      <c r="C544" s="57"/>
      <c r="D544" s="46"/>
      <c r="E544" s="46"/>
      <c r="F544" s="58"/>
      <c r="G544" s="46"/>
      <c r="H544" s="46"/>
      <c r="I544" s="59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spans="1:27" ht="16.5">
      <c r="A545" s="46"/>
      <c r="B545" s="46"/>
      <c r="C545" s="57"/>
      <c r="D545" s="46"/>
      <c r="E545" s="46"/>
      <c r="F545" s="58"/>
      <c r="G545" s="46"/>
      <c r="H545" s="46"/>
      <c r="I545" s="59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spans="1:27" ht="16.5">
      <c r="A546" s="46"/>
      <c r="B546" s="46"/>
      <c r="C546" s="57"/>
      <c r="D546" s="46"/>
      <c r="E546" s="46"/>
      <c r="F546" s="58"/>
      <c r="G546" s="46"/>
      <c r="H546" s="46"/>
      <c r="I546" s="59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spans="1:27" ht="16.5">
      <c r="A547" s="46"/>
      <c r="B547" s="46"/>
      <c r="C547" s="57"/>
      <c r="D547" s="46"/>
      <c r="E547" s="46"/>
      <c r="F547" s="58"/>
      <c r="G547" s="46"/>
      <c r="H547" s="46"/>
      <c r="I547" s="59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spans="1:27" ht="16.5">
      <c r="A548" s="46"/>
      <c r="B548" s="46"/>
      <c r="C548" s="57"/>
      <c r="D548" s="46"/>
      <c r="E548" s="46"/>
      <c r="F548" s="58"/>
      <c r="G548" s="46"/>
      <c r="H548" s="46"/>
      <c r="I548" s="59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spans="1:27" ht="16.5">
      <c r="A549" s="46"/>
      <c r="B549" s="46"/>
      <c r="C549" s="57"/>
      <c r="D549" s="46"/>
      <c r="E549" s="46"/>
      <c r="F549" s="58"/>
      <c r="G549" s="46"/>
      <c r="H549" s="46"/>
      <c r="I549" s="59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spans="1:27" ht="16.5">
      <c r="A550" s="46"/>
      <c r="B550" s="46"/>
      <c r="C550" s="57"/>
      <c r="D550" s="46"/>
      <c r="E550" s="46"/>
      <c r="F550" s="58"/>
      <c r="G550" s="46"/>
      <c r="H550" s="46"/>
      <c r="I550" s="59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spans="1:27" ht="16.5">
      <c r="A551" s="46"/>
      <c r="B551" s="46"/>
      <c r="C551" s="57"/>
      <c r="D551" s="46"/>
      <c r="E551" s="46"/>
      <c r="F551" s="58"/>
      <c r="G551" s="46"/>
      <c r="H551" s="46"/>
      <c r="I551" s="59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spans="1:27" ht="16.5">
      <c r="A552" s="46"/>
      <c r="B552" s="46"/>
      <c r="C552" s="57"/>
      <c r="D552" s="46"/>
      <c r="E552" s="46"/>
      <c r="F552" s="58"/>
      <c r="G552" s="46"/>
      <c r="H552" s="46"/>
      <c r="I552" s="59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spans="1:27" ht="16.5">
      <c r="A553" s="46"/>
      <c r="B553" s="46"/>
      <c r="C553" s="57"/>
      <c r="D553" s="46"/>
      <c r="E553" s="46"/>
      <c r="F553" s="58"/>
      <c r="G553" s="46"/>
      <c r="H553" s="46"/>
      <c r="I553" s="59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spans="1:27" ht="16.5">
      <c r="A554" s="46"/>
      <c r="B554" s="46"/>
      <c r="C554" s="57"/>
      <c r="D554" s="46"/>
      <c r="E554" s="46"/>
      <c r="F554" s="58"/>
      <c r="G554" s="46"/>
      <c r="H554" s="46"/>
      <c r="I554" s="59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spans="1:27" ht="16.5">
      <c r="A555" s="46"/>
      <c r="B555" s="46"/>
      <c r="C555" s="57"/>
      <c r="D555" s="46"/>
      <c r="E555" s="46"/>
      <c r="F555" s="58"/>
      <c r="G555" s="46"/>
      <c r="H555" s="46"/>
      <c r="I555" s="59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spans="1:27" ht="16.5">
      <c r="A556" s="46"/>
      <c r="B556" s="46"/>
      <c r="C556" s="57"/>
      <c r="D556" s="46"/>
      <c r="E556" s="46"/>
      <c r="F556" s="58"/>
      <c r="G556" s="46"/>
      <c r="H556" s="46"/>
      <c r="I556" s="59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spans="1:27" ht="16.5">
      <c r="A557" s="46"/>
      <c r="B557" s="46"/>
      <c r="C557" s="57"/>
      <c r="D557" s="46"/>
      <c r="E557" s="46"/>
      <c r="F557" s="58"/>
      <c r="G557" s="46"/>
      <c r="H557" s="46"/>
      <c r="I557" s="59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spans="1:27" ht="16.5">
      <c r="A558" s="46"/>
      <c r="B558" s="46"/>
      <c r="C558" s="57"/>
      <c r="D558" s="46"/>
      <c r="E558" s="46"/>
      <c r="F558" s="58"/>
      <c r="G558" s="46"/>
      <c r="H558" s="46"/>
      <c r="I558" s="59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spans="1:27" ht="16.5">
      <c r="A559" s="46"/>
      <c r="B559" s="46"/>
      <c r="C559" s="57"/>
      <c r="D559" s="46"/>
      <c r="E559" s="46"/>
      <c r="F559" s="58"/>
      <c r="G559" s="46"/>
      <c r="H559" s="46"/>
      <c r="I559" s="59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spans="1:27" ht="16.5">
      <c r="A560" s="46"/>
      <c r="B560" s="46"/>
      <c r="C560" s="57"/>
      <c r="D560" s="46"/>
      <c r="E560" s="46"/>
      <c r="F560" s="58"/>
      <c r="G560" s="46"/>
      <c r="H560" s="46"/>
      <c r="I560" s="59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spans="1:27" ht="16.5">
      <c r="A561" s="46"/>
      <c r="B561" s="46"/>
      <c r="C561" s="57"/>
      <c r="D561" s="46"/>
      <c r="E561" s="46"/>
      <c r="F561" s="58"/>
      <c r="G561" s="46"/>
      <c r="H561" s="46"/>
      <c r="I561" s="59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spans="1:27" ht="16.5">
      <c r="A562" s="46"/>
      <c r="B562" s="46"/>
      <c r="C562" s="57"/>
      <c r="D562" s="46"/>
      <c r="E562" s="46"/>
      <c r="F562" s="58"/>
      <c r="G562" s="46"/>
      <c r="H562" s="46"/>
      <c r="I562" s="59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27" ht="16.5">
      <c r="A563" s="46"/>
      <c r="B563" s="46"/>
      <c r="C563" s="57"/>
      <c r="D563" s="46"/>
      <c r="E563" s="46"/>
      <c r="F563" s="58"/>
      <c r="G563" s="46"/>
      <c r="H563" s="46"/>
      <c r="I563" s="59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27" ht="16.5">
      <c r="A564" s="46"/>
      <c r="B564" s="46"/>
      <c r="C564" s="57"/>
      <c r="D564" s="46"/>
      <c r="E564" s="46"/>
      <c r="F564" s="58"/>
      <c r="G564" s="46"/>
      <c r="H564" s="46"/>
      <c r="I564" s="59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27" ht="16.5">
      <c r="A565" s="46"/>
      <c r="B565" s="46"/>
      <c r="C565" s="57"/>
      <c r="D565" s="46"/>
      <c r="E565" s="46"/>
      <c r="F565" s="58"/>
      <c r="G565" s="46"/>
      <c r="H565" s="46"/>
      <c r="I565" s="59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spans="1:27" ht="16.5">
      <c r="A566" s="46"/>
      <c r="B566" s="46"/>
      <c r="C566" s="57"/>
      <c r="D566" s="46"/>
      <c r="E566" s="46"/>
      <c r="F566" s="58"/>
      <c r="G566" s="46"/>
      <c r="H566" s="46"/>
      <c r="I566" s="59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spans="1:27" ht="16.5">
      <c r="A567" s="46"/>
      <c r="B567" s="46"/>
      <c r="C567" s="57"/>
      <c r="D567" s="46"/>
      <c r="E567" s="46"/>
      <c r="F567" s="58"/>
      <c r="G567" s="46"/>
      <c r="H567" s="46"/>
      <c r="I567" s="59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spans="1:27" ht="16.5">
      <c r="A568" s="46"/>
      <c r="B568" s="46"/>
      <c r="C568" s="57"/>
      <c r="D568" s="46"/>
      <c r="E568" s="46"/>
      <c r="F568" s="58"/>
      <c r="G568" s="46"/>
      <c r="H568" s="46"/>
      <c r="I568" s="59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spans="1:27" ht="16.5">
      <c r="A569" s="46"/>
      <c r="B569" s="46"/>
      <c r="C569" s="57"/>
      <c r="D569" s="46"/>
      <c r="E569" s="46"/>
      <c r="F569" s="58"/>
      <c r="G569" s="46"/>
      <c r="H569" s="46"/>
      <c r="I569" s="59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spans="1:27" ht="16.5">
      <c r="A570" s="46"/>
      <c r="B570" s="46"/>
      <c r="C570" s="57"/>
      <c r="D570" s="46"/>
      <c r="E570" s="46"/>
      <c r="F570" s="58"/>
      <c r="G570" s="46"/>
      <c r="H570" s="46"/>
      <c r="I570" s="59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spans="1:27" ht="16.5">
      <c r="A571" s="46"/>
      <c r="B571" s="46"/>
      <c r="C571" s="57"/>
      <c r="D571" s="46"/>
      <c r="E571" s="46"/>
      <c r="F571" s="58"/>
      <c r="G571" s="46"/>
      <c r="H571" s="46"/>
      <c r="I571" s="59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spans="1:27" ht="16.5">
      <c r="A572" s="46"/>
      <c r="B572" s="46"/>
      <c r="C572" s="57"/>
      <c r="D572" s="46"/>
      <c r="E572" s="46"/>
      <c r="F572" s="58"/>
      <c r="G572" s="46"/>
      <c r="H572" s="46"/>
      <c r="I572" s="59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spans="1:27" ht="16.5">
      <c r="A573" s="46"/>
      <c r="B573" s="46"/>
      <c r="C573" s="57"/>
      <c r="D573" s="46"/>
      <c r="E573" s="46"/>
      <c r="F573" s="58"/>
      <c r="G573" s="46"/>
      <c r="H573" s="46"/>
      <c r="I573" s="59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spans="1:27" ht="16.5">
      <c r="A574" s="46"/>
      <c r="B574" s="46"/>
      <c r="C574" s="57"/>
      <c r="D574" s="46"/>
      <c r="E574" s="46"/>
      <c r="F574" s="58"/>
      <c r="G574" s="46"/>
      <c r="H574" s="46"/>
      <c r="I574" s="59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spans="1:27" ht="16.5">
      <c r="A575" s="46"/>
      <c r="B575" s="46"/>
      <c r="C575" s="57"/>
      <c r="D575" s="46"/>
      <c r="E575" s="46"/>
      <c r="F575" s="58"/>
      <c r="G575" s="46"/>
      <c r="H575" s="46"/>
      <c r="I575" s="59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spans="1:27" ht="16.5">
      <c r="A576" s="46"/>
      <c r="B576" s="46"/>
      <c r="C576" s="57"/>
      <c r="D576" s="46"/>
      <c r="E576" s="46"/>
      <c r="F576" s="58"/>
      <c r="G576" s="46"/>
      <c r="H576" s="46"/>
      <c r="I576" s="59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spans="1:27" ht="16.5">
      <c r="A577" s="46"/>
      <c r="B577" s="46"/>
      <c r="C577" s="57"/>
      <c r="D577" s="46"/>
      <c r="E577" s="46"/>
      <c r="F577" s="58"/>
      <c r="G577" s="46"/>
      <c r="H577" s="46"/>
      <c r="I577" s="59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spans="1:27" ht="16.5">
      <c r="A578" s="46"/>
      <c r="B578" s="46"/>
      <c r="C578" s="57"/>
      <c r="D578" s="46"/>
      <c r="E578" s="46"/>
      <c r="F578" s="58"/>
      <c r="G578" s="46"/>
      <c r="H578" s="46"/>
      <c r="I578" s="59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spans="1:27" ht="16.5">
      <c r="A579" s="46"/>
      <c r="B579" s="46"/>
      <c r="C579" s="57"/>
      <c r="D579" s="46"/>
      <c r="E579" s="46"/>
      <c r="F579" s="58"/>
      <c r="G579" s="46"/>
      <c r="H579" s="46"/>
      <c r="I579" s="59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spans="1:27" ht="16.5">
      <c r="A580" s="46"/>
      <c r="B580" s="46"/>
      <c r="C580" s="57"/>
      <c r="D580" s="46"/>
      <c r="E580" s="46"/>
      <c r="F580" s="58"/>
      <c r="G580" s="46"/>
      <c r="H580" s="46"/>
      <c r="I580" s="59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spans="1:27" ht="16.5">
      <c r="A581" s="46"/>
      <c r="B581" s="46"/>
      <c r="C581" s="57"/>
      <c r="D581" s="46"/>
      <c r="E581" s="46"/>
      <c r="F581" s="58"/>
      <c r="G581" s="46"/>
      <c r="H581" s="46"/>
      <c r="I581" s="59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spans="1:27" ht="16.5">
      <c r="A582" s="46"/>
      <c r="B582" s="46"/>
      <c r="C582" s="57"/>
      <c r="D582" s="46"/>
      <c r="E582" s="46"/>
      <c r="F582" s="58"/>
      <c r="G582" s="46"/>
      <c r="H582" s="46"/>
      <c r="I582" s="59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spans="1:27" ht="16.5">
      <c r="A583" s="46"/>
      <c r="B583" s="46"/>
      <c r="C583" s="57"/>
      <c r="D583" s="46"/>
      <c r="E583" s="46"/>
      <c r="F583" s="58"/>
      <c r="G583" s="46"/>
      <c r="H583" s="46"/>
      <c r="I583" s="59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spans="1:27" ht="16.5">
      <c r="A584" s="46"/>
      <c r="B584" s="46"/>
      <c r="C584" s="57"/>
      <c r="D584" s="46"/>
      <c r="E584" s="46"/>
      <c r="F584" s="58"/>
      <c r="G584" s="46"/>
      <c r="H584" s="46"/>
      <c r="I584" s="59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spans="1:27" ht="16.5">
      <c r="A585" s="46"/>
      <c r="B585" s="46"/>
      <c r="C585" s="57"/>
      <c r="D585" s="46"/>
      <c r="E585" s="46"/>
      <c r="F585" s="58"/>
      <c r="G585" s="46"/>
      <c r="H585" s="46"/>
      <c r="I585" s="59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spans="1:27" ht="16.5">
      <c r="A586" s="46"/>
      <c r="B586" s="46"/>
      <c r="C586" s="57"/>
      <c r="D586" s="46"/>
      <c r="E586" s="46"/>
      <c r="F586" s="58"/>
      <c r="G586" s="46"/>
      <c r="H586" s="46"/>
      <c r="I586" s="59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spans="1:27" ht="16.5">
      <c r="A587" s="46"/>
      <c r="B587" s="46"/>
      <c r="C587" s="57"/>
      <c r="D587" s="46"/>
      <c r="E587" s="46"/>
      <c r="F587" s="58"/>
      <c r="G587" s="46"/>
      <c r="H587" s="46"/>
      <c r="I587" s="59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spans="1:27" ht="16.5">
      <c r="A588" s="46"/>
      <c r="B588" s="46"/>
      <c r="C588" s="57"/>
      <c r="D588" s="46"/>
      <c r="E588" s="46"/>
      <c r="F588" s="58"/>
      <c r="G588" s="46"/>
      <c r="H588" s="46"/>
      <c r="I588" s="59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spans="1:27" ht="16.5">
      <c r="A589" s="46"/>
      <c r="B589" s="46"/>
      <c r="C589" s="57"/>
      <c r="D589" s="46"/>
      <c r="E589" s="46"/>
      <c r="F589" s="58"/>
      <c r="G589" s="46"/>
      <c r="H589" s="46"/>
      <c r="I589" s="59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spans="1:27" ht="16.5">
      <c r="A590" s="46"/>
      <c r="B590" s="46"/>
      <c r="C590" s="57"/>
      <c r="D590" s="46"/>
      <c r="E590" s="46"/>
      <c r="F590" s="58"/>
      <c r="G590" s="46"/>
      <c r="H590" s="46"/>
      <c r="I590" s="59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spans="1:27" ht="16.5">
      <c r="A591" s="46"/>
      <c r="B591" s="46"/>
      <c r="C591" s="57"/>
      <c r="D591" s="46"/>
      <c r="E591" s="46"/>
      <c r="F591" s="58"/>
      <c r="G591" s="46"/>
      <c r="H591" s="46"/>
      <c r="I591" s="59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spans="1:27" ht="16.5">
      <c r="A592" s="46"/>
      <c r="B592" s="46"/>
      <c r="C592" s="57"/>
      <c r="D592" s="46"/>
      <c r="E592" s="46"/>
      <c r="F592" s="58"/>
      <c r="G592" s="46"/>
      <c r="H592" s="46"/>
      <c r="I592" s="59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spans="1:27" ht="16.5">
      <c r="A593" s="46"/>
      <c r="B593" s="46"/>
      <c r="C593" s="57"/>
      <c r="D593" s="46"/>
      <c r="E593" s="46"/>
      <c r="F593" s="58"/>
      <c r="G593" s="46"/>
      <c r="H593" s="46"/>
      <c r="I593" s="59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spans="1:27" ht="16.5">
      <c r="A594" s="46"/>
      <c r="B594" s="46"/>
      <c r="C594" s="57"/>
      <c r="D594" s="46"/>
      <c r="E594" s="46"/>
      <c r="F594" s="58"/>
      <c r="G594" s="46"/>
      <c r="H594" s="46"/>
      <c r="I594" s="59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spans="1:27" ht="16.5">
      <c r="A595" s="46"/>
      <c r="B595" s="46"/>
      <c r="C595" s="57"/>
      <c r="D595" s="46"/>
      <c r="E595" s="46"/>
      <c r="F595" s="58"/>
      <c r="G595" s="46"/>
      <c r="H595" s="46"/>
      <c r="I595" s="59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spans="1:27" ht="16.5">
      <c r="A596" s="46"/>
      <c r="B596" s="46"/>
      <c r="C596" s="57"/>
      <c r="D596" s="46"/>
      <c r="E596" s="46"/>
      <c r="F596" s="58"/>
      <c r="G596" s="46"/>
      <c r="H596" s="46"/>
      <c r="I596" s="59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spans="1:27" ht="16.5">
      <c r="A597" s="46"/>
      <c r="B597" s="46"/>
      <c r="C597" s="57"/>
      <c r="D597" s="46"/>
      <c r="E597" s="46"/>
      <c r="F597" s="58"/>
      <c r="G597" s="46"/>
      <c r="H597" s="46"/>
      <c r="I597" s="59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spans="1:27" ht="16.5">
      <c r="A598" s="46"/>
      <c r="B598" s="46"/>
      <c r="C598" s="57"/>
      <c r="D598" s="46"/>
      <c r="E598" s="46"/>
      <c r="F598" s="58"/>
      <c r="G598" s="46"/>
      <c r="H598" s="46"/>
      <c r="I598" s="59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spans="1:27" ht="16.5">
      <c r="A599" s="46"/>
      <c r="B599" s="46"/>
      <c r="C599" s="57"/>
      <c r="D599" s="46"/>
      <c r="E599" s="46"/>
      <c r="F599" s="58"/>
      <c r="G599" s="46"/>
      <c r="H599" s="46"/>
      <c r="I599" s="59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spans="1:27" ht="16.5">
      <c r="A600" s="46"/>
      <c r="B600" s="46"/>
      <c r="C600" s="57"/>
      <c r="D600" s="46"/>
      <c r="E600" s="46"/>
      <c r="F600" s="58"/>
      <c r="G600" s="46"/>
      <c r="H600" s="46"/>
      <c r="I600" s="59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spans="1:27" ht="16.5">
      <c r="A601" s="46"/>
      <c r="B601" s="46"/>
      <c r="C601" s="57"/>
      <c r="D601" s="46"/>
      <c r="E601" s="46"/>
      <c r="F601" s="58"/>
      <c r="G601" s="46"/>
      <c r="H601" s="46"/>
      <c r="I601" s="59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spans="1:27" ht="16.5">
      <c r="A602" s="46"/>
      <c r="B602" s="46"/>
      <c r="C602" s="57"/>
      <c r="D602" s="46"/>
      <c r="E602" s="46"/>
      <c r="F602" s="58"/>
      <c r="G602" s="46"/>
      <c r="H602" s="46"/>
      <c r="I602" s="59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spans="1:27" ht="16.5">
      <c r="A603" s="46"/>
      <c r="B603" s="46"/>
      <c r="C603" s="57"/>
      <c r="D603" s="46"/>
      <c r="E603" s="46"/>
      <c r="F603" s="58"/>
      <c r="G603" s="46"/>
      <c r="H603" s="46"/>
      <c r="I603" s="59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spans="1:27" ht="16.5">
      <c r="A604" s="46"/>
      <c r="B604" s="46"/>
      <c r="C604" s="57"/>
      <c r="D604" s="46"/>
      <c r="E604" s="46"/>
      <c r="F604" s="58"/>
      <c r="G604" s="46"/>
      <c r="H604" s="46"/>
      <c r="I604" s="59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spans="1:27" ht="16.5">
      <c r="A605" s="46"/>
      <c r="B605" s="46"/>
      <c r="C605" s="57"/>
      <c r="D605" s="46"/>
      <c r="E605" s="46"/>
      <c r="F605" s="58"/>
      <c r="G605" s="46"/>
      <c r="H605" s="46"/>
      <c r="I605" s="59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spans="1:27" ht="16.5">
      <c r="A606" s="46"/>
      <c r="B606" s="46"/>
      <c r="C606" s="57"/>
      <c r="D606" s="46"/>
      <c r="E606" s="46"/>
      <c r="F606" s="58"/>
      <c r="G606" s="46"/>
      <c r="H606" s="46"/>
      <c r="I606" s="59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spans="1:27" ht="16.5">
      <c r="A607" s="46"/>
      <c r="B607" s="46"/>
      <c r="C607" s="57"/>
      <c r="D607" s="46"/>
      <c r="E607" s="46"/>
      <c r="F607" s="58"/>
      <c r="G607" s="46"/>
      <c r="H607" s="46"/>
      <c r="I607" s="59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spans="1:27" ht="16.5">
      <c r="A608" s="46"/>
      <c r="B608" s="46"/>
      <c r="C608" s="57"/>
      <c r="D608" s="46"/>
      <c r="E608" s="46"/>
      <c r="F608" s="58"/>
      <c r="G608" s="46"/>
      <c r="H608" s="46"/>
      <c r="I608" s="59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spans="1:27" ht="16.5">
      <c r="A609" s="46"/>
      <c r="B609" s="46"/>
      <c r="C609" s="57"/>
      <c r="D609" s="46"/>
      <c r="E609" s="46"/>
      <c r="F609" s="58"/>
      <c r="G609" s="46"/>
      <c r="H609" s="46"/>
      <c r="I609" s="59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spans="1:27" ht="16.5">
      <c r="A610" s="46"/>
      <c r="B610" s="46"/>
      <c r="C610" s="57"/>
      <c r="D610" s="46"/>
      <c r="E610" s="46"/>
      <c r="F610" s="58"/>
      <c r="G610" s="46"/>
      <c r="H610" s="46"/>
      <c r="I610" s="59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spans="1:27" ht="16.5">
      <c r="A611" s="46"/>
      <c r="B611" s="46"/>
      <c r="C611" s="57"/>
      <c r="D611" s="46"/>
      <c r="E611" s="46"/>
      <c r="F611" s="58"/>
      <c r="G611" s="46"/>
      <c r="H611" s="46"/>
      <c r="I611" s="59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spans="1:27" ht="16.5">
      <c r="A612" s="46"/>
      <c r="B612" s="46"/>
      <c r="C612" s="57"/>
      <c r="D612" s="46"/>
      <c r="E612" s="46"/>
      <c r="F612" s="58"/>
      <c r="G612" s="46"/>
      <c r="H612" s="46"/>
      <c r="I612" s="59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spans="1:27" ht="16.5">
      <c r="A613" s="46"/>
      <c r="B613" s="46"/>
      <c r="C613" s="57"/>
      <c r="D613" s="46"/>
      <c r="E613" s="46"/>
      <c r="F613" s="58"/>
      <c r="G613" s="46"/>
      <c r="H613" s="46"/>
      <c r="I613" s="59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27" ht="16.5">
      <c r="A614" s="46"/>
      <c r="B614" s="46"/>
      <c r="C614" s="57"/>
      <c r="D614" s="46"/>
      <c r="E614" s="46"/>
      <c r="F614" s="58"/>
      <c r="G614" s="46"/>
      <c r="H614" s="46"/>
      <c r="I614" s="59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27" ht="16.5">
      <c r="A615" s="46"/>
      <c r="B615" s="46"/>
      <c r="C615" s="57"/>
      <c r="D615" s="46"/>
      <c r="E615" s="46"/>
      <c r="F615" s="58"/>
      <c r="G615" s="46"/>
      <c r="H615" s="46"/>
      <c r="I615" s="59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27" ht="16.5">
      <c r="A616" s="46"/>
      <c r="B616" s="46"/>
      <c r="C616" s="57"/>
      <c r="D616" s="46"/>
      <c r="E616" s="46"/>
      <c r="F616" s="58"/>
      <c r="G616" s="46"/>
      <c r="H616" s="46"/>
      <c r="I616" s="59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spans="1:27" ht="16.5">
      <c r="A617" s="46"/>
      <c r="B617" s="46"/>
      <c r="C617" s="57"/>
      <c r="D617" s="46"/>
      <c r="E617" s="46"/>
      <c r="F617" s="58"/>
      <c r="G617" s="46"/>
      <c r="H617" s="46"/>
      <c r="I617" s="59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spans="1:27" ht="16.5">
      <c r="A618" s="46"/>
      <c r="B618" s="46"/>
      <c r="C618" s="57"/>
      <c r="D618" s="46"/>
      <c r="E618" s="46"/>
      <c r="F618" s="58"/>
      <c r="G618" s="46"/>
      <c r="H618" s="46"/>
      <c r="I618" s="59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spans="1:27" ht="16.5">
      <c r="A619" s="46"/>
      <c r="B619" s="46"/>
      <c r="C619" s="57"/>
      <c r="D619" s="46"/>
      <c r="E619" s="46"/>
      <c r="F619" s="58"/>
      <c r="G619" s="46"/>
      <c r="H619" s="46"/>
      <c r="I619" s="59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spans="1:27" ht="16.5">
      <c r="A620" s="46"/>
      <c r="B620" s="46"/>
      <c r="C620" s="57"/>
      <c r="D620" s="46"/>
      <c r="E620" s="46"/>
      <c r="F620" s="58"/>
      <c r="G620" s="46"/>
      <c r="H620" s="46"/>
      <c r="I620" s="59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spans="1:27" ht="16.5">
      <c r="A621" s="46"/>
      <c r="B621" s="46"/>
      <c r="C621" s="57"/>
      <c r="D621" s="46"/>
      <c r="E621" s="46"/>
      <c r="F621" s="58"/>
      <c r="G621" s="46"/>
      <c r="H621" s="46"/>
      <c r="I621" s="59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spans="1:27" ht="16.5">
      <c r="A622" s="46"/>
      <c r="B622" s="46"/>
      <c r="C622" s="57"/>
      <c r="D622" s="46"/>
      <c r="E622" s="46"/>
      <c r="F622" s="58"/>
      <c r="G622" s="46"/>
      <c r="H622" s="46"/>
      <c r="I622" s="59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spans="1:27" ht="16.5">
      <c r="A623" s="46"/>
      <c r="B623" s="46"/>
      <c r="C623" s="57"/>
      <c r="D623" s="46"/>
      <c r="E623" s="46"/>
      <c r="F623" s="58"/>
      <c r="G623" s="46"/>
      <c r="H623" s="46"/>
      <c r="I623" s="59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spans="1:27" ht="16.5">
      <c r="A624" s="46"/>
      <c r="B624" s="46"/>
      <c r="C624" s="57"/>
      <c r="D624" s="46"/>
      <c r="E624" s="46"/>
      <c r="F624" s="58"/>
      <c r="G624" s="46"/>
      <c r="H624" s="46"/>
      <c r="I624" s="59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spans="1:27" ht="16.5">
      <c r="A625" s="46"/>
      <c r="B625" s="46"/>
      <c r="C625" s="57"/>
      <c r="D625" s="46"/>
      <c r="E625" s="46"/>
      <c r="F625" s="58"/>
      <c r="G625" s="46"/>
      <c r="H625" s="46"/>
      <c r="I625" s="59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spans="1:27" ht="16.5">
      <c r="A626" s="46"/>
      <c r="B626" s="46"/>
      <c r="C626" s="57"/>
      <c r="D626" s="46"/>
      <c r="E626" s="46"/>
      <c r="F626" s="58"/>
      <c r="G626" s="46"/>
      <c r="H626" s="46"/>
      <c r="I626" s="59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spans="1:27" ht="16.5">
      <c r="A627" s="46"/>
      <c r="B627" s="46"/>
      <c r="C627" s="57"/>
      <c r="D627" s="46"/>
      <c r="E627" s="46"/>
      <c r="F627" s="58"/>
      <c r="G627" s="46"/>
      <c r="H627" s="46"/>
      <c r="I627" s="59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spans="1:27" ht="16.5">
      <c r="A628" s="46"/>
      <c r="B628" s="46"/>
      <c r="C628" s="57"/>
      <c r="D628" s="46"/>
      <c r="E628" s="46"/>
      <c r="F628" s="58"/>
      <c r="G628" s="46"/>
      <c r="H628" s="46"/>
      <c r="I628" s="59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spans="1:27" ht="16.5">
      <c r="A629" s="46"/>
      <c r="B629" s="46"/>
      <c r="C629" s="57"/>
      <c r="D629" s="46"/>
      <c r="E629" s="46"/>
      <c r="F629" s="58"/>
      <c r="G629" s="46"/>
      <c r="H629" s="46"/>
      <c r="I629" s="59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spans="1:27" ht="16.5">
      <c r="A630" s="46"/>
      <c r="B630" s="46"/>
      <c r="C630" s="57"/>
      <c r="D630" s="46"/>
      <c r="E630" s="46"/>
      <c r="F630" s="58"/>
      <c r="G630" s="46"/>
      <c r="H630" s="46"/>
      <c r="I630" s="59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spans="1:27" ht="16.5">
      <c r="A631" s="46"/>
      <c r="B631" s="46"/>
      <c r="C631" s="57"/>
      <c r="D631" s="46"/>
      <c r="E631" s="46"/>
      <c r="F631" s="58"/>
      <c r="G631" s="46"/>
      <c r="H631" s="46"/>
      <c r="I631" s="59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spans="1:27" ht="16.5">
      <c r="A632" s="46"/>
      <c r="B632" s="46"/>
      <c r="C632" s="57"/>
      <c r="D632" s="46"/>
      <c r="E632" s="46"/>
      <c r="F632" s="58"/>
      <c r="G632" s="46"/>
      <c r="H632" s="46"/>
      <c r="I632" s="59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spans="1:27" ht="16.5">
      <c r="A633" s="46"/>
      <c r="B633" s="46"/>
      <c r="C633" s="57"/>
      <c r="D633" s="46"/>
      <c r="E633" s="46"/>
      <c r="F633" s="58"/>
      <c r="G633" s="46"/>
      <c r="H633" s="46"/>
      <c r="I633" s="59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spans="1:27" ht="16.5">
      <c r="A634" s="46"/>
      <c r="B634" s="46"/>
      <c r="C634" s="57"/>
      <c r="D634" s="46"/>
      <c r="E634" s="46"/>
      <c r="F634" s="58"/>
      <c r="G634" s="46"/>
      <c r="H634" s="46"/>
      <c r="I634" s="59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spans="1:27" ht="16.5">
      <c r="A635" s="46"/>
      <c r="B635" s="46"/>
      <c r="C635" s="57"/>
      <c r="D635" s="46"/>
      <c r="E635" s="46"/>
      <c r="F635" s="58"/>
      <c r="G635" s="46"/>
      <c r="H635" s="46"/>
      <c r="I635" s="59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spans="1:27" ht="16.5">
      <c r="A636" s="46"/>
      <c r="B636" s="46"/>
      <c r="C636" s="57"/>
      <c r="D636" s="46"/>
      <c r="E636" s="46"/>
      <c r="F636" s="58"/>
      <c r="G636" s="46"/>
      <c r="H636" s="46"/>
      <c r="I636" s="59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spans="1:27" ht="16.5">
      <c r="A637" s="46"/>
      <c r="B637" s="46"/>
      <c r="C637" s="57"/>
      <c r="D637" s="46"/>
      <c r="E637" s="46"/>
      <c r="F637" s="58"/>
      <c r="G637" s="46"/>
      <c r="H637" s="46"/>
      <c r="I637" s="59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spans="1:27" ht="16.5">
      <c r="A638" s="46"/>
      <c r="B638" s="46"/>
      <c r="C638" s="57"/>
      <c r="D638" s="46"/>
      <c r="E638" s="46"/>
      <c r="F638" s="58"/>
      <c r="G638" s="46"/>
      <c r="H638" s="46"/>
      <c r="I638" s="59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spans="1:27" ht="16.5">
      <c r="A639" s="46"/>
      <c r="B639" s="46"/>
      <c r="C639" s="57"/>
      <c r="D639" s="46"/>
      <c r="E639" s="46"/>
      <c r="F639" s="58"/>
      <c r="G639" s="46"/>
      <c r="H639" s="46"/>
      <c r="I639" s="59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spans="1:27" ht="16.5">
      <c r="A640" s="46"/>
      <c r="B640" s="46"/>
      <c r="C640" s="57"/>
      <c r="D640" s="46"/>
      <c r="E640" s="46"/>
      <c r="F640" s="58"/>
      <c r="G640" s="46"/>
      <c r="H640" s="46"/>
      <c r="I640" s="59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spans="1:27" ht="16.5">
      <c r="A641" s="46"/>
      <c r="B641" s="46"/>
      <c r="C641" s="57"/>
      <c r="D641" s="46"/>
      <c r="E641" s="46"/>
      <c r="F641" s="58"/>
      <c r="G641" s="46"/>
      <c r="H641" s="46"/>
      <c r="I641" s="59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spans="1:27" ht="16.5">
      <c r="A642" s="46"/>
      <c r="B642" s="46"/>
      <c r="C642" s="57"/>
      <c r="D642" s="46"/>
      <c r="E642" s="46"/>
      <c r="F642" s="58"/>
      <c r="G642" s="46"/>
      <c r="H642" s="46"/>
      <c r="I642" s="59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spans="1:27" ht="16.5">
      <c r="A643" s="46"/>
      <c r="B643" s="46"/>
      <c r="C643" s="57"/>
      <c r="D643" s="46"/>
      <c r="E643" s="46"/>
      <c r="F643" s="58"/>
      <c r="G643" s="46"/>
      <c r="H643" s="46"/>
      <c r="I643" s="59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spans="1:27" ht="16.5">
      <c r="A644" s="46"/>
      <c r="B644" s="46"/>
      <c r="C644" s="57"/>
      <c r="D644" s="46"/>
      <c r="E644" s="46"/>
      <c r="F644" s="58"/>
      <c r="G644" s="46"/>
      <c r="H644" s="46"/>
      <c r="I644" s="59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spans="1:27" ht="16.5">
      <c r="A645" s="46"/>
      <c r="B645" s="46"/>
      <c r="C645" s="57"/>
      <c r="D645" s="46"/>
      <c r="E645" s="46"/>
      <c r="F645" s="58"/>
      <c r="G645" s="46"/>
      <c r="H645" s="46"/>
      <c r="I645" s="59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spans="1:27" ht="16.5">
      <c r="A646" s="46"/>
      <c r="B646" s="46"/>
      <c r="C646" s="57"/>
      <c r="D646" s="46"/>
      <c r="E646" s="46"/>
      <c r="F646" s="58"/>
      <c r="G646" s="46"/>
      <c r="H646" s="46"/>
      <c r="I646" s="59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spans="1:27" ht="16.5">
      <c r="A647" s="46"/>
      <c r="B647" s="46"/>
      <c r="C647" s="57"/>
      <c r="D647" s="46"/>
      <c r="E647" s="46"/>
      <c r="F647" s="58"/>
      <c r="G647" s="46"/>
      <c r="H647" s="46"/>
      <c r="I647" s="59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spans="1:27" ht="16.5">
      <c r="A648" s="46"/>
      <c r="B648" s="46"/>
      <c r="C648" s="57"/>
      <c r="D648" s="46"/>
      <c r="E648" s="46"/>
      <c r="F648" s="58"/>
      <c r="G648" s="46"/>
      <c r="H648" s="46"/>
      <c r="I648" s="59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spans="1:27" ht="16.5">
      <c r="A649" s="46"/>
      <c r="B649" s="46"/>
      <c r="C649" s="57"/>
      <c r="D649" s="46"/>
      <c r="E649" s="46"/>
      <c r="F649" s="58"/>
      <c r="G649" s="46"/>
      <c r="H649" s="46"/>
      <c r="I649" s="59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spans="1:27" ht="16.5">
      <c r="A650" s="46"/>
      <c r="B650" s="46"/>
      <c r="C650" s="57"/>
      <c r="D650" s="46"/>
      <c r="E650" s="46"/>
      <c r="F650" s="58"/>
      <c r="G650" s="46"/>
      <c r="H650" s="46"/>
      <c r="I650" s="59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spans="1:27" ht="16.5">
      <c r="A651" s="46"/>
      <c r="B651" s="46"/>
      <c r="C651" s="57"/>
      <c r="D651" s="46"/>
      <c r="E651" s="46"/>
      <c r="F651" s="58"/>
      <c r="G651" s="46"/>
      <c r="H651" s="46"/>
      <c r="I651" s="59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spans="1:27" ht="16.5">
      <c r="A652" s="46"/>
      <c r="B652" s="46"/>
      <c r="C652" s="57"/>
      <c r="D652" s="46"/>
      <c r="E652" s="46"/>
      <c r="F652" s="58"/>
      <c r="G652" s="46"/>
      <c r="H652" s="46"/>
      <c r="I652" s="59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spans="1:27" ht="16.5">
      <c r="A653" s="46"/>
      <c r="B653" s="46"/>
      <c r="C653" s="57"/>
      <c r="D653" s="46"/>
      <c r="E653" s="46"/>
      <c r="F653" s="58"/>
      <c r="G653" s="46"/>
      <c r="H653" s="46"/>
      <c r="I653" s="59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spans="1:27" ht="16.5">
      <c r="A654" s="46"/>
      <c r="B654" s="46"/>
      <c r="C654" s="57"/>
      <c r="D654" s="46"/>
      <c r="E654" s="46"/>
      <c r="F654" s="58"/>
      <c r="G654" s="46"/>
      <c r="H654" s="46"/>
      <c r="I654" s="59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spans="1:27" ht="16.5">
      <c r="A655" s="46"/>
      <c r="B655" s="46"/>
      <c r="C655" s="57"/>
      <c r="D655" s="46"/>
      <c r="E655" s="46"/>
      <c r="F655" s="58"/>
      <c r="G655" s="46"/>
      <c r="H655" s="46"/>
      <c r="I655" s="59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spans="1:27" ht="16.5">
      <c r="A656" s="46"/>
      <c r="B656" s="46"/>
      <c r="C656" s="57"/>
      <c r="D656" s="46"/>
      <c r="E656" s="46"/>
      <c r="F656" s="58"/>
      <c r="G656" s="46"/>
      <c r="H656" s="46"/>
      <c r="I656" s="59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spans="1:27" ht="16.5">
      <c r="A657" s="46"/>
      <c r="B657" s="46"/>
      <c r="C657" s="57"/>
      <c r="D657" s="46"/>
      <c r="E657" s="46"/>
      <c r="F657" s="58"/>
      <c r="G657" s="46"/>
      <c r="H657" s="46"/>
      <c r="I657" s="59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spans="1:27" ht="16.5">
      <c r="A658" s="46"/>
      <c r="B658" s="46"/>
      <c r="C658" s="57"/>
      <c r="D658" s="46"/>
      <c r="E658" s="46"/>
      <c r="F658" s="58"/>
      <c r="G658" s="46"/>
      <c r="H658" s="46"/>
      <c r="I658" s="59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spans="1:27" ht="16.5">
      <c r="A659" s="46"/>
      <c r="B659" s="46"/>
      <c r="C659" s="57"/>
      <c r="D659" s="46"/>
      <c r="E659" s="46"/>
      <c r="F659" s="58"/>
      <c r="G659" s="46"/>
      <c r="H659" s="46"/>
      <c r="I659" s="59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spans="1:27" ht="16.5">
      <c r="A660" s="46"/>
      <c r="B660" s="46"/>
      <c r="C660" s="57"/>
      <c r="D660" s="46"/>
      <c r="E660" s="46"/>
      <c r="F660" s="58"/>
      <c r="G660" s="46"/>
      <c r="H660" s="46"/>
      <c r="I660" s="59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spans="1:27" ht="16.5">
      <c r="A661" s="46"/>
      <c r="B661" s="46"/>
      <c r="C661" s="57"/>
      <c r="D661" s="46"/>
      <c r="E661" s="46"/>
      <c r="F661" s="58"/>
      <c r="G661" s="46"/>
      <c r="H661" s="46"/>
      <c r="I661" s="59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spans="1:27" ht="16.5">
      <c r="A662" s="46"/>
      <c r="B662" s="46"/>
      <c r="C662" s="57"/>
      <c r="D662" s="46"/>
      <c r="E662" s="46"/>
      <c r="F662" s="58"/>
      <c r="G662" s="46"/>
      <c r="H662" s="46"/>
      <c r="I662" s="59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spans="1:27" ht="16.5">
      <c r="A663" s="46"/>
      <c r="B663" s="46"/>
      <c r="C663" s="57"/>
      <c r="D663" s="46"/>
      <c r="E663" s="46"/>
      <c r="F663" s="58"/>
      <c r="G663" s="46"/>
      <c r="H663" s="46"/>
      <c r="I663" s="59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spans="1:27" ht="16.5">
      <c r="A664" s="46"/>
      <c r="B664" s="46"/>
      <c r="C664" s="57"/>
      <c r="D664" s="46"/>
      <c r="E664" s="46"/>
      <c r="F664" s="58"/>
      <c r="G664" s="46"/>
      <c r="H664" s="46"/>
      <c r="I664" s="59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27" ht="16.5">
      <c r="A665" s="46"/>
      <c r="B665" s="46"/>
      <c r="C665" s="57"/>
      <c r="D665" s="46"/>
      <c r="E665" s="46"/>
      <c r="F665" s="58"/>
      <c r="G665" s="46"/>
      <c r="H665" s="46"/>
      <c r="I665" s="59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27" ht="16.5">
      <c r="A666" s="46"/>
      <c r="B666" s="46"/>
      <c r="C666" s="57"/>
      <c r="D666" s="46"/>
      <c r="E666" s="46"/>
      <c r="F666" s="58"/>
      <c r="G666" s="46"/>
      <c r="H666" s="46"/>
      <c r="I666" s="59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27" ht="16.5">
      <c r="A667" s="46"/>
      <c r="B667" s="46"/>
      <c r="C667" s="57"/>
      <c r="D667" s="46"/>
      <c r="E667" s="46"/>
      <c r="F667" s="58"/>
      <c r="G667" s="46"/>
      <c r="H667" s="46"/>
      <c r="I667" s="59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spans="1:27" ht="16.5">
      <c r="A668" s="46"/>
      <c r="B668" s="46"/>
      <c r="C668" s="57"/>
      <c r="D668" s="46"/>
      <c r="E668" s="46"/>
      <c r="F668" s="58"/>
      <c r="G668" s="46"/>
      <c r="H668" s="46"/>
      <c r="I668" s="59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spans="1:27" ht="16.5">
      <c r="A669" s="46"/>
      <c r="B669" s="46"/>
      <c r="C669" s="57"/>
      <c r="D669" s="46"/>
      <c r="E669" s="46"/>
      <c r="F669" s="58"/>
      <c r="G669" s="46"/>
      <c r="H669" s="46"/>
      <c r="I669" s="59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spans="1:27" ht="16.5">
      <c r="A670" s="46"/>
      <c r="B670" s="46"/>
      <c r="C670" s="57"/>
      <c r="D670" s="46"/>
      <c r="E670" s="46"/>
      <c r="F670" s="58"/>
      <c r="G670" s="46"/>
      <c r="H670" s="46"/>
      <c r="I670" s="59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spans="1:27" ht="16.5">
      <c r="A671" s="46"/>
      <c r="B671" s="46"/>
      <c r="C671" s="57"/>
      <c r="D671" s="46"/>
      <c r="E671" s="46"/>
      <c r="F671" s="58"/>
      <c r="G671" s="46"/>
      <c r="H671" s="46"/>
      <c r="I671" s="59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spans="1:27" ht="16.5">
      <c r="A672" s="46"/>
      <c r="B672" s="46"/>
      <c r="C672" s="57"/>
      <c r="D672" s="46"/>
      <c r="E672" s="46"/>
      <c r="F672" s="58"/>
      <c r="G672" s="46"/>
      <c r="H672" s="46"/>
      <c r="I672" s="59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spans="1:27" ht="16.5">
      <c r="A673" s="46"/>
      <c r="B673" s="46"/>
      <c r="C673" s="57"/>
      <c r="D673" s="46"/>
      <c r="E673" s="46"/>
      <c r="F673" s="58"/>
      <c r="G673" s="46"/>
      <c r="H673" s="46"/>
      <c r="I673" s="59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spans="1:27" ht="16.5">
      <c r="A674" s="46"/>
      <c r="B674" s="46"/>
      <c r="C674" s="57"/>
      <c r="D674" s="46"/>
      <c r="E674" s="46"/>
      <c r="F674" s="58"/>
      <c r="G674" s="46"/>
      <c r="H674" s="46"/>
      <c r="I674" s="59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spans="1:27" ht="16.5">
      <c r="A675" s="46"/>
      <c r="B675" s="46"/>
      <c r="C675" s="57"/>
      <c r="D675" s="46"/>
      <c r="E675" s="46"/>
      <c r="F675" s="58"/>
      <c r="G675" s="46"/>
      <c r="H675" s="46"/>
      <c r="I675" s="59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spans="1:27" ht="16.5">
      <c r="A676" s="46"/>
      <c r="B676" s="46"/>
      <c r="C676" s="57"/>
      <c r="D676" s="46"/>
      <c r="E676" s="46"/>
      <c r="F676" s="58"/>
      <c r="G676" s="46"/>
      <c r="H676" s="46"/>
      <c r="I676" s="59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spans="1:27" ht="16.5">
      <c r="A677" s="46"/>
      <c r="B677" s="46"/>
      <c r="C677" s="57"/>
      <c r="D677" s="46"/>
      <c r="E677" s="46"/>
      <c r="F677" s="58"/>
      <c r="G677" s="46"/>
      <c r="H677" s="46"/>
      <c r="I677" s="59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spans="1:27" ht="16.5">
      <c r="A678" s="46"/>
      <c r="B678" s="46"/>
      <c r="C678" s="57"/>
      <c r="D678" s="46"/>
      <c r="E678" s="46"/>
      <c r="F678" s="58"/>
      <c r="G678" s="46"/>
      <c r="H678" s="46"/>
      <c r="I678" s="59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spans="1:27" ht="16.5">
      <c r="A679" s="46"/>
      <c r="B679" s="46"/>
      <c r="C679" s="57"/>
      <c r="D679" s="46"/>
      <c r="E679" s="46"/>
      <c r="F679" s="58"/>
      <c r="G679" s="46"/>
      <c r="H679" s="46"/>
      <c r="I679" s="59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spans="1:27" ht="16.5">
      <c r="A680" s="46"/>
      <c r="B680" s="46"/>
      <c r="C680" s="57"/>
      <c r="D680" s="46"/>
      <c r="E680" s="46"/>
      <c r="F680" s="58"/>
      <c r="G680" s="46"/>
      <c r="H680" s="46"/>
      <c r="I680" s="59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spans="1:27" ht="16.5">
      <c r="A681" s="46"/>
      <c r="B681" s="46"/>
      <c r="C681" s="57"/>
      <c r="D681" s="46"/>
      <c r="E681" s="46"/>
      <c r="F681" s="58"/>
      <c r="G681" s="46"/>
      <c r="H681" s="46"/>
      <c r="I681" s="59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spans="1:27" ht="16.5">
      <c r="A682" s="46"/>
      <c r="B682" s="46"/>
      <c r="C682" s="57"/>
      <c r="D682" s="46"/>
      <c r="E682" s="46"/>
      <c r="F682" s="58"/>
      <c r="G682" s="46"/>
      <c r="H682" s="46"/>
      <c r="I682" s="59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spans="1:27" ht="16.5">
      <c r="A683" s="46"/>
      <c r="B683" s="46"/>
      <c r="C683" s="57"/>
      <c r="D683" s="46"/>
      <c r="E683" s="46"/>
      <c r="F683" s="58"/>
      <c r="G683" s="46"/>
      <c r="H683" s="46"/>
      <c r="I683" s="59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spans="1:27" ht="16.5">
      <c r="A684" s="46"/>
      <c r="B684" s="46"/>
      <c r="C684" s="57"/>
      <c r="D684" s="46"/>
      <c r="E684" s="46"/>
      <c r="F684" s="58"/>
      <c r="G684" s="46"/>
      <c r="H684" s="46"/>
      <c r="I684" s="59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spans="1:27" ht="16.5">
      <c r="A685" s="46"/>
      <c r="B685" s="46"/>
      <c r="C685" s="57"/>
      <c r="D685" s="46"/>
      <c r="E685" s="46"/>
      <c r="F685" s="58"/>
      <c r="G685" s="46"/>
      <c r="H685" s="46"/>
      <c r="I685" s="59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spans="1:27" ht="16.5">
      <c r="A686" s="46"/>
      <c r="B686" s="46"/>
      <c r="C686" s="57"/>
      <c r="D686" s="46"/>
      <c r="E686" s="46"/>
      <c r="F686" s="58"/>
      <c r="G686" s="46"/>
      <c r="H686" s="46"/>
      <c r="I686" s="59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spans="1:27" ht="16.5">
      <c r="A687" s="46"/>
      <c r="B687" s="46"/>
      <c r="C687" s="57"/>
      <c r="D687" s="46"/>
      <c r="E687" s="46"/>
      <c r="F687" s="58"/>
      <c r="G687" s="46"/>
      <c r="H687" s="46"/>
      <c r="I687" s="59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spans="1:27" ht="16.5">
      <c r="A688" s="46"/>
      <c r="B688" s="46"/>
      <c r="C688" s="57"/>
      <c r="D688" s="46"/>
      <c r="E688" s="46"/>
      <c r="F688" s="58"/>
      <c r="G688" s="46"/>
      <c r="H688" s="46"/>
      <c r="I688" s="59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spans="1:27" ht="16.5">
      <c r="A689" s="46"/>
      <c r="B689" s="46"/>
      <c r="C689" s="57"/>
      <c r="D689" s="46"/>
      <c r="E689" s="46"/>
      <c r="F689" s="58"/>
      <c r="G689" s="46"/>
      <c r="H689" s="46"/>
      <c r="I689" s="59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spans="1:27" ht="16.5">
      <c r="A690" s="46"/>
      <c r="B690" s="46"/>
      <c r="C690" s="57"/>
      <c r="D690" s="46"/>
      <c r="E690" s="46"/>
      <c r="F690" s="58"/>
      <c r="G690" s="46"/>
      <c r="H690" s="46"/>
      <c r="I690" s="59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spans="1:27" ht="16.5">
      <c r="A691" s="46"/>
      <c r="B691" s="46"/>
      <c r="C691" s="57"/>
      <c r="D691" s="46"/>
      <c r="E691" s="46"/>
      <c r="F691" s="58"/>
      <c r="G691" s="46"/>
      <c r="H691" s="46"/>
      <c r="I691" s="59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spans="1:27" ht="16.5">
      <c r="A692" s="46"/>
      <c r="B692" s="46"/>
      <c r="C692" s="57"/>
      <c r="D692" s="46"/>
      <c r="E692" s="46"/>
      <c r="F692" s="58"/>
      <c r="G692" s="46"/>
      <c r="H692" s="46"/>
      <c r="I692" s="59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spans="1:27" ht="16.5">
      <c r="A693" s="46"/>
      <c r="B693" s="46"/>
      <c r="C693" s="57"/>
      <c r="D693" s="46"/>
      <c r="E693" s="46"/>
      <c r="F693" s="58"/>
      <c r="G693" s="46"/>
      <c r="H693" s="46"/>
      <c r="I693" s="59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spans="1:27" ht="16.5">
      <c r="A694" s="46"/>
      <c r="B694" s="46"/>
      <c r="C694" s="57"/>
      <c r="D694" s="46"/>
      <c r="E694" s="46"/>
      <c r="F694" s="58"/>
      <c r="G694" s="46"/>
      <c r="H694" s="46"/>
      <c r="I694" s="59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spans="1:27" ht="16.5">
      <c r="A695" s="46"/>
      <c r="B695" s="46"/>
      <c r="C695" s="57"/>
      <c r="D695" s="46"/>
      <c r="E695" s="46"/>
      <c r="F695" s="58"/>
      <c r="G695" s="46"/>
      <c r="H695" s="46"/>
      <c r="I695" s="59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spans="1:27" ht="16.5">
      <c r="A696" s="46"/>
      <c r="B696" s="46"/>
      <c r="C696" s="57"/>
      <c r="D696" s="46"/>
      <c r="E696" s="46"/>
      <c r="F696" s="58"/>
      <c r="G696" s="46"/>
      <c r="H696" s="46"/>
      <c r="I696" s="59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spans="1:27" ht="16.5">
      <c r="A697" s="46"/>
      <c r="B697" s="46"/>
      <c r="C697" s="57"/>
      <c r="D697" s="46"/>
      <c r="E697" s="46"/>
      <c r="F697" s="58"/>
      <c r="G697" s="46"/>
      <c r="H697" s="46"/>
      <c r="I697" s="59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spans="1:27" ht="16.5">
      <c r="A698" s="46"/>
      <c r="B698" s="46"/>
      <c r="C698" s="57"/>
      <c r="D698" s="46"/>
      <c r="E698" s="46"/>
      <c r="F698" s="58"/>
      <c r="G698" s="46"/>
      <c r="H698" s="46"/>
      <c r="I698" s="59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spans="1:27" ht="16.5">
      <c r="A699" s="46"/>
      <c r="B699" s="46"/>
      <c r="C699" s="57"/>
      <c r="D699" s="46"/>
      <c r="E699" s="46"/>
      <c r="F699" s="58"/>
      <c r="G699" s="46"/>
      <c r="H699" s="46"/>
      <c r="I699" s="59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spans="1:27" ht="16.5">
      <c r="A700" s="46"/>
      <c r="B700" s="46"/>
      <c r="C700" s="57"/>
      <c r="D700" s="46"/>
      <c r="E700" s="46"/>
      <c r="F700" s="58"/>
      <c r="G700" s="46"/>
      <c r="H700" s="46"/>
      <c r="I700" s="59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spans="1:27" ht="16.5">
      <c r="A701" s="46"/>
      <c r="B701" s="46"/>
      <c r="C701" s="57"/>
      <c r="D701" s="46"/>
      <c r="E701" s="46"/>
      <c r="F701" s="58"/>
      <c r="G701" s="46"/>
      <c r="H701" s="46"/>
      <c r="I701" s="59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spans="1:27" ht="16.5">
      <c r="A702" s="46"/>
      <c r="B702" s="46"/>
      <c r="C702" s="57"/>
      <c r="D702" s="46"/>
      <c r="E702" s="46"/>
      <c r="F702" s="58"/>
      <c r="G702" s="46"/>
      <c r="H702" s="46"/>
      <c r="I702" s="59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spans="1:27" ht="16.5">
      <c r="A703" s="46"/>
      <c r="B703" s="46"/>
      <c r="C703" s="57"/>
      <c r="D703" s="46"/>
      <c r="E703" s="46"/>
      <c r="F703" s="58"/>
      <c r="G703" s="46"/>
      <c r="H703" s="46"/>
      <c r="I703" s="59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spans="1:27" ht="16.5">
      <c r="A704" s="46"/>
      <c r="B704" s="46"/>
      <c r="C704" s="57"/>
      <c r="D704" s="46"/>
      <c r="E704" s="46"/>
      <c r="F704" s="58"/>
      <c r="G704" s="46"/>
      <c r="H704" s="46"/>
      <c r="I704" s="59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spans="1:27" ht="16.5">
      <c r="A705" s="46"/>
      <c r="B705" s="46"/>
      <c r="C705" s="57"/>
      <c r="D705" s="46"/>
      <c r="E705" s="46"/>
      <c r="F705" s="58"/>
      <c r="G705" s="46"/>
      <c r="H705" s="46"/>
      <c r="I705" s="59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spans="1:27" ht="16.5">
      <c r="A706" s="46"/>
      <c r="B706" s="46"/>
      <c r="C706" s="57"/>
      <c r="D706" s="46"/>
      <c r="E706" s="46"/>
      <c r="F706" s="58"/>
      <c r="G706" s="46"/>
      <c r="H706" s="46"/>
      <c r="I706" s="59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spans="1:27" ht="16.5">
      <c r="A707" s="46"/>
      <c r="B707" s="46"/>
      <c r="C707" s="57"/>
      <c r="D707" s="46"/>
      <c r="E707" s="46"/>
      <c r="F707" s="58"/>
      <c r="G707" s="46"/>
      <c r="H707" s="46"/>
      <c r="I707" s="59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spans="1:27" ht="16.5">
      <c r="A708" s="46"/>
      <c r="B708" s="46"/>
      <c r="C708" s="57"/>
      <c r="D708" s="46"/>
      <c r="E708" s="46"/>
      <c r="F708" s="58"/>
      <c r="G708" s="46"/>
      <c r="H708" s="46"/>
      <c r="I708" s="59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spans="1:27" ht="16.5">
      <c r="A709" s="46"/>
      <c r="B709" s="46"/>
      <c r="C709" s="57"/>
      <c r="D709" s="46"/>
      <c r="E709" s="46"/>
      <c r="F709" s="58"/>
      <c r="G709" s="46"/>
      <c r="H709" s="46"/>
      <c r="I709" s="59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spans="1:27" ht="16.5">
      <c r="A710" s="46"/>
      <c r="B710" s="46"/>
      <c r="C710" s="57"/>
      <c r="D710" s="46"/>
      <c r="E710" s="46"/>
      <c r="F710" s="58"/>
      <c r="G710" s="46"/>
      <c r="H710" s="46"/>
      <c r="I710" s="59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spans="1:27" ht="16.5">
      <c r="A711" s="46"/>
      <c r="B711" s="46"/>
      <c r="C711" s="57"/>
      <c r="D711" s="46"/>
      <c r="E711" s="46"/>
      <c r="F711" s="58"/>
      <c r="G711" s="46"/>
      <c r="H711" s="46"/>
      <c r="I711" s="59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spans="1:27" ht="16.5">
      <c r="A712" s="46"/>
      <c r="B712" s="46"/>
      <c r="C712" s="57"/>
      <c r="D712" s="46"/>
      <c r="E712" s="46"/>
      <c r="F712" s="58"/>
      <c r="G712" s="46"/>
      <c r="H712" s="46"/>
      <c r="I712" s="59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spans="1:27" ht="16.5">
      <c r="A713" s="46"/>
      <c r="B713" s="46"/>
      <c r="C713" s="57"/>
      <c r="D713" s="46"/>
      <c r="E713" s="46"/>
      <c r="F713" s="58"/>
      <c r="G713" s="46"/>
      <c r="H713" s="46"/>
      <c r="I713" s="59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spans="1:27" ht="16.5">
      <c r="A714" s="46"/>
      <c r="B714" s="46"/>
      <c r="C714" s="57"/>
      <c r="D714" s="46"/>
      <c r="E714" s="46"/>
      <c r="F714" s="58"/>
      <c r="G714" s="46"/>
      <c r="H714" s="46"/>
      <c r="I714" s="59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spans="1:27" ht="16.5">
      <c r="A715" s="46"/>
      <c r="B715" s="46"/>
      <c r="C715" s="57"/>
      <c r="D715" s="46"/>
      <c r="E715" s="46"/>
      <c r="F715" s="58"/>
      <c r="G715" s="46"/>
      <c r="H715" s="46"/>
      <c r="I715" s="59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27" ht="16.5">
      <c r="A716" s="46"/>
      <c r="B716" s="46"/>
      <c r="C716" s="57"/>
      <c r="D716" s="46"/>
      <c r="E716" s="46"/>
      <c r="F716" s="58"/>
      <c r="G716" s="46"/>
      <c r="H716" s="46"/>
      <c r="I716" s="59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27" ht="16.5">
      <c r="A717" s="46"/>
      <c r="B717" s="46"/>
      <c r="C717" s="57"/>
      <c r="D717" s="46"/>
      <c r="E717" s="46"/>
      <c r="F717" s="58"/>
      <c r="G717" s="46"/>
      <c r="H717" s="46"/>
      <c r="I717" s="59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27" ht="16.5">
      <c r="A718" s="46"/>
      <c r="B718" s="46"/>
      <c r="C718" s="57"/>
      <c r="D718" s="46"/>
      <c r="E718" s="46"/>
      <c r="F718" s="58"/>
      <c r="G718" s="46"/>
      <c r="H718" s="46"/>
      <c r="I718" s="59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spans="1:27" ht="16.5">
      <c r="A719" s="46"/>
      <c r="B719" s="46"/>
      <c r="C719" s="57"/>
      <c r="D719" s="46"/>
      <c r="E719" s="46"/>
      <c r="F719" s="58"/>
      <c r="G719" s="46"/>
      <c r="H719" s="46"/>
      <c r="I719" s="59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spans="1:27" ht="16.5">
      <c r="A720" s="46"/>
      <c r="B720" s="46"/>
      <c r="C720" s="57"/>
      <c r="D720" s="46"/>
      <c r="E720" s="46"/>
      <c r="F720" s="58"/>
      <c r="G720" s="46"/>
      <c r="H720" s="46"/>
      <c r="I720" s="59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spans="1:27" ht="16.5">
      <c r="A721" s="46"/>
      <c r="B721" s="46"/>
      <c r="C721" s="57"/>
      <c r="D721" s="46"/>
      <c r="E721" s="46"/>
      <c r="F721" s="58"/>
      <c r="G721" s="46"/>
      <c r="H721" s="46"/>
      <c r="I721" s="59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spans="1:27" ht="16.5">
      <c r="A722" s="46"/>
      <c r="B722" s="46"/>
      <c r="C722" s="57"/>
      <c r="D722" s="46"/>
      <c r="E722" s="46"/>
      <c r="F722" s="58"/>
      <c r="G722" s="46"/>
      <c r="H722" s="46"/>
      <c r="I722" s="59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spans="1:27" ht="16.5">
      <c r="A723" s="46"/>
      <c r="B723" s="46"/>
      <c r="C723" s="57"/>
      <c r="D723" s="46"/>
      <c r="E723" s="46"/>
      <c r="F723" s="58"/>
      <c r="G723" s="46"/>
      <c r="H723" s="46"/>
      <c r="I723" s="59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spans="1:27" ht="16.5">
      <c r="A724" s="46"/>
      <c r="B724" s="46"/>
      <c r="C724" s="57"/>
      <c r="D724" s="46"/>
      <c r="E724" s="46"/>
      <c r="F724" s="58"/>
      <c r="G724" s="46"/>
      <c r="H724" s="46"/>
      <c r="I724" s="59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spans="1:27" ht="16.5">
      <c r="A725" s="46"/>
      <c r="B725" s="46"/>
      <c r="C725" s="57"/>
      <c r="D725" s="46"/>
      <c r="E725" s="46"/>
      <c r="F725" s="58"/>
      <c r="G725" s="46"/>
      <c r="H725" s="46"/>
      <c r="I725" s="59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spans="1:27" ht="16.5">
      <c r="A726" s="46"/>
      <c r="B726" s="46"/>
      <c r="C726" s="57"/>
      <c r="D726" s="46"/>
      <c r="E726" s="46"/>
      <c r="F726" s="58"/>
      <c r="G726" s="46"/>
      <c r="H726" s="46"/>
      <c r="I726" s="59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spans="1:27" ht="16.5">
      <c r="A727" s="46"/>
      <c r="B727" s="46"/>
      <c r="C727" s="57"/>
      <c r="D727" s="46"/>
      <c r="E727" s="46"/>
      <c r="F727" s="58"/>
      <c r="G727" s="46"/>
      <c r="H727" s="46"/>
      <c r="I727" s="59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spans="1:27" ht="16.5">
      <c r="A728" s="46"/>
      <c r="B728" s="46"/>
      <c r="C728" s="57"/>
      <c r="D728" s="46"/>
      <c r="E728" s="46"/>
      <c r="F728" s="58"/>
      <c r="G728" s="46"/>
      <c r="H728" s="46"/>
      <c r="I728" s="59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spans="1:27" ht="16.5">
      <c r="A729" s="46"/>
      <c r="B729" s="46"/>
      <c r="C729" s="57"/>
      <c r="D729" s="46"/>
      <c r="E729" s="46"/>
      <c r="F729" s="58"/>
      <c r="G729" s="46"/>
      <c r="H729" s="46"/>
      <c r="I729" s="59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spans="1:27" ht="16.5">
      <c r="A730" s="46"/>
      <c r="B730" s="46"/>
      <c r="C730" s="57"/>
      <c r="D730" s="46"/>
      <c r="E730" s="46"/>
      <c r="F730" s="58"/>
      <c r="G730" s="46"/>
      <c r="H730" s="46"/>
      <c r="I730" s="59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spans="1:27" ht="16.5">
      <c r="A731" s="46"/>
      <c r="B731" s="46"/>
      <c r="C731" s="57"/>
      <c r="D731" s="46"/>
      <c r="E731" s="46"/>
      <c r="F731" s="58"/>
      <c r="G731" s="46"/>
      <c r="H731" s="46"/>
      <c r="I731" s="59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spans="1:27" ht="16.5">
      <c r="A732" s="46"/>
      <c r="B732" s="46"/>
      <c r="C732" s="57"/>
      <c r="D732" s="46"/>
      <c r="E732" s="46"/>
      <c r="F732" s="58"/>
      <c r="G732" s="46"/>
      <c r="H732" s="46"/>
      <c r="I732" s="59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spans="1:27" ht="16.5">
      <c r="A733" s="46"/>
      <c r="B733" s="46"/>
      <c r="C733" s="57"/>
      <c r="D733" s="46"/>
      <c r="E733" s="46"/>
      <c r="F733" s="58"/>
      <c r="G733" s="46"/>
      <c r="H733" s="46"/>
      <c r="I733" s="59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spans="1:27" ht="16.5">
      <c r="A734" s="46"/>
      <c r="B734" s="46"/>
      <c r="C734" s="57"/>
      <c r="D734" s="46"/>
      <c r="E734" s="46"/>
      <c r="F734" s="58"/>
      <c r="G734" s="46"/>
      <c r="H734" s="46"/>
      <c r="I734" s="59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spans="1:27" ht="16.5">
      <c r="A735" s="46"/>
      <c r="B735" s="46"/>
      <c r="C735" s="57"/>
      <c r="D735" s="46"/>
      <c r="E735" s="46"/>
      <c r="F735" s="58"/>
      <c r="G735" s="46"/>
      <c r="H735" s="46"/>
      <c r="I735" s="59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spans="1:27" ht="16.5">
      <c r="A736" s="46"/>
      <c r="B736" s="46"/>
      <c r="C736" s="57"/>
      <c r="D736" s="46"/>
      <c r="E736" s="46"/>
      <c r="F736" s="58"/>
      <c r="G736" s="46"/>
      <c r="H736" s="46"/>
      <c r="I736" s="59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spans="1:27" ht="16.5">
      <c r="A737" s="46"/>
      <c r="B737" s="46"/>
      <c r="C737" s="57"/>
      <c r="D737" s="46"/>
      <c r="E737" s="46"/>
      <c r="F737" s="58"/>
      <c r="G737" s="46"/>
      <c r="H737" s="46"/>
      <c r="I737" s="59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spans="1:27" ht="16.5">
      <c r="A738" s="46"/>
      <c r="B738" s="46"/>
      <c r="C738" s="57"/>
      <c r="D738" s="46"/>
      <c r="E738" s="46"/>
      <c r="F738" s="58"/>
      <c r="G738" s="46"/>
      <c r="H738" s="46"/>
      <c r="I738" s="59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spans="1:27" ht="16.5">
      <c r="A739" s="46"/>
      <c r="B739" s="46"/>
      <c r="C739" s="57"/>
      <c r="D739" s="46"/>
      <c r="E739" s="46"/>
      <c r="F739" s="58"/>
      <c r="G739" s="46"/>
      <c r="H739" s="46"/>
      <c r="I739" s="59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spans="1:27" ht="16.5">
      <c r="A740" s="46"/>
      <c r="B740" s="46"/>
      <c r="C740" s="57"/>
      <c r="D740" s="46"/>
      <c r="E740" s="46"/>
      <c r="F740" s="58"/>
      <c r="G740" s="46"/>
      <c r="H740" s="46"/>
      <c r="I740" s="59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spans="1:27" ht="16.5">
      <c r="A741" s="46"/>
      <c r="B741" s="46"/>
      <c r="C741" s="57"/>
      <c r="D741" s="46"/>
      <c r="E741" s="46"/>
      <c r="F741" s="58"/>
      <c r="G741" s="46"/>
      <c r="H741" s="46"/>
      <c r="I741" s="59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spans="1:27" ht="16.5">
      <c r="A742" s="46"/>
      <c r="B742" s="46"/>
      <c r="C742" s="57"/>
      <c r="D742" s="46"/>
      <c r="E742" s="46"/>
      <c r="F742" s="58"/>
      <c r="G742" s="46"/>
      <c r="H742" s="46"/>
      <c r="I742" s="59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spans="1:27" ht="16.5">
      <c r="A743" s="46"/>
      <c r="B743" s="46"/>
      <c r="C743" s="57"/>
      <c r="D743" s="46"/>
      <c r="E743" s="46"/>
      <c r="F743" s="58"/>
      <c r="G743" s="46"/>
      <c r="H743" s="46"/>
      <c r="I743" s="59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spans="1:27" ht="16.5">
      <c r="A744" s="46"/>
      <c r="B744" s="46"/>
      <c r="C744" s="57"/>
      <c r="D744" s="46"/>
      <c r="E744" s="46"/>
      <c r="F744" s="58"/>
      <c r="G744" s="46"/>
      <c r="H744" s="46"/>
      <c r="I744" s="59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spans="1:27" ht="16.5">
      <c r="A745" s="46"/>
      <c r="B745" s="46"/>
      <c r="C745" s="57"/>
      <c r="D745" s="46"/>
      <c r="E745" s="46"/>
      <c r="F745" s="58"/>
      <c r="G745" s="46"/>
      <c r="H745" s="46"/>
      <c r="I745" s="59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spans="1:27" ht="16.5">
      <c r="A746" s="46"/>
      <c r="B746" s="46"/>
      <c r="C746" s="57"/>
      <c r="D746" s="46"/>
      <c r="E746" s="46"/>
      <c r="F746" s="58"/>
      <c r="G746" s="46"/>
      <c r="H746" s="46"/>
      <c r="I746" s="59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spans="1:27" ht="16.5">
      <c r="A747" s="46"/>
      <c r="B747" s="46"/>
      <c r="C747" s="57"/>
      <c r="D747" s="46"/>
      <c r="E747" s="46"/>
      <c r="F747" s="58"/>
      <c r="G747" s="46"/>
      <c r="H747" s="46"/>
      <c r="I747" s="59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spans="1:27" ht="16.5">
      <c r="A748" s="46"/>
      <c r="B748" s="46"/>
      <c r="C748" s="57"/>
      <c r="D748" s="46"/>
      <c r="E748" s="46"/>
      <c r="F748" s="58"/>
      <c r="G748" s="46"/>
      <c r="H748" s="46"/>
      <c r="I748" s="59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spans="1:27" ht="16.5">
      <c r="A749" s="46"/>
      <c r="B749" s="46"/>
      <c r="C749" s="57"/>
      <c r="D749" s="46"/>
      <c r="E749" s="46"/>
      <c r="F749" s="58"/>
      <c r="G749" s="46"/>
      <c r="H749" s="46"/>
      <c r="I749" s="59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spans="1:27" ht="16.5">
      <c r="A750" s="46"/>
      <c r="B750" s="46"/>
      <c r="C750" s="57"/>
      <c r="D750" s="46"/>
      <c r="E750" s="46"/>
      <c r="F750" s="58"/>
      <c r="G750" s="46"/>
      <c r="H750" s="46"/>
      <c r="I750" s="59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spans="1:27" ht="16.5">
      <c r="A751" s="46"/>
      <c r="B751" s="46"/>
      <c r="C751" s="57"/>
      <c r="D751" s="46"/>
      <c r="E751" s="46"/>
      <c r="F751" s="58"/>
      <c r="G751" s="46"/>
      <c r="H751" s="46"/>
      <c r="I751" s="59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spans="1:27" ht="16.5">
      <c r="A752" s="46"/>
      <c r="B752" s="46"/>
      <c r="C752" s="57"/>
      <c r="D752" s="46"/>
      <c r="E752" s="46"/>
      <c r="F752" s="58"/>
      <c r="G752" s="46"/>
      <c r="H752" s="46"/>
      <c r="I752" s="59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spans="1:27" ht="16.5">
      <c r="A753" s="46"/>
      <c r="B753" s="46"/>
      <c r="C753" s="57"/>
      <c r="D753" s="46"/>
      <c r="E753" s="46"/>
      <c r="F753" s="58"/>
      <c r="G753" s="46"/>
      <c r="H753" s="46"/>
      <c r="I753" s="59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spans="1:27" ht="16.5">
      <c r="A754" s="46"/>
      <c r="B754" s="46"/>
      <c r="C754" s="57"/>
      <c r="D754" s="46"/>
      <c r="E754" s="46"/>
      <c r="F754" s="58"/>
      <c r="G754" s="46"/>
      <c r="H754" s="46"/>
      <c r="I754" s="59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spans="1:27" ht="16.5">
      <c r="A755" s="46"/>
      <c r="B755" s="46"/>
      <c r="C755" s="57"/>
      <c r="D755" s="46"/>
      <c r="E755" s="46"/>
      <c r="F755" s="58"/>
      <c r="G755" s="46"/>
      <c r="H755" s="46"/>
      <c r="I755" s="59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spans="1:27" ht="16.5">
      <c r="A756" s="46"/>
      <c r="B756" s="46"/>
      <c r="C756" s="57"/>
      <c r="D756" s="46"/>
      <c r="E756" s="46"/>
      <c r="F756" s="58"/>
      <c r="G756" s="46"/>
      <c r="H756" s="46"/>
      <c r="I756" s="59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spans="1:27" ht="16.5">
      <c r="A757" s="46"/>
      <c r="B757" s="46"/>
      <c r="C757" s="57"/>
      <c r="D757" s="46"/>
      <c r="E757" s="46"/>
      <c r="F757" s="58"/>
      <c r="G757" s="46"/>
      <c r="H757" s="46"/>
      <c r="I757" s="59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spans="1:27" ht="16.5">
      <c r="A758" s="46"/>
      <c r="B758" s="46"/>
      <c r="C758" s="57"/>
      <c r="D758" s="46"/>
      <c r="E758" s="46"/>
      <c r="F758" s="58"/>
      <c r="G758" s="46"/>
      <c r="H758" s="46"/>
      <c r="I758" s="59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spans="1:27" ht="16.5">
      <c r="A759" s="46"/>
      <c r="B759" s="46"/>
      <c r="C759" s="57"/>
      <c r="D759" s="46"/>
      <c r="E759" s="46"/>
      <c r="F759" s="58"/>
      <c r="G759" s="46"/>
      <c r="H759" s="46"/>
      <c r="I759" s="59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spans="1:27" ht="16.5">
      <c r="A760" s="46"/>
      <c r="B760" s="46"/>
      <c r="C760" s="57"/>
      <c r="D760" s="46"/>
      <c r="E760" s="46"/>
      <c r="F760" s="58"/>
      <c r="G760" s="46"/>
      <c r="H760" s="46"/>
      <c r="I760" s="59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spans="1:27" ht="16.5">
      <c r="A761" s="46"/>
      <c r="B761" s="46"/>
      <c r="C761" s="57"/>
      <c r="D761" s="46"/>
      <c r="E761" s="46"/>
      <c r="F761" s="58"/>
      <c r="G761" s="46"/>
      <c r="H761" s="46"/>
      <c r="I761" s="59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spans="1:27" ht="16.5">
      <c r="A762" s="46"/>
      <c r="B762" s="46"/>
      <c r="C762" s="57"/>
      <c r="D762" s="46"/>
      <c r="E762" s="46"/>
      <c r="F762" s="58"/>
      <c r="G762" s="46"/>
      <c r="H762" s="46"/>
      <c r="I762" s="59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spans="1:27" ht="16.5">
      <c r="A763" s="46"/>
      <c r="B763" s="46"/>
      <c r="C763" s="57"/>
      <c r="D763" s="46"/>
      <c r="E763" s="46"/>
      <c r="F763" s="58"/>
      <c r="G763" s="46"/>
      <c r="H763" s="46"/>
      <c r="I763" s="59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spans="1:27" ht="16.5">
      <c r="A764" s="46"/>
      <c r="B764" s="46"/>
      <c r="C764" s="57"/>
      <c r="D764" s="46"/>
      <c r="E764" s="46"/>
      <c r="F764" s="58"/>
      <c r="G764" s="46"/>
      <c r="H764" s="46"/>
      <c r="I764" s="59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spans="1:27" ht="16.5">
      <c r="A765" s="46"/>
      <c r="B765" s="46"/>
      <c r="C765" s="57"/>
      <c r="D765" s="46"/>
      <c r="E765" s="46"/>
      <c r="F765" s="58"/>
      <c r="G765" s="46"/>
      <c r="H765" s="46"/>
      <c r="I765" s="59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spans="1:27" ht="16.5">
      <c r="A766" s="46"/>
      <c r="B766" s="46"/>
      <c r="C766" s="57"/>
      <c r="D766" s="46"/>
      <c r="E766" s="46"/>
      <c r="F766" s="58"/>
      <c r="G766" s="46"/>
      <c r="H766" s="46"/>
      <c r="I766" s="59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27" ht="16.5">
      <c r="A767" s="46"/>
      <c r="B767" s="46"/>
      <c r="C767" s="57"/>
      <c r="D767" s="46"/>
      <c r="E767" s="46"/>
      <c r="F767" s="58"/>
      <c r="G767" s="46"/>
      <c r="H767" s="46"/>
      <c r="I767" s="59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27" ht="16.5">
      <c r="A768" s="46"/>
      <c r="B768" s="46"/>
      <c r="C768" s="57"/>
      <c r="D768" s="46"/>
      <c r="E768" s="46"/>
      <c r="F768" s="58"/>
      <c r="G768" s="46"/>
      <c r="H768" s="46"/>
      <c r="I768" s="59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27" ht="16.5">
      <c r="A769" s="46"/>
      <c r="B769" s="46"/>
      <c r="C769" s="57"/>
      <c r="D769" s="46"/>
      <c r="E769" s="46"/>
      <c r="F769" s="58"/>
      <c r="G769" s="46"/>
      <c r="H769" s="46"/>
      <c r="I769" s="59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spans="1:27" ht="16.5">
      <c r="A770" s="46"/>
      <c r="B770" s="46"/>
      <c r="C770" s="57"/>
      <c r="D770" s="46"/>
      <c r="E770" s="46"/>
      <c r="F770" s="58"/>
      <c r="G770" s="46"/>
      <c r="H770" s="46"/>
      <c r="I770" s="59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spans="1:27" ht="16.5">
      <c r="A771" s="46"/>
      <c r="B771" s="46"/>
      <c r="C771" s="57"/>
      <c r="D771" s="46"/>
      <c r="E771" s="46"/>
      <c r="F771" s="58"/>
      <c r="G771" s="46"/>
      <c r="H771" s="46"/>
      <c r="I771" s="59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spans="1:27" ht="16.5">
      <c r="A772" s="46"/>
      <c r="B772" s="46"/>
      <c r="C772" s="57"/>
      <c r="D772" s="46"/>
      <c r="E772" s="46"/>
      <c r="F772" s="58"/>
      <c r="G772" s="46"/>
      <c r="H772" s="46"/>
      <c r="I772" s="59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spans="1:27" ht="16.5">
      <c r="A773" s="46"/>
      <c r="B773" s="46"/>
      <c r="C773" s="57"/>
      <c r="D773" s="46"/>
      <c r="E773" s="46"/>
      <c r="F773" s="58"/>
      <c r="G773" s="46"/>
      <c r="H773" s="46"/>
      <c r="I773" s="59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spans="1:27" ht="16.5">
      <c r="A774" s="46"/>
      <c r="B774" s="46"/>
      <c r="C774" s="57"/>
      <c r="D774" s="46"/>
      <c r="E774" s="46"/>
      <c r="F774" s="58"/>
      <c r="G774" s="46"/>
      <c r="H774" s="46"/>
      <c r="I774" s="59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spans="1:27" ht="16.5">
      <c r="A775" s="46"/>
      <c r="B775" s="46"/>
      <c r="C775" s="57"/>
      <c r="D775" s="46"/>
      <c r="E775" s="46"/>
      <c r="F775" s="58"/>
      <c r="G775" s="46"/>
      <c r="H775" s="46"/>
      <c r="I775" s="59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spans="1:27" ht="16.5">
      <c r="A776" s="46"/>
      <c r="B776" s="46"/>
      <c r="C776" s="57"/>
      <c r="D776" s="46"/>
      <c r="E776" s="46"/>
      <c r="F776" s="58"/>
      <c r="G776" s="46"/>
      <c r="H776" s="46"/>
      <c r="I776" s="59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spans="1:27" ht="16.5">
      <c r="A777" s="46"/>
      <c r="B777" s="46"/>
      <c r="C777" s="57"/>
      <c r="D777" s="46"/>
      <c r="E777" s="46"/>
      <c r="F777" s="58"/>
      <c r="G777" s="46"/>
      <c r="H777" s="46"/>
      <c r="I777" s="59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spans="1:27" ht="16.5">
      <c r="A778" s="46"/>
      <c r="B778" s="46"/>
      <c r="C778" s="57"/>
      <c r="D778" s="46"/>
      <c r="E778" s="46"/>
      <c r="F778" s="58"/>
      <c r="G778" s="46"/>
      <c r="H778" s="46"/>
      <c r="I778" s="59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spans="1:27" ht="16.5">
      <c r="A779" s="46"/>
      <c r="B779" s="46"/>
      <c r="C779" s="57"/>
      <c r="D779" s="46"/>
      <c r="E779" s="46"/>
      <c r="F779" s="58"/>
      <c r="G779" s="46"/>
      <c r="H779" s="46"/>
      <c r="I779" s="59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spans="1:27" ht="16.5">
      <c r="A780" s="46"/>
      <c r="B780" s="46"/>
      <c r="C780" s="57"/>
      <c r="D780" s="46"/>
      <c r="E780" s="46"/>
      <c r="F780" s="58"/>
      <c r="G780" s="46"/>
      <c r="H780" s="46"/>
      <c r="I780" s="59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spans="1:27" ht="16.5">
      <c r="A781" s="46"/>
      <c r="B781" s="46"/>
      <c r="C781" s="57"/>
      <c r="D781" s="46"/>
      <c r="E781" s="46"/>
      <c r="F781" s="58"/>
      <c r="G781" s="46"/>
      <c r="H781" s="46"/>
      <c r="I781" s="59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spans="1:27" ht="16.5">
      <c r="A782" s="46"/>
      <c r="B782" s="46"/>
      <c r="C782" s="57"/>
      <c r="D782" s="46"/>
      <c r="E782" s="46"/>
      <c r="F782" s="58"/>
      <c r="G782" s="46"/>
      <c r="H782" s="46"/>
      <c r="I782" s="59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spans="1:27" ht="16.5">
      <c r="A783" s="46"/>
      <c r="B783" s="46"/>
      <c r="C783" s="57"/>
      <c r="D783" s="46"/>
      <c r="E783" s="46"/>
      <c r="F783" s="58"/>
      <c r="G783" s="46"/>
      <c r="H783" s="46"/>
      <c r="I783" s="59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spans="1:27" ht="16.5">
      <c r="A784" s="46"/>
      <c r="B784" s="46"/>
      <c r="C784" s="57"/>
      <c r="D784" s="46"/>
      <c r="E784" s="46"/>
      <c r="F784" s="58"/>
      <c r="G784" s="46"/>
      <c r="H784" s="46"/>
      <c r="I784" s="59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spans="1:27" ht="16.5">
      <c r="A785" s="46"/>
      <c r="B785" s="46"/>
      <c r="C785" s="57"/>
      <c r="D785" s="46"/>
      <c r="E785" s="46"/>
      <c r="F785" s="58"/>
      <c r="G785" s="46"/>
      <c r="H785" s="46"/>
      <c r="I785" s="59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spans="1:27" ht="16.5">
      <c r="A786" s="46"/>
      <c r="B786" s="46"/>
      <c r="C786" s="57"/>
      <c r="D786" s="46"/>
      <c r="E786" s="46"/>
      <c r="F786" s="58"/>
      <c r="G786" s="46"/>
      <c r="H786" s="46"/>
      <c r="I786" s="59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spans="1:27" ht="16.5">
      <c r="A787" s="46"/>
      <c r="B787" s="46"/>
      <c r="C787" s="57"/>
      <c r="D787" s="46"/>
      <c r="E787" s="46"/>
      <c r="F787" s="58"/>
      <c r="G787" s="46"/>
      <c r="H787" s="46"/>
      <c r="I787" s="59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spans="1:27" ht="16.5">
      <c r="A788" s="46"/>
      <c r="B788" s="46"/>
      <c r="C788" s="57"/>
      <c r="D788" s="46"/>
      <c r="E788" s="46"/>
      <c r="F788" s="58"/>
      <c r="G788" s="46"/>
      <c r="H788" s="46"/>
      <c r="I788" s="59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spans="1:27" ht="16.5">
      <c r="A789" s="46"/>
      <c r="B789" s="46"/>
      <c r="C789" s="57"/>
      <c r="D789" s="46"/>
      <c r="E789" s="46"/>
      <c r="F789" s="58"/>
      <c r="G789" s="46"/>
      <c r="H789" s="46"/>
      <c r="I789" s="59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spans="1:27" ht="16.5">
      <c r="A790" s="46"/>
      <c r="B790" s="46"/>
      <c r="C790" s="57"/>
      <c r="D790" s="46"/>
      <c r="E790" s="46"/>
      <c r="F790" s="58"/>
      <c r="G790" s="46"/>
      <c r="H790" s="46"/>
      <c r="I790" s="59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spans="1:27" ht="16.5">
      <c r="A791" s="46"/>
      <c r="B791" s="46"/>
      <c r="C791" s="57"/>
      <c r="D791" s="46"/>
      <c r="E791" s="46"/>
      <c r="F791" s="58"/>
      <c r="G791" s="46"/>
      <c r="H791" s="46"/>
      <c r="I791" s="59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spans="1:27" ht="16.5">
      <c r="A792" s="46"/>
      <c r="B792" s="46"/>
      <c r="C792" s="57"/>
      <c r="D792" s="46"/>
      <c r="E792" s="46"/>
      <c r="F792" s="58"/>
      <c r="G792" s="46"/>
      <c r="H792" s="46"/>
      <c r="I792" s="59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spans="1:27" ht="16.5">
      <c r="A793" s="46"/>
      <c r="B793" s="46"/>
      <c r="C793" s="57"/>
      <c r="D793" s="46"/>
      <c r="E793" s="46"/>
      <c r="F793" s="58"/>
      <c r="G793" s="46"/>
      <c r="H793" s="46"/>
      <c r="I793" s="59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spans="1:27" ht="16.5">
      <c r="A794" s="46"/>
      <c r="B794" s="46"/>
      <c r="C794" s="57"/>
      <c r="D794" s="46"/>
      <c r="E794" s="46"/>
      <c r="F794" s="58"/>
      <c r="G794" s="46"/>
      <c r="H794" s="46"/>
      <c r="I794" s="59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spans="1:27" ht="16.5">
      <c r="A795" s="46"/>
      <c r="B795" s="46"/>
      <c r="C795" s="57"/>
      <c r="D795" s="46"/>
      <c r="E795" s="46"/>
      <c r="F795" s="58"/>
      <c r="G795" s="46"/>
      <c r="H795" s="46"/>
      <c r="I795" s="59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spans="1:27" ht="16.5">
      <c r="A796" s="46"/>
      <c r="B796" s="46"/>
      <c r="C796" s="57"/>
      <c r="D796" s="46"/>
      <c r="E796" s="46"/>
      <c r="F796" s="58"/>
      <c r="G796" s="46"/>
      <c r="H796" s="46"/>
      <c r="I796" s="59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spans="1:27" ht="16.5">
      <c r="A797" s="46"/>
      <c r="B797" s="46"/>
      <c r="C797" s="57"/>
      <c r="D797" s="46"/>
      <c r="E797" s="46"/>
      <c r="F797" s="58"/>
      <c r="G797" s="46"/>
      <c r="H797" s="46"/>
      <c r="I797" s="59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spans="1:27" ht="16.5">
      <c r="A798" s="46"/>
      <c r="B798" s="46"/>
      <c r="C798" s="57"/>
      <c r="D798" s="46"/>
      <c r="E798" s="46"/>
      <c r="F798" s="58"/>
      <c r="G798" s="46"/>
      <c r="H798" s="46"/>
      <c r="I798" s="59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spans="1:27" ht="16.5">
      <c r="A799" s="46"/>
      <c r="B799" s="46"/>
      <c r="C799" s="57"/>
      <c r="D799" s="46"/>
      <c r="E799" s="46"/>
      <c r="F799" s="58"/>
      <c r="G799" s="46"/>
      <c r="H799" s="46"/>
      <c r="I799" s="59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spans="1:27" ht="16.5">
      <c r="A800" s="46"/>
      <c r="B800" s="46"/>
      <c r="C800" s="57"/>
      <c r="D800" s="46"/>
      <c r="E800" s="46"/>
      <c r="F800" s="58"/>
      <c r="G800" s="46"/>
      <c r="H800" s="46"/>
      <c r="I800" s="59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spans="1:27" ht="16.5">
      <c r="A801" s="46"/>
      <c r="B801" s="46"/>
      <c r="C801" s="57"/>
      <c r="D801" s="46"/>
      <c r="E801" s="46"/>
      <c r="F801" s="58"/>
      <c r="G801" s="46"/>
      <c r="H801" s="46"/>
      <c r="I801" s="59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spans="1:27" ht="16.5">
      <c r="A802" s="46"/>
      <c r="B802" s="46"/>
      <c r="C802" s="57"/>
      <c r="D802" s="46"/>
      <c r="E802" s="46"/>
      <c r="F802" s="58"/>
      <c r="G802" s="46"/>
      <c r="H802" s="46"/>
      <c r="I802" s="59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spans="1:27" ht="16.5">
      <c r="A803" s="46"/>
      <c r="B803" s="46"/>
      <c r="C803" s="57"/>
      <c r="D803" s="46"/>
      <c r="E803" s="46"/>
      <c r="F803" s="58"/>
      <c r="G803" s="46"/>
      <c r="H803" s="46"/>
      <c r="I803" s="59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spans="1:27" ht="16.5">
      <c r="A804" s="46"/>
      <c r="B804" s="46"/>
      <c r="C804" s="57"/>
      <c r="D804" s="46"/>
      <c r="E804" s="46"/>
      <c r="F804" s="58"/>
      <c r="G804" s="46"/>
      <c r="H804" s="46"/>
      <c r="I804" s="59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spans="1:27" ht="16.5">
      <c r="A805" s="46"/>
      <c r="B805" s="46"/>
      <c r="C805" s="57"/>
      <c r="D805" s="46"/>
      <c r="E805" s="46"/>
      <c r="F805" s="58"/>
      <c r="G805" s="46"/>
      <c r="H805" s="46"/>
      <c r="I805" s="59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spans="1:27" ht="16.5">
      <c r="A806" s="46"/>
      <c r="B806" s="46"/>
      <c r="C806" s="57"/>
      <c r="D806" s="46"/>
      <c r="E806" s="46"/>
      <c r="F806" s="58"/>
      <c r="G806" s="46"/>
      <c r="H806" s="46"/>
      <c r="I806" s="59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spans="1:27" ht="16.5">
      <c r="A807" s="46"/>
      <c r="B807" s="46"/>
      <c r="C807" s="57"/>
      <c r="D807" s="46"/>
      <c r="E807" s="46"/>
      <c r="F807" s="58"/>
      <c r="G807" s="46"/>
      <c r="H807" s="46"/>
      <c r="I807" s="59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spans="1:27" ht="16.5">
      <c r="A808" s="46"/>
      <c r="B808" s="46"/>
      <c r="C808" s="57"/>
      <c r="D808" s="46"/>
      <c r="E808" s="46"/>
      <c r="F808" s="58"/>
      <c r="G808" s="46"/>
      <c r="H808" s="46"/>
      <c r="I808" s="59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spans="1:27" ht="16.5">
      <c r="A809" s="46"/>
      <c r="B809" s="46"/>
      <c r="C809" s="57"/>
      <c r="D809" s="46"/>
      <c r="E809" s="46"/>
      <c r="F809" s="58"/>
      <c r="G809" s="46"/>
      <c r="H809" s="46"/>
      <c r="I809" s="59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spans="1:27" ht="16.5">
      <c r="A810" s="46"/>
      <c r="B810" s="46"/>
      <c r="C810" s="57"/>
      <c r="D810" s="46"/>
      <c r="E810" s="46"/>
      <c r="F810" s="58"/>
      <c r="G810" s="46"/>
      <c r="H810" s="46"/>
      <c r="I810" s="59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spans="1:27" ht="16.5">
      <c r="A811" s="46"/>
      <c r="B811" s="46"/>
      <c r="C811" s="57"/>
      <c r="D811" s="46"/>
      <c r="E811" s="46"/>
      <c r="F811" s="58"/>
      <c r="G811" s="46"/>
      <c r="H811" s="46"/>
      <c r="I811" s="59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spans="1:27" ht="16.5">
      <c r="A812" s="46"/>
      <c r="B812" s="46"/>
      <c r="C812" s="57"/>
      <c r="D812" s="46"/>
      <c r="E812" s="46"/>
      <c r="F812" s="58"/>
      <c r="G812" s="46"/>
      <c r="H812" s="46"/>
      <c r="I812" s="59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spans="1:27" ht="16.5">
      <c r="A813" s="46"/>
      <c r="B813" s="46"/>
      <c r="C813" s="57"/>
      <c r="D813" s="46"/>
      <c r="E813" s="46"/>
      <c r="F813" s="58"/>
      <c r="G813" s="46"/>
      <c r="H813" s="46"/>
      <c r="I813" s="59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spans="1:27" ht="16.5">
      <c r="A814" s="46"/>
      <c r="B814" s="46"/>
      <c r="C814" s="57"/>
      <c r="D814" s="46"/>
      <c r="E814" s="46"/>
      <c r="F814" s="58"/>
      <c r="G814" s="46"/>
      <c r="H814" s="46"/>
      <c r="I814" s="59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spans="1:27" ht="16.5">
      <c r="A815" s="46"/>
      <c r="B815" s="46"/>
      <c r="C815" s="57"/>
      <c r="D815" s="46"/>
      <c r="E815" s="46"/>
      <c r="F815" s="58"/>
      <c r="G815" s="46"/>
      <c r="H815" s="46"/>
      <c r="I815" s="59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spans="1:27" ht="16.5">
      <c r="A816" s="46"/>
      <c r="B816" s="46"/>
      <c r="C816" s="57"/>
      <c r="D816" s="46"/>
      <c r="E816" s="46"/>
      <c r="F816" s="58"/>
      <c r="G816" s="46"/>
      <c r="H816" s="46"/>
      <c r="I816" s="59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spans="1:27" ht="16.5">
      <c r="A817" s="46"/>
      <c r="B817" s="46"/>
      <c r="C817" s="57"/>
      <c r="D817" s="46"/>
      <c r="E817" s="46"/>
      <c r="F817" s="58"/>
      <c r="G817" s="46"/>
      <c r="H817" s="46"/>
      <c r="I817" s="59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27" ht="16.5">
      <c r="A818" s="46"/>
      <c r="B818" s="46"/>
      <c r="C818" s="57"/>
      <c r="D818" s="46"/>
      <c r="E818" s="46"/>
      <c r="F818" s="58"/>
      <c r="G818" s="46"/>
      <c r="H818" s="46"/>
      <c r="I818" s="59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27" ht="16.5">
      <c r="A819" s="46"/>
      <c r="B819" s="46"/>
      <c r="C819" s="57"/>
      <c r="D819" s="46"/>
      <c r="E819" s="46"/>
      <c r="F819" s="58"/>
      <c r="G819" s="46"/>
      <c r="H819" s="46"/>
      <c r="I819" s="59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27" ht="16.5">
      <c r="A820" s="46"/>
      <c r="B820" s="46"/>
      <c r="C820" s="57"/>
      <c r="D820" s="46"/>
      <c r="E820" s="46"/>
      <c r="F820" s="58"/>
      <c r="G820" s="46"/>
      <c r="H820" s="46"/>
      <c r="I820" s="59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spans="1:27" ht="16.5">
      <c r="A821" s="46"/>
      <c r="B821" s="46"/>
      <c r="C821" s="57"/>
      <c r="D821" s="46"/>
      <c r="E821" s="46"/>
      <c r="F821" s="58"/>
      <c r="G821" s="46"/>
      <c r="H821" s="46"/>
      <c r="I821" s="59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spans="1:27" ht="16.5">
      <c r="A822" s="46"/>
      <c r="B822" s="46"/>
      <c r="C822" s="57"/>
      <c r="D822" s="46"/>
      <c r="E822" s="46"/>
      <c r="F822" s="58"/>
      <c r="G822" s="46"/>
      <c r="H822" s="46"/>
      <c r="I822" s="59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spans="1:27" ht="16.5">
      <c r="A823" s="46"/>
      <c r="B823" s="46"/>
      <c r="C823" s="57"/>
      <c r="D823" s="46"/>
      <c r="E823" s="46"/>
      <c r="F823" s="58"/>
      <c r="G823" s="46"/>
      <c r="H823" s="46"/>
      <c r="I823" s="59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spans="1:27" ht="16.5">
      <c r="A824" s="46"/>
      <c r="B824" s="46"/>
      <c r="C824" s="57"/>
      <c r="D824" s="46"/>
      <c r="E824" s="46"/>
      <c r="F824" s="58"/>
      <c r="G824" s="46"/>
      <c r="H824" s="46"/>
      <c r="I824" s="59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spans="1:27" ht="16.5">
      <c r="A825" s="46"/>
      <c r="B825" s="46"/>
      <c r="C825" s="57"/>
      <c r="D825" s="46"/>
      <c r="E825" s="46"/>
      <c r="F825" s="58"/>
      <c r="G825" s="46"/>
      <c r="H825" s="46"/>
      <c r="I825" s="59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spans="1:27" ht="16.5">
      <c r="A826" s="46"/>
      <c r="B826" s="46"/>
      <c r="C826" s="57"/>
      <c r="D826" s="46"/>
      <c r="E826" s="46"/>
      <c r="F826" s="58"/>
      <c r="G826" s="46"/>
      <c r="H826" s="46"/>
      <c r="I826" s="59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spans="1:27" ht="16.5">
      <c r="A827" s="46"/>
      <c r="B827" s="46"/>
      <c r="C827" s="57"/>
      <c r="D827" s="46"/>
      <c r="E827" s="46"/>
      <c r="F827" s="58"/>
      <c r="G827" s="46"/>
      <c r="H827" s="46"/>
      <c r="I827" s="59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spans="1:27" ht="16.5">
      <c r="A828" s="46"/>
      <c r="B828" s="46"/>
      <c r="C828" s="57"/>
      <c r="D828" s="46"/>
      <c r="E828" s="46"/>
      <c r="F828" s="58"/>
      <c r="G828" s="46"/>
      <c r="H828" s="46"/>
      <c r="I828" s="59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spans="1:27" ht="16.5">
      <c r="A829" s="46"/>
      <c r="B829" s="46"/>
      <c r="C829" s="57"/>
      <c r="D829" s="46"/>
      <c r="E829" s="46"/>
      <c r="F829" s="58"/>
      <c r="G829" s="46"/>
      <c r="H829" s="46"/>
      <c r="I829" s="59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spans="1:27" ht="16.5">
      <c r="A830" s="46"/>
      <c r="B830" s="46"/>
      <c r="C830" s="57"/>
      <c r="D830" s="46"/>
      <c r="E830" s="46"/>
      <c r="F830" s="58"/>
      <c r="G830" s="46"/>
      <c r="H830" s="46"/>
      <c r="I830" s="59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spans="1:27" ht="16.5">
      <c r="A831" s="46"/>
      <c r="B831" s="46"/>
      <c r="C831" s="57"/>
      <c r="D831" s="46"/>
      <c r="E831" s="46"/>
      <c r="F831" s="58"/>
      <c r="G831" s="46"/>
      <c r="H831" s="46"/>
      <c r="I831" s="59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spans="1:27" ht="16.5">
      <c r="A832" s="46"/>
      <c r="B832" s="46"/>
      <c r="C832" s="57"/>
      <c r="D832" s="46"/>
      <c r="E832" s="46"/>
      <c r="F832" s="58"/>
      <c r="G832" s="46"/>
      <c r="H832" s="46"/>
      <c r="I832" s="59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spans="1:27" ht="16.5">
      <c r="A833" s="46"/>
      <c r="B833" s="46"/>
      <c r="C833" s="57"/>
      <c r="D833" s="46"/>
      <c r="E833" s="46"/>
      <c r="F833" s="58"/>
      <c r="G833" s="46"/>
      <c r="H833" s="46"/>
      <c r="I833" s="59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spans="1:27" ht="16.5">
      <c r="A834" s="46"/>
      <c r="B834" s="46"/>
      <c r="C834" s="57"/>
      <c r="D834" s="46"/>
      <c r="E834" s="46"/>
      <c r="F834" s="58"/>
      <c r="G834" s="46"/>
      <c r="H834" s="46"/>
      <c r="I834" s="59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spans="1:27" ht="16.5">
      <c r="A835" s="46"/>
      <c r="B835" s="46"/>
      <c r="C835" s="57"/>
      <c r="D835" s="46"/>
      <c r="E835" s="46"/>
      <c r="F835" s="58"/>
      <c r="G835" s="46"/>
      <c r="H835" s="46"/>
      <c r="I835" s="59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spans="1:27" ht="16.5">
      <c r="A836" s="46"/>
      <c r="B836" s="46"/>
      <c r="C836" s="57"/>
      <c r="D836" s="46"/>
      <c r="E836" s="46"/>
      <c r="F836" s="58"/>
      <c r="G836" s="46"/>
      <c r="H836" s="46"/>
      <c r="I836" s="59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spans="1:27" ht="16.5">
      <c r="A837" s="46"/>
      <c r="B837" s="46"/>
      <c r="C837" s="57"/>
      <c r="D837" s="46"/>
      <c r="E837" s="46"/>
      <c r="F837" s="58"/>
      <c r="G837" s="46"/>
      <c r="H837" s="46"/>
      <c r="I837" s="59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spans="1:27" ht="16.5">
      <c r="A838" s="46"/>
      <c r="B838" s="46"/>
      <c r="C838" s="57"/>
      <c r="D838" s="46"/>
      <c r="E838" s="46"/>
      <c r="F838" s="58"/>
      <c r="G838" s="46"/>
      <c r="H838" s="46"/>
      <c r="I838" s="59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spans="1:27" ht="16.5">
      <c r="A839" s="46"/>
      <c r="B839" s="46"/>
      <c r="C839" s="57"/>
      <c r="D839" s="46"/>
      <c r="E839" s="46"/>
      <c r="F839" s="58"/>
      <c r="G839" s="46"/>
      <c r="H839" s="46"/>
      <c r="I839" s="59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spans="1:27" ht="16.5">
      <c r="A840" s="46"/>
      <c r="B840" s="46"/>
      <c r="C840" s="57"/>
      <c r="D840" s="46"/>
      <c r="E840" s="46"/>
      <c r="F840" s="58"/>
      <c r="G840" s="46"/>
      <c r="H840" s="46"/>
      <c r="I840" s="59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spans="1:27" ht="16.5">
      <c r="A841" s="46"/>
      <c r="B841" s="46"/>
      <c r="C841" s="57"/>
      <c r="D841" s="46"/>
      <c r="E841" s="46"/>
      <c r="F841" s="58"/>
      <c r="G841" s="46"/>
      <c r="H841" s="46"/>
      <c r="I841" s="59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spans="1:27" ht="16.5">
      <c r="A842" s="46"/>
      <c r="B842" s="46"/>
      <c r="C842" s="57"/>
      <c r="D842" s="46"/>
      <c r="E842" s="46"/>
      <c r="F842" s="58"/>
      <c r="G842" s="46"/>
      <c r="H842" s="46"/>
      <c r="I842" s="59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spans="1:27" ht="16.5">
      <c r="A843" s="46"/>
      <c r="B843" s="46"/>
      <c r="C843" s="57"/>
      <c r="D843" s="46"/>
      <c r="E843" s="46"/>
      <c r="F843" s="58"/>
      <c r="G843" s="46"/>
      <c r="H843" s="46"/>
      <c r="I843" s="59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spans="1:27" ht="16.5">
      <c r="A844" s="46"/>
      <c r="B844" s="46"/>
      <c r="C844" s="57"/>
      <c r="D844" s="46"/>
      <c r="E844" s="46"/>
      <c r="F844" s="58"/>
      <c r="G844" s="46"/>
      <c r="H844" s="46"/>
      <c r="I844" s="59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ht="16.5">
      <c r="A845" s="46"/>
      <c r="B845" s="46"/>
      <c r="C845" s="57"/>
      <c r="D845" s="46"/>
      <c r="E845" s="46"/>
      <c r="F845" s="58"/>
      <c r="G845" s="46"/>
      <c r="H845" s="46"/>
      <c r="I845" s="59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spans="1:27" ht="16.5">
      <c r="A846" s="46"/>
      <c r="B846" s="46"/>
      <c r="C846" s="57"/>
      <c r="D846" s="46"/>
      <c r="E846" s="46"/>
      <c r="F846" s="58"/>
      <c r="G846" s="46"/>
      <c r="H846" s="46"/>
      <c r="I846" s="59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spans="1:27" ht="16.5">
      <c r="A847" s="46"/>
      <c r="B847" s="46"/>
      <c r="C847" s="57"/>
      <c r="D847" s="46"/>
      <c r="E847" s="46"/>
      <c r="F847" s="58"/>
      <c r="G847" s="46"/>
      <c r="H847" s="46"/>
      <c r="I847" s="59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spans="1:27" ht="16.5">
      <c r="A848" s="46"/>
      <c r="B848" s="46"/>
      <c r="C848" s="57"/>
      <c r="D848" s="46"/>
      <c r="E848" s="46"/>
      <c r="F848" s="58"/>
      <c r="G848" s="46"/>
      <c r="H848" s="46"/>
      <c r="I848" s="59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spans="1:27" ht="16.5">
      <c r="A849" s="46"/>
      <c r="B849" s="46"/>
      <c r="C849" s="57"/>
      <c r="D849" s="46"/>
      <c r="E849" s="46"/>
      <c r="F849" s="58"/>
      <c r="G849" s="46"/>
      <c r="H849" s="46"/>
      <c r="I849" s="59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spans="1:27" ht="16.5">
      <c r="A850" s="46"/>
      <c r="B850" s="46"/>
      <c r="C850" s="57"/>
      <c r="D850" s="46"/>
      <c r="E850" s="46"/>
      <c r="F850" s="58"/>
      <c r="G850" s="46"/>
      <c r="H850" s="46"/>
      <c r="I850" s="59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spans="1:27" ht="16.5">
      <c r="A851" s="46"/>
      <c r="B851" s="46"/>
      <c r="C851" s="57"/>
      <c r="D851" s="46"/>
      <c r="E851" s="46"/>
      <c r="F851" s="58"/>
      <c r="G851" s="46"/>
      <c r="H851" s="46"/>
      <c r="I851" s="59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spans="1:27" ht="16.5">
      <c r="A852" s="46"/>
      <c r="B852" s="46"/>
      <c r="C852" s="57"/>
      <c r="D852" s="46"/>
      <c r="E852" s="46"/>
      <c r="F852" s="58"/>
      <c r="G852" s="46"/>
      <c r="H852" s="46"/>
      <c r="I852" s="59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spans="1:27" ht="16.5">
      <c r="A853" s="46"/>
      <c r="B853" s="46"/>
      <c r="C853" s="57"/>
      <c r="D853" s="46"/>
      <c r="E853" s="46"/>
      <c r="F853" s="58"/>
      <c r="G853" s="46"/>
      <c r="H853" s="46"/>
      <c r="I853" s="59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spans="1:27" ht="16.5">
      <c r="A854" s="46"/>
      <c r="B854" s="46"/>
      <c r="C854" s="57"/>
      <c r="D854" s="46"/>
      <c r="E854" s="46"/>
      <c r="F854" s="58"/>
      <c r="G854" s="46"/>
      <c r="H854" s="46"/>
      <c r="I854" s="59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spans="1:27" ht="16.5">
      <c r="A855" s="46"/>
      <c r="B855" s="46"/>
      <c r="C855" s="57"/>
      <c r="D855" s="46"/>
      <c r="E855" s="46"/>
      <c r="F855" s="58"/>
      <c r="G855" s="46"/>
      <c r="H855" s="46"/>
      <c r="I855" s="59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spans="1:27" ht="16.5">
      <c r="A856" s="46"/>
      <c r="B856" s="46"/>
      <c r="C856" s="57"/>
      <c r="D856" s="46"/>
      <c r="E856" s="46"/>
      <c r="F856" s="58"/>
      <c r="G856" s="46"/>
      <c r="H856" s="46"/>
      <c r="I856" s="59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spans="1:27" ht="16.5">
      <c r="A857" s="46"/>
      <c r="B857" s="46"/>
      <c r="C857" s="57"/>
      <c r="D857" s="46"/>
      <c r="E857" s="46"/>
      <c r="F857" s="58"/>
      <c r="G857" s="46"/>
      <c r="H857" s="46"/>
      <c r="I857" s="59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spans="1:27" ht="16.5">
      <c r="A858" s="46"/>
      <c r="B858" s="46"/>
      <c r="C858" s="57"/>
      <c r="D858" s="46"/>
      <c r="E858" s="46"/>
      <c r="F858" s="58"/>
      <c r="G858" s="46"/>
      <c r="H858" s="46"/>
      <c r="I858" s="59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spans="1:27" ht="16.5">
      <c r="A859" s="46"/>
      <c r="B859" s="46"/>
      <c r="C859" s="57"/>
      <c r="D859" s="46"/>
      <c r="E859" s="46"/>
      <c r="F859" s="58"/>
      <c r="G859" s="46"/>
      <c r="H859" s="46"/>
      <c r="I859" s="59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spans="1:27" ht="16.5">
      <c r="A860" s="46"/>
      <c r="B860" s="46"/>
      <c r="C860" s="57"/>
      <c r="D860" s="46"/>
      <c r="E860" s="46"/>
      <c r="F860" s="58"/>
      <c r="G860" s="46"/>
      <c r="H860" s="46"/>
      <c r="I860" s="59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spans="1:27" ht="16.5">
      <c r="A861" s="46"/>
      <c r="B861" s="46"/>
      <c r="C861" s="57"/>
      <c r="D861" s="46"/>
      <c r="E861" s="46"/>
      <c r="F861" s="58"/>
      <c r="G861" s="46"/>
      <c r="H861" s="46"/>
      <c r="I861" s="59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spans="1:27" ht="16.5">
      <c r="A862" s="46"/>
      <c r="B862" s="46"/>
      <c r="C862" s="57"/>
      <c r="D862" s="46"/>
      <c r="E862" s="46"/>
      <c r="F862" s="58"/>
      <c r="G862" s="46"/>
      <c r="H862" s="46"/>
      <c r="I862" s="59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spans="1:27" ht="16.5">
      <c r="A863" s="46"/>
      <c r="B863" s="46"/>
      <c r="C863" s="57"/>
      <c r="D863" s="46"/>
      <c r="E863" s="46"/>
      <c r="F863" s="58"/>
      <c r="G863" s="46"/>
      <c r="H863" s="46"/>
      <c r="I863" s="59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spans="1:27" ht="16.5">
      <c r="A864" s="46"/>
      <c r="B864" s="46"/>
      <c r="C864" s="57"/>
      <c r="D864" s="46"/>
      <c r="E864" s="46"/>
      <c r="F864" s="58"/>
      <c r="G864" s="46"/>
      <c r="H864" s="46"/>
      <c r="I864" s="59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spans="1:27" ht="16.5">
      <c r="A865" s="46"/>
      <c r="B865" s="46"/>
      <c r="C865" s="57"/>
      <c r="D865" s="46"/>
      <c r="E865" s="46"/>
      <c r="F865" s="58"/>
      <c r="G865" s="46"/>
      <c r="H865" s="46"/>
      <c r="I865" s="59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spans="1:27" ht="16.5">
      <c r="A866" s="46"/>
      <c r="B866" s="46"/>
      <c r="C866" s="57"/>
      <c r="D866" s="46"/>
      <c r="E866" s="46"/>
      <c r="F866" s="58"/>
      <c r="G866" s="46"/>
      <c r="H866" s="46"/>
      <c r="I866" s="59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spans="1:27" ht="16.5">
      <c r="A867" s="46"/>
      <c r="B867" s="46"/>
      <c r="C867" s="57"/>
      <c r="D867" s="46"/>
      <c r="E867" s="46"/>
      <c r="F867" s="58"/>
      <c r="G867" s="46"/>
      <c r="H867" s="46"/>
      <c r="I867" s="59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spans="1:27" ht="16.5">
      <c r="A868" s="46"/>
      <c r="B868" s="46"/>
      <c r="C868" s="57"/>
      <c r="D868" s="46"/>
      <c r="E868" s="46"/>
      <c r="F868" s="58"/>
      <c r="G868" s="46"/>
      <c r="H868" s="46"/>
      <c r="I868" s="59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27" ht="16.5">
      <c r="A869" s="46"/>
      <c r="B869" s="46"/>
      <c r="C869" s="57"/>
      <c r="D869" s="46"/>
      <c r="E869" s="46"/>
      <c r="F869" s="58"/>
      <c r="G869" s="46"/>
      <c r="H869" s="46"/>
      <c r="I869" s="59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27" ht="16.5">
      <c r="A870" s="46"/>
      <c r="B870" s="46"/>
      <c r="C870" s="57"/>
      <c r="D870" s="46"/>
      <c r="E870" s="46"/>
      <c r="F870" s="58"/>
      <c r="G870" s="46"/>
      <c r="H870" s="46"/>
      <c r="I870" s="59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27" ht="16.5">
      <c r="A871" s="46"/>
      <c r="B871" s="46"/>
      <c r="C871" s="57"/>
      <c r="D871" s="46"/>
      <c r="E871" s="46"/>
      <c r="F871" s="58"/>
      <c r="G871" s="46"/>
      <c r="H871" s="46"/>
      <c r="I871" s="59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spans="1:27" ht="16.5">
      <c r="A872" s="46"/>
      <c r="B872" s="46"/>
      <c r="C872" s="57"/>
      <c r="D872" s="46"/>
      <c r="E872" s="46"/>
      <c r="F872" s="58"/>
      <c r="G872" s="46"/>
      <c r="H872" s="46"/>
      <c r="I872" s="59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spans="1:27" ht="16.5">
      <c r="A873" s="46"/>
      <c r="B873" s="46"/>
      <c r="C873" s="57"/>
      <c r="D873" s="46"/>
      <c r="E873" s="46"/>
      <c r="F873" s="58"/>
      <c r="G873" s="46"/>
      <c r="H873" s="46"/>
      <c r="I873" s="59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spans="1:27" ht="16.5">
      <c r="A874" s="46"/>
      <c r="B874" s="46"/>
      <c r="C874" s="57"/>
      <c r="D874" s="46"/>
      <c r="E874" s="46"/>
      <c r="F874" s="58"/>
      <c r="G874" s="46"/>
      <c r="H874" s="46"/>
      <c r="I874" s="59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spans="1:27" ht="16.5">
      <c r="A875" s="46"/>
      <c r="B875" s="46"/>
      <c r="C875" s="57"/>
      <c r="D875" s="46"/>
      <c r="E875" s="46"/>
      <c r="F875" s="58"/>
      <c r="G875" s="46"/>
      <c r="H875" s="46"/>
      <c r="I875" s="59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spans="1:27" ht="16.5">
      <c r="A876" s="46"/>
      <c r="B876" s="46"/>
      <c r="C876" s="57"/>
      <c r="D876" s="46"/>
      <c r="E876" s="46"/>
      <c r="F876" s="58"/>
      <c r="G876" s="46"/>
      <c r="H876" s="46"/>
      <c r="I876" s="59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spans="1:27" ht="16.5">
      <c r="A877" s="46"/>
      <c r="B877" s="46"/>
      <c r="C877" s="57"/>
      <c r="D877" s="46"/>
      <c r="E877" s="46"/>
      <c r="F877" s="58"/>
      <c r="G877" s="46"/>
      <c r="H877" s="46"/>
      <c r="I877" s="59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spans="1:27" ht="16.5">
      <c r="A878" s="46"/>
      <c r="B878" s="46"/>
      <c r="C878" s="57"/>
      <c r="D878" s="46"/>
      <c r="E878" s="46"/>
      <c r="F878" s="58"/>
      <c r="G878" s="46"/>
      <c r="H878" s="46"/>
      <c r="I878" s="59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spans="1:27" ht="16.5">
      <c r="A879" s="46"/>
      <c r="B879" s="46"/>
      <c r="C879" s="57"/>
      <c r="D879" s="46"/>
      <c r="E879" s="46"/>
      <c r="F879" s="58"/>
      <c r="G879" s="46"/>
      <c r="H879" s="46"/>
      <c r="I879" s="59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spans="1:27" ht="16.5">
      <c r="A880" s="46"/>
      <c r="B880" s="46"/>
      <c r="C880" s="57"/>
      <c r="D880" s="46"/>
      <c r="E880" s="46"/>
      <c r="F880" s="58"/>
      <c r="G880" s="46"/>
      <c r="H880" s="46"/>
      <c r="I880" s="59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spans="1:27" ht="16.5">
      <c r="A881" s="46"/>
      <c r="B881" s="46"/>
      <c r="C881" s="57"/>
      <c r="D881" s="46"/>
      <c r="E881" s="46"/>
      <c r="F881" s="58"/>
      <c r="G881" s="46"/>
      <c r="H881" s="46"/>
      <c r="I881" s="59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spans="1:27" ht="16.5">
      <c r="A882" s="46"/>
      <c r="B882" s="46"/>
      <c r="C882" s="57"/>
      <c r="D882" s="46"/>
      <c r="E882" s="46"/>
      <c r="F882" s="58"/>
      <c r="G882" s="46"/>
      <c r="H882" s="46"/>
      <c r="I882" s="59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spans="1:27" ht="16.5">
      <c r="A883" s="46"/>
      <c r="B883" s="46"/>
      <c r="C883" s="57"/>
      <c r="D883" s="46"/>
      <c r="E883" s="46"/>
      <c r="F883" s="58"/>
      <c r="G883" s="46"/>
      <c r="H883" s="46"/>
      <c r="I883" s="59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spans="1:27" ht="16.5">
      <c r="A884" s="46"/>
      <c r="B884" s="46"/>
      <c r="C884" s="57"/>
      <c r="D884" s="46"/>
      <c r="E884" s="46"/>
      <c r="F884" s="58"/>
      <c r="G884" s="46"/>
      <c r="H884" s="46"/>
      <c r="I884" s="59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spans="1:27" ht="16.5">
      <c r="A885" s="46"/>
      <c r="B885" s="46"/>
      <c r="C885" s="57"/>
      <c r="D885" s="46"/>
      <c r="E885" s="46"/>
      <c r="F885" s="58"/>
      <c r="G885" s="46"/>
      <c r="H885" s="46"/>
      <c r="I885" s="59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spans="1:27" ht="16.5">
      <c r="A886" s="46"/>
      <c r="B886" s="46"/>
      <c r="C886" s="57"/>
      <c r="D886" s="46"/>
      <c r="E886" s="46"/>
      <c r="F886" s="58"/>
      <c r="G886" s="46"/>
      <c r="H886" s="46"/>
      <c r="I886" s="59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spans="1:27" ht="16.5">
      <c r="A887" s="46"/>
      <c r="B887" s="46"/>
      <c r="C887" s="57"/>
      <c r="D887" s="46"/>
      <c r="E887" s="46"/>
      <c r="F887" s="58"/>
      <c r="G887" s="46"/>
      <c r="H887" s="46"/>
      <c r="I887" s="59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spans="1:27" ht="16.5">
      <c r="A888" s="46"/>
      <c r="B888" s="46"/>
      <c r="C888" s="57"/>
      <c r="D888" s="46"/>
      <c r="E888" s="46"/>
      <c r="F888" s="58"/>
      <c r="G888" s="46"/>
      <c r="H888" s="46"/>
      <c r="I888" s="59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spans="1:27" ht="16.5">
      <c r="A889" s="46"/>
      <c r="B889" s="46"/>
      <c r="C889" s="57"/>
      <c r="D889" s="46"/>
      <c r="E889" s="46"/>
      <c r="F889" s="58"/>
      <c r="G889" s="46"/>
      <c r="H889" s="46"/>
      <c r="I889" s="59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spans="1:27" ht="16.5">
      <c r="A890" s="46"/>
      <c r="B890" s="46"/>
      <c r="C890" s="57"/>
      <c r="D890" s="46"/>
      <c r="E890" s="46"/>
      <c r="F890" s="58"/>
      <c r="G890" s="46"/>
      <c r="H890" s="46"/>
      <c r="I890" s="59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spans="1:27" ht="16.5">
      <c r="A891" s="46"/>
      <c r="B891" s="46"/>
      <c r="C891" s="57"/>
      <c r="D891" s="46"/>
      <c r="E891" s="46"/>
      <c r="F891" s="58"/>
      <c r="G891" s="46"/>
      <c r="H891" s="46"/>
      <c r="I891" s="59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spans="1:27" ht="16.5">
      <c r="A892" s="46"/>
      <c r="B892" s="46"/>
      <c r="C892" s="57"/>
      <c r="D892" s="46"/>
      <c r="E892" s="46"/>
      <c r="F892" s="58"/>
      <c r="G892" s="46"/>
      <c r="H892" s="46"/>
      <c r="I892" s="59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spans="1:27" ht="16.5">
      <c r="A893" s="46"/>
      <c r="B893" s="46"/>
      <c r="C893" s="57"/>
      <c r="D893" s="46"/>
      <c r="E893" s="46"/>
      <c r="F893" s="58"/>
      <c r="G893" s="46"/>
      <c r="H893" s="46"/>
      <c r="I893" s="59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spans="1:27" ht="16.5">
      <c r="A894" s="46"/>
      <c r="B894" s="46"/>
      <c r="C894" s="57"/>
      <c r="D894" s="46"/>
      <c r="E894" s="46"/>
      <c r="F894" s="58"/>
      <c r="G894" s="46"/>
      <c r="H894" s="46"/>
      <c r="I894" s="59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spans="1:27" ht="16.5">
      <c r="A895" s="46"/>
      <c r="B895" s="46"/>
      <c r="C895" s="57"/>
      <c r="D895" s="46"/>
      <c r="E895" s="46"/>
      <c r="F895" s="58"/>
      <c r="G895" s="46"/>
      <c r="H895" s="46"/>
      <c r="I895" s="59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spans="1:27" ht="16.5">
      <c r="A896" s="46"/>
      <c r="B896" s="46"/>
      <c r="C896" s="57"/>
      <c r="D896" s="46"/>
      <c r="E896" s="46"/>
      <c r="F896" s="58"/>
      <c r="G896" s="46"/>
      <c r="H896" s="46"/>
      <c r="I896" s="59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spans="1:27" ht="16.5">
      <c r="A897" s="46"/>
      <c r="B897" s="46"/>
      <c r="C897" s="57"/>
      <c r="D897" s="46"/>
      <c r="E897" s="46"/>
      <c r="F897" s="58"/>
      <c r="G897" s="46"/>
      <c r="H897" s="46"/>
      <c r="I897" s="59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spans="1:27" ht="16.5">
      <c r="A898" s="46"/>
      <c r="B898" s="46"/>
      <c r="C898" s="57"/>
      <c r="D898" s="46"/>
      <c r="E898" s="46"/>
      <c r="F898" s="58"/>
      <c r="G898" s="46"/>
      <c r="H898" s="46"/>
      <c r="I898" s="59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spans="1:27" ht="16.5">
      <c r="A899" s="46"/>
      <c r="B899" s="46"/>
      <c r="C899" s="57"/>
      <c r="D899" s="46"/>
      <c r="E899" s="46"/>
      <c r="F899" s="58"/>
      <c r="G899" s="46"/>
      <c r="H899" s="46"/>
      <c r="I899" s="59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spans="1:27" ht="16.5">
      <c r="A900" s="46"/>
      <c r="B900" s="46"/>
      <c r="C900" s="57"/>
      <c r="D900" s="46"/>
      <c r="E900" s="46"/>
      <c r="F900" s="58"/>
      <c r="G900" s="46"/>
      <c r="H900" s="46"/>
      <c r="I900" s="59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spans="1:27" ht="16.5">
      <c r="A901" s="46"/>
      <c r="B901" s="46"/>
      <c r="C901" s="57"/>
      <c r="D901" s="46"/>
      <c r="E901" s="46"/>
      <c r="F901" s="58"/>
      <c r="G901" s="46"/>
      <c r="H901" s="46"/>
      <c r="I901" s="59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spans="1:27" ht="16.5">
      <c r="A902" s="46"/>
      <c r="B902" s="46"/>
      <c r="C902" s="57"/>
      <c r="D902" s="46"/>
      <c r="E902" s="46"/>
      <c r="F902" s="58"/>
      <c r="G902" s="46"/>
      <c r="H902" s="46"/>
      <c r="I902" s="59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27" ht="16.5">
      <c r="A903" s="46"/>
      <c r="B903" s="46"/>
      <c r="C903" s="57"/>
      <c r="D903" s="46"/>
      <c r="E903" s="46"/>
      <c r="F903" s="58"/>
      <c r="G903" s="46"/>
      <c r="H903" s="46"/>
      <c r="I903" s="59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27" ht="16.5">
      <c r="A904" s="46"/>
      <c r="B904" s="46"/>
      <c r="C904" s="57"/>
      <c r="D904" s="46"/>
      <c r="E904" s="46"/>
      <c r="F904" s="58"/>
      <c r="G904" s="46"/>
      <c r="H904" s="46"/>
      <c r="I904" s="59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spans="1:27" ht="16.5">
      <c r="A905" s="46"/>
      <c r="B905" s="46"/>
      <c r="C905" s="57"/>
      <c r="D905" s="46"/>
      <c r="E905" s="46"/>
      <c r="F905" s="58"/>
      <c r="G905" s="46"/>
      <c r="H905" s="46"/>
      <c r="I905" s="59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spans="1:27" ht="16.5">
      <c r="A906" s="46"/>
      <c r="B906" s="46"/>
      <c r="C906" s="57"/>
      <c r="D906" s="46"/>
      <c r="E906" s="46"/>
      <c r="F906" s="58"/>
      <c r="G906" s="46"/>
      <c r="H906" s="46"/>
      <c r="I906" s="59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spans="1:27" ht="16.5">
      <c r="A907" s="46"/>
      <c r="B907" s="46"/>
      <c r="C907" s="57"/>
      <c r="D907" s="46"/>
      <c r="E907" s="46"/>
      <c r="F907" s="58"/>
      <c r="G907" s="46"/>
      <c r="H907" s="46"/>
      <c r="I907" s="59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spans="1:27" ht="16.5">
      <c r="A908" s="46"/>
      <c r="B908" s="46"/>
      <c r="C908" s="57"/>
      <c r="D908" s="46"/>
      <c r="E908" s="46"/>
      <c r="F908" s="58"/>
      <c r="G908" s="46"/>
      <c r="H908" s="46"/>
      <c r="I908" s="59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spans="1:27" ht="16.5">
      <c r="A909" s="46"/>
      <c r="B909" s="46"/>
      <c r="C909" s="57"/>
      <c r="D909" s="46"/>
      <c r="E909" s="46"/>
      <c r="F909" s="58"/>
      <c r="G909" s="46"/>
      <c r="H909" s="46"/>
      <c r="I909" s="59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spans="1:27" ht="16.5">
      <c r="A910" s="46"/>
      <c r="B910" s="46"/>
      <c r="C910" s="57"/>
      <c r="D910" s="46"/>
      <c r="E910" s="46"/>
      <c r="F910" s="58"/>
      <c r="G910" s="46"/>
      <c r="H910" s="46"/>
      <c r="I910" s="59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spans="1:27" ht="16.5">
      <c r="A911" s="46"/>
      <c r="B911" s="46"/>
      <c r="C911" s="57"/>
      <c r="D911" s="46"/>
      <c r="E911" s="46"/>
      <c r="F911" s="58"/>
      <c r="G911" s="46"/>
      <c r="H911" s="46"/>
      <c r="I911" s="59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spans="1:27" ht="16.5">
      <c r="A912" s="46"/>
      <c r="B912" s="46"/>
      <c r="C912" s="57"/>
      <c r="D912" s="46"/>
      <c r="E912" s="46"/>
      <c r="F912" s="58"/>
      <c r="G912" s="46"/>
      <c r="H912" s="46"/>
      <c r="I912" s="59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spans="1:27" ht="16.5">
      <c r="A913" s="46"/>
      <c r="B913" s="46"/>
      <c r="C913" s="57"/>
      <c r="D913" s="46"/>
      <c r="E913" s="46"/>
      <c r="F913" s="58"/>
      <c r="G913" s="46"/>
      <c r="H913" s="46"/>
      <c r="I913" s="59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spans="1:27" ht="16.5">
      <c r="A914" s="46"/>
      <c r="B914" s="46"/>
      <c r="C914" s="57"/>
      <c r="D914" s="46"/>
      <c r="E914" s="46"/>
      <c r="F914" s="58"/>
      <c r="G914" s="46"/>
      <c r="H914" s="46"/>
      <c r="I914" s="59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spans="1:27" ht="16.5">
      <c r="A915" s="46"/>
      <c r="B915" s="46"/>
      <c r="C915" s="57"/>
      <c r="D915" s="46"/>
      <c r="E915" s="46"/>
      <c r="F915" s="58"/>
      <c r="G915" s="46"/>
      <c r="H915" s="46"/>
      <c r="I915" s="59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spans="1:27" ht="16.5">
      <c r="A916" s="46"/>
      <c r="B916" s="46"/>
      <c r="C916" s="57"/>
      <c r="D916" s="46"/>
      <c r="E916" s="46"/>
      <c r="F916" s="58"/>
      <c r="G916" s="46"/>
      <c r="H916" s="46"/>
      <c r="I916" s="59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spans="1:27" ht="16.5">
      <c r="A917" s="46"/>
      <c r="B917" s="46"/>
      <c r="C917" s="57"/>
      <c r="D917" s="46"/>
      <c r="E917" s="46"/>
      <c r="F917" s="58"/>
      <c r="G917" s="46"/>
      <c r="H917" s="46"/>
      <c r="I917" s="59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spans="1:27" ht="16.5">
      <c r="A918" s="46"/>
      <c r="B918" s="46"/>
      <c r="C918" s="57"/>
      <c r="D918" s="46"/>
      <c r="E918" s="46"/>
      <c r="F918" s="58"/>
      <c r="G918" s="46"/>
      <c r="H918" s="46"/>
      <c r="I918" s="59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spans="1:27" ht="16.5">
      <c r="A919" s="46"/>
      <c r="B919" s="46"/>
      <c r="C919" s="57"/>
      <c r="D919" s="46"/>
      <c r="E919" s="46"/>
      <c r="F919" s="58"/>
      <c r="G919" s="46"/>
      <c r="H919" s="46"/>
      <c r="I919" s="59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27" ht="16.5">
      <c r="A920" s="46"/>
      <c r="B920" s="46"/>
      <c r="C920" s="57"/>
      <c r="D920" s="46"/>
      <c r="E920" s="46"/>
      <c r="F920" s="58"/>
      <c r="G920" s="46"/>
      <c r="H920" s="46"/>
      <c r="I920" s="59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27" ht="16.5">
      <c r="A921" s="46"/>
      <c r="B921" s="46"/>
      <c r="C921" s="57"/>
      <c r="D921" s="46"/>
      <c r="E921" s="46"/>
      <c r="F921" s="58"/>
      <c r="G921" s="46"/>
      <c r="H921" s="46"/>
      <c r="I921" s="59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27" ht="16.5">
      <c r="A922" s="46"/>
      <c r="B922" s="46"/>
      <c r="C922" s="57"/>
      <c r="D922" s="46"/>
      <c r="E922" s="46"/>
      <c r="F922" s="58"/>
      <c r="G922" s="46"/>
      <c r="H922" s="46"/>
      <c r="I922" s="59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spans="1:27" ht="16.5">
      <c r="A923" s="46"/>
      <c r="B923" s="46"/>
      <c r="C923" s="57"/>
      <c r="D923" s="46"/>
      <c r="E923" s="46"/>
      <c r="F923" s="58"/>
      <c r="G923" s="46"/>
      <c r="H923" s="46"/>
      <c r="I923" s="59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spans="1:27" ht="16.5">
      <c r="A924" s="46"/>
      <c r="B924" s="46"/>
      <c r="C924" s="57"/>
      <c r="D924" s="46"/>
      <c r="E924" s="46"/>
      <c r="F924" s="58"/>
      <c r="G924" s="46"/>
      <c r="H924" s="46"/>
      <c r="I924" s="59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ht="16.5">
      <c r="A925" s="46"/>
      <c r="B925" s="46"/>
      <c r="C925" s="57"/>
      <c r="D925" s="46"/>
      <c r="E925" s="46"/>
      <c r="F925" s="58"/>
      <c r="G925" s="46"/>
      <c r="H925" s="46"/>
      <c r="I925" s="59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ht="16.5">
      <c r="A926" s="46"/>
      <c r="B926" s="46"/>
      <c r="C926" s="57"/>
      <c r="D926" s="46"/>
      <c r="E926" s="46"/>
      <c r="F926" s="58"/>
      <c r="G926" s="46"/>
      <c r="H926" s="46"/>
      <c r="I926" s="59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ht="16.5">
      <c r="A927" s="46"/>
      <c r="B927" s="46"/>
      <c r="C927" s="57"/>
      <c r="D927" s="46"/>
      <c r="E927" s="46"/>
      <c r="F927" s="58"/>
      <c r="G927" s="46"/>
      <c r="H927" s="46"/>
      <c r="I927" s="59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ht="16.5">
      <c r="A928" s="46"/>
      <c r="B928" s="46"/>
      <c r="C928" s="57"/>
      <c r="D928" s="46"/>
      <c r="E928" s="46"/>
      <c r="F928" s="58"/>
      <c r="G928" s="46"/>
      <c r="H928" s="46"/>
      <c r="I928" s="59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ht="16.5">
      <c r="A929" s="46"/>
      <c r="B929" s="46"/>
      <c r="C929" s="57"/>
      <c r="D929" s="46"/>
      <c r="E929" s="46"/>
      <c r="F929" s="58"/>
      <c r="G929" s="46"/>
      <c r="H929" s="46"/>
      <c r="I929" s="59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ht="16.5">
      <c r="A930" s="46"/>
      <c r="B930" s="46"/>
      <c r="C930" s="57"/>
      <c r="D930" s="46"/>
      <c r="E930" s="46"/>
      <c r="F930" s="58"/>
      <c r="G930" s="46"/>
      <c r="H930" s="46"/>
      <c r="I930" s="59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ht="16.5">
      <c r="A931" s="46"/>
      <c r="B931" s="46"/>
      <c r="C931" s="57"/>
      <c r="D931" s="46"/>
      <c r="E931" s="46"/>
      <c r="F931" s="58"/>
      <c r="G931" s="46"/>
      <c r="H931" s="46"/>
      <c r="I931" s="59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ht="16.5">
      <c r="A932" s="46"/>
      <c r="B932" s="46"/>
      <c r="C932" s="57"/>
      <c r="D932" s="46"/>
      <c r="E932" s="46"/>
      <c r="F932" s="58"/>
      <c r="G932" s="46"/>
      <c r="H932" s="46"/>
      <c r="I932" s="59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spans="1:27" ht="16.5">
      <c r="A933" s="46"/>
      <c r="B933" s="46"/>
      <c r="C933" s="57"/>
      <c r="D933" s="46"/>
      <c r="E933" s="46"/>
      <c r="F933" s="58"/>
      <c r="G933" s="46"/>
      <c r="H933" s="46"/>
      <c r="I933" s="59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spans="1:27" ht="16.5">
      <c r="A934" s="46"/>
      <c r="B934" s="46"/>
      <c r="C934" s="57"/>
      <c r="D934" s="46"/>
      <c r="E934" s="46"/>
      <c r="F934" s="58"/>
      <c r="G934" s="46"/>
      <c r="H934" s="46"/>
      <c r="I934" s="59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spans="1:27" ht="16.5">
      <c r="A935" s="46"/>
      <c r="B935" s="46"/>
      <c r="C935" s="57"/>
      <c r="D935" s="46"/>
      <c r="E935" s="46"/>
      <c r="F935" s="58"/>
      <c r="G935" s="46"/>
      <c r="H935" s="46"/>
      <c r="I935" s="59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spans="1:27" ht="16.5">
      <c r="A936" s="46"/>
      <c r="B936" s="46"/>
      <c r="C936" s="57"/>
      <c r="D936" s="46"/>
      <c r="E936" s="46"/>
      <c r="F936" s="58"/>
      <c r="G936" s="46"/>
      <c r="H936" s="46"/>
      <c r="I936" s="59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spans="1:27" ht="16.5">
      <c r="A937" s="46"/>
      <c r="B937" s="46"/>
      <c r="C937" s="57"/>
      <c r="D937" s="46"/>
      <c r="E937" s="46"/>
      <c r="F937" s="58"/>
      <c r="G937" s="46"/>
      <c r="H937" s="46"/>
      <c r="I937" s="59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spans="1:27" ht="16.5">
      <c r="A938" s="46"/>
      <c r="B938" s="46"/>
      <c r="C938" s="57"/>
      <c r="D938" s="46"/>
      <c r="E938" s="46"/>
      <c r="F938" s="58"/>
      <c r="G938" s="46"/>
      <c r="H938" s="46"/>
      <c r="I938" s="59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spans="1:27" ht="16.5">
      <c r="A939" s="46"/>
      <c r="B939" s="46"/>
      <c r="C939" s="57"/>
      <c r="D939" s="46"/>
      <c r="E939" s="46"/>
      <c r="F939" s="58"/>
      <c r="G939" s="46"/>
      <c r="H939" s="46"/>
      <c r="I939" s="59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spans="1:27" ht="16.5">
      <c r="A940" s="46"/>
      <c r="B940" s="46"/>
      <c r="C940" s="57"/>
      <c r="D940" s="46"/>
      <c r="E940" s="46"/>
      <c r="F940" s="58"/>
      <c r="G940" s="46"/>
      <c r="H940" s="46"/>
      <c r="I940" s="59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spans="1:27" ht="16.5">
      <c r="A941" s="46"/>
      <c r="B941" s="46"/>
      <c r="C941" s="57"/>
      <c r="D941" s="46"/>
      <c r="E941" s="46"/>
      <c r="F941" s="58"/>
      <c r="G941" s="46"/>
      <c r="H941" s="46"/>
      <c r="I941" s="59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spans="1:27" ht="16.5">
      <c r="A942" s="46"/>
      <c r="B942" s="46"/>
      <c r="C942" s="57"/>
      <c r="D942" s="46"/>
      <c r="E942" s="46"/>
      <c r="F942" s="58"/>
      <c r="G942" s="46"/>
      <c r="H942" s="46"/>
      <c r="I942" s="59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spans="1:27" ht="16.5">
      <c r="A943" s="46"/>
      <c r="B943" s="46"/>
      <c r="C943" s="57"/>
      <c r="D943" s="46"/>
      <c r="E943" s="46"/>
      <c r="F943" s="58"/>
      <c r="G943" s="46"/>
      <c r="H943" s="46"/>
      <c r="I943" s="59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spans="1:27" ht="16.5">
      <c r="A944" s="46"/>
      <c r="B944" s="46"/>
      <c r="C944" s="57"/>
      <c r="D944" s="46"/>
      <c r="E944" s="46"/>
      <c r="F944" s="58"/>
      <c r="G944" s="46"/>
      <c r="H944" s="46"/>
      <c r="I944" s="59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spans="1:27" ht="16.5">
      <c r="A945" s="46"/>
      <c r="B945" s="46"/>
      <c r="C945" s="57"/>
      <c r="D945" s="46"/>
      <c r="E945" s="46"/>
      <c r="F945" s="58"/>
      <c r="G945" s="46"/>
      <c r="H945" s="46"/>
      <c r="I945" s="59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spans="1:27" ht="16.5">
      <c r="A946" s="46"/>
      <c r="B946" s="46"/>
      <c r="C946" s="57"/>
      <c r="D946" s="46"/>
      <c r="E946" s="46"/>
      <c r="F946" s="58"/>
      <c r="G946" s="46"/>
      <c r="H946" s="46"/>
      <c r="I946" s="59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spans="1:27" ht="16.5">
      <c r="A947" s="46"/>
      <c r="B947" s="46"/>
      <c r="C947" s="57"/>
      <c r="D947" s="46"/>
      <c r="E947" s="46"/>
      <c r="F947" s="58"/>
      <c r="G947" s="46"/>
      <c r="H947" s="46"/>
      <c r="I947" s="59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spans="1:27" ht="16.5">
      <c r="A948" s="46"/>
      <c r="B948" s="46"/>
      <c r="C948" s="57"/>
      <c r="D948" s="46"/>
      <c r="E948" s="46"/>
      <c r="F948" s="58"/>
      <c r="G948" s="46"/>
      <c r="H948" s="46"/>
      <c r="I948" s="59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spans="1:27" ht="16.5">
      <c r="A949" s="46"/>
      <c r="B949" s="46"/>
      <c r="C949" s="57"/>
      <c r="D949" s="46"/>
      <c r="E949" s="46"/>
      <c r="F949" s="58"/>
      <c r="G949" s="46"/>
      <c r="H949" s="46"/>
      <c r="I949" s="59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spans="1:27" ht="16.5">
      <c r="A950" s="46"/>
      <c r="B950" s="46"/>
      <c r="C950" s="57"/>
      <c r="D950" s="46"/>
      <c r="E950" s="46"/>
      <c r="F950" s="58"/>
      <c r="G950" s="46"/>
      <c r="H950" s="46"/>
      <c r="I950" s="59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spans="1:27" ht="16.5">
      <c r="A951" s="46"/>
      <c r="B951" s="46"/>
      <c r="C951" s="57"/>
      <c r="D951" s="46"/>
      <c r="E951" s="46"/>
      <c r="F951" s="58"/>
      <c r="G951" s="46"/>
      <c r="H951" s="46"/>
      <c r="I951" s="59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spans="1:27" ht="16.5">
      <c r="A952" s="46"/>
      <c r="B952" s="46"/>
      <c r="C952" s="57"/>
      <c r="D952" s="46"/>
      <c r="E952" s="46"/>
      <c r="F952" s="58"/>
      <c r="G952" s="46"/>
      <c r="H952" s="46"/>
      <c r="I952" s="59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spans="1:27" ht="16.5">
      <c r="A953" s="46"/>
      <c r="B953" s="46"/>
      <c r="C953" s="57"/>
      <c r="D953" s="46"/>
      <c r="E953" s="46"/>
      <c r="F953" s="58"/>
      <c r="G953" s="46"/>
      <c r="H953" s="46"/>
      <c r="I953" s="59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spans="1:27" ht="16.5">
      <c r="A954" s="46"/>
      <c r="B954" s="46"/>
      <c r="C954" s="57"/>
      <c r="D954" s="46"/>
      <c r="E954" s="46"/>
      <c r="F954" s="58"/>
      <c r="G954" s="46"/>
      <c r="H954" s="46"/>
      <c r="I954" s="59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spans="1:27" ht="16.5">
      <c r="A955" s="46"/>
      <c r="B955" s="46"/>
      <c r="C955" s="57"/>
      <c r="D955" s="46"/>
      <c r="E955" s="46"/>
      <c r="F955" s="58"/>
      <c r="G955" s="46"/>
      <c r="H955" s="46"/>
      <c r="I955" s="59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spans="1:27" ht="16.5">
      <c r="A956" s="46"/>
      <c r="B956" s="46"/>
      <c r="C956" s="57"/>
      <c r="D956" s="46"/>
      <c r="E956" s="46"/>
      <c r="F956" s="58"/>
      <c r="G956" s="46"/>
      <c r="H956" s="46"/>
      <c r="I956" s="59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spans="1:27" ht="16.5">
      <c r="A957" s="46"/>
      <c r="B957" s="46"/>
      <c r="C957" s="57"/>
      <c r="D957" s="46"/>
      <c r="E957" s="46"/>
      <c r="F957" s="58"/>
      <c r="G957" s="46"/>
      <c r="H957" s="46"/>
      <c r="I957" s="59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spans="1:27" ht="16.5">
      <c r="A958" s="46"/>
      <c r="B958" s="46"/>
      <c r="C958" s="57"/>
      <c r="D958" s="46"/>
      <c r="E958" s="46"/>
      <c r="F958" s="58"/>
      <c r="G958" s="46"/>
      <c r="H958" s="46"/>
      <c r="I958" s="59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spans="1:27" ht="16.5">
      <c r="A959" s="46"/>
      <c r="B959" s="46"/>
      <c r="C959" s="57"/>
      <c r="D959" s="46"/>
      <c r="E959" s="46"/>
      <c r="F959" s="58"/>
      <c r="G959" s="46"/>
      <c r="H959" s="46"/>
      <c r="I959" s="59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spans="1:27" ht="16.5">
      <c r="A960" s="46"/>
      <c r="B960" s="46"/>
      <c r="C960" s="57"/>
      <c r="D960" s="46"/>
      <c r="E960" s="46"/>
      <c r="F960" s="58"/>
      <c r="G960" s="46"/>
      <c r="H960" s="46"/>
      <c r="I960" s="59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spans="1:27" ht="16.5">
      <c r="A961" s="46"/>
      <c r="B961" s="46"/>
      <c r="C961" s="57"/>
      <c r="D961" s="46"/>
      <c r="E961" s="46"/>
      <c r="F961" s="58"/>
      <c r="G961" s="46"/>
      <c r="H961" s="46"/>
      <c r="I961" s="59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spans="1:27" ht="16.5">
      <c r="A962" s="46"/>
      <c r="B962" s="46"/>
      <c r="C962" s="57"/>
      <c r="D962" s="46"/>
      <c r="E962" s="46"/>
      <c r="F962" s="58"/>
      <c r="G962" s="46"/>
      <c r="H962" s="46"/>
      <c r="I962" s="59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spans="1:27" ht="16.5">
      <c r="A963" s="46"/>
      <c r="B963" s="46"/>
      <c r="C963" s="57"/>
      <c r="D963" s="46"/>
      <c r="E963" s="46"/>
      <c r="F963" s="58"/>
      <c r="G963" s="46"/>
      <c r="H963" s="46"/>
      <c r="I963" s="59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spans="1:27" ht="16.5">
      <c r="A964" s="46"/>
      <c r="B964" s="46"/>
      <c r="C964" s="57"/>
      <c r="D964" s="46"/>
      <c r="E964" s="46"/>
      <c r="F964" s="58"/>
      <c r="G964" s="46"/>
      <c r="H964" s="46"/>
      <c r="I964" s="59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spans="1:27" ht="16.5">
      <c r="A965" s="46"/>
      <c r="B965" s="46"/>
      <c r="C965" s="57"/>
      <c r="D965" s="46"/>
      <c r="E965" s="46"/>
      <c r="F965" s="58"/>
      <c r="G965" s="46"/>
      <c r="H965" s="46"/>
      <c r="I965" s="59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spans="1:27" ht="16.5">
      <c r="A966" s="46"/>
      <c r="B966" s="46"/>
      <c r="C966" s="57"/>
      <c r="D966" s="46"/>
      <c r="E966" s="46"/>
      <c r="F966" s="58"/>
      <c r="G966" s="46"/>
      <c r="H966" s="46"/>
      <c r="I966" s="59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spans="1:27" ht="16.5">
      <c r="A967" s="46"/>
      <c r="B967" s="46"/>
      <c r="C967" s="57"/>
      <c r="D967" s="46"/>
      <c r="E967" s="46"/>
      <c r="F967" s="58"/>
      <c r="G967" s="46"/>
      <c r="H967" s="46"/>
      <c r="I967" s="59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spans="1:27" ht="16.5">
      <c r="A968" s="46"/>
      <c r="B968" s="46"/>
      <c r="C968" s="57"/>
      <c r="D968" s="46"/>
      <c r="E968" s="46"/>
      <c r="F968" s="58"/>
      <c r="G968" s="46"/>
      <c r="H968" s="46"/>
      <c r="I968" s="59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spans="1:27" ht="16.5">
      <c r="A969" s="46"/>
      <c r="B969" s="46"/>
      <c r="C969" s="57"/>
      <c r="D969" s="46"/>
      <c r="E969" s="46"/>
      <c r="F969" s="58"/>
      <c r="G969" s="46"/>
      <c r="H969" s="46"/>
      <c r="I969" s="59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spans="1:27" ht="16.5">
      <c r="A970" s="46"/>
      <c r="B970" s="46"/>
      <c r="C970" s="57"/>
      <c r="D970" s="46"/>
      <c r="E970" s="46"/>
      <c r="F970" s="58"/>
      <c r="G970" s="46"/>
      <c r="H970" s="46"/>
      <c r="I970" s="59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27" ht="16.5">
      <c r="A971" s="46"/>
      <c r="B971" s="46"/>
      <c r="C971" s="57"/>
      <c r="D971" s="46"/>
      <c r="E971" s="46"/>
      <c r="F971" s="58"/>
      <c r="G971" s="46"/>
      <c r="H971" s="46"/>
      <c r="I971" s="59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27" ht="16.5">
      <c r="A972" s="46"/>
      <c r="B972" s="46"/>
      <c r="C972" s="57"/>
      <c r="D972" s="46"/>
      <c r="E972" s="46"/>
      <c r="F972" s="58"/>
      <c r="G972" s="46"/>
      <c r="H972" s="46"/>
      <c r="I972" s="59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27" ht="16.5">
      <c r="A973" s="46"/>
      <c r="B973" s="46"/>
      <c r="C973" s="57"/>
      <c r="D973" s="46"/>
      <c r="E973" s="46"/>
      <c r="F973" s="58"/>
      <c r="G973" s="46"/>
      <c r="H973" s="46"/>
      <c r="I973" s="59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spans="1:27" ht="16.5">
      <c r="A974" s="46"/>
      <c r="B974" s="46"/>
      <c r="C974" s="57"/>
      <c r="D974" s="46"/>
      <c r="E974" s="46"/>
      <c r="F974" s="58"/>
      <c r="G974" s="46"/>
      <c r="H974" s="46"/>
      <c r="I974" s="59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spans="1:27" ht="16.5">
      <c r="A975" s="46"/>
      <c r="B975" s="46"/>
      <c r="C975" s="57"/>
      <c r="D975" s="46"/>
      <c r="E975" s="46"/>
      <c r="F975" s="58"/>
      <c r="G975" s="46"/>
      <c r="H975" s="46"/>
      <c r="I975" s="59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spans="1:27" ht="16.5">
      <c r="A976" s="46"/>
      <c r="B976" s="46"/>
      <c r="C976" s="57"/>
      <c r="D976" s="46"/>
      <c r="E976" s="46"/>
      <c r="F976" s="58"/>
      <c r="G976" s="46"/>
      <c r="H976" s="46"/>
      <c r="I976" s="59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spans="1:27" ht="16.5">
      <c r="A977" s="46"/>
      <c r="B977" s="46"/>
      <c r="C977" s="57"/>
      <c r="D977" s="46"/>
      <c r="E977" s="46"/>
      <c r="F977" s="58"/>
      <c r="G977" s="46"/>
      <c r="H977" s="46"/>
      <c r="I977" s="59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spans="1:27" ht="16.5">
      <c r="A978" s="46"/>
      <c r="B978" s="46"/>
      <c r="C978" s="57"/>
      <c r="D978" s="46"/>
      <c r="E978" s="46"/>
      <c r="F978" s="58"/>
      <c r="G978" s="46"/>
      <c r="H978" s="46"/>
      <c r="I978" s="59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spans="1:27" ht="16.5">
      <c r="A979" s="46"/>
      <c r="B979" s="46"/>
      <c r="C979" s="57"/>
      <c r="D979" s="46"/>
      <c r="E979" s="46"/>
      <c r="F979" s="58"/>
      <c r="G979" s="46"/>
      <c r="H979" s="46"/>
      <c r="I979" s="59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spans="1:27" ht="16.5">
      <c r="A980" s="46"/>
      <c r="B980" s="46"/>
      <c r="C980" s="57"/>
      <c r="D980" s="46"/>
      <c r="E980" s="46"/>
      <c r="F980" s="58"/>
      <c r="G980" s="46"/>
      <c r="H980" s="46"/>
      <c r="I980" s="59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spans="1:27" ht="16.5">
      <c r="A981" s="46"/>
      <c r="B981" s="46"/>
      <c r="C981" s="57"/>
      <c r="D981" s="46"/>
      <c r="E981" s="46"/>
      <c r="F981" s="58"/>
      <c r="G981" s="46"/>
      <c r="H981" s="46"/>
      <c r="I981" s="59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spans="1:27" ht="16.5">
      <c r="A982" s="46"/>
      <c r="B982" s="46"/>
      <c r="C982" s="57"/>
      <c r="D982" s="46"/>
      <c r="E982" s="46"/>
      <c r="F982" s="58"/>
      <c r="G982" s="46"/>
      <c r="H982" s="46"/>
      <c r="I982" s="59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spans="1:27" ht="16.5">
      <c r="A983" s="46"/>
      <c r="B983" s="46"/>
      <c r="C983" s="57"/>
      <c r="D983" s="46"/>
      <c r="E983" s="46"/>
      <c r="F983" s="58"/>
      <c r="G983" s="46"/>
      <c r="H983" s="46"/>
      <c r="I983" s="59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spans="1:27" ht="16.5">
      <c r="A984" s="46"/>
      <c r="B984" s="46"/>
      <c r="C984" s="57"/>
      <c r="D984" s="46"/>
      <c r="E984" s="46"/>
      <c r="F984" s="58"/>
      <c r="G984" s="46"/>
      <c r="H984" s="46"/>
      <c r="I984" s="59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spans="1:27" ht="16.5">
      <c r="A985" s="46"/>
      <c r="B985" s="46"/>
      <c r="C985" s="57"/>
      <c r="D985" s="46"/>
      <c r="E985" s="46"/>
      <c r="F985" s="58"/>
      <c r="G985" s="46"/>
      <c r="H985" s="46"/>
      <c r="I985" s="59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spans="1:27" ht="16.5">
      <c r="A986" s="46"/>
      <c r="B986" s="46"/>
      <c r="C986" s="57"/>
      <c r="D986" s="46"/>
      <c r="E986" s="46"/>
      <c r="F986" s="58"/>
      <c r="G986" s="46"/>
      <c r="H986" s="46"/>
      <c r="I986" s="59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spans="1:27" ht="16.5">
      <c r="A987" s="46"/>
      <c r="B987" s="46"/>
      <c r="C987" s="57"/>
      <c r="D987" s="46"/>
      <c r="E987" s="46"/>
      <c r="F987" s="58"/>
      <c r="G987" s="46"/>
      <c r="H987" s="46"/>
      <c r="I987" s="59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spans="1:27" ht="16.5">
      <c r="A988" s="46"/>
      <c r="B988" s="46"/>
      <c r="C988" s="57"/>
      <c r="D988" s="46"/>
      <c r="E988" s="46"/>
      <c r="F988" s="58"/>
      <c r="G988" s="46"/>
      <c r="H988" s="46"/>
      <c r="I988" s="59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spans="1:27" ht="16.5">
      <c r="A989" s="46"/>
      <c r="B989" s="46"/>
      <c r="C989" s="57"/>
      <c r="D989" s="46"/>
      <c r="E989" s="46"/>
      <c r="F989" s="58"/>
      <c r="G989" s="46"/>
      <c r="H989" s="46"/>
      <c r="I989" s="59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spans="1:27" ht="16.5">
      <c r="A990" s="46"/>
      <c r="B990" s="46"/>
      <c r="C990" s="57"/>
      <c r="D990" s="46"/>
      <c r="E990" s="46"/>
      <c r="F990" s="58"/>
      <c r="G990" s="46"/>
      <c r="H990" s="46"/>
      <c r="I990" s="59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spans="1:27" ht="16.5">
      <c r="A991" s="46"/>
      <c r="B991" s="46"/>
      <c r="C991" s="57"/>
      <c r="D991" s="46"/>
      <c r="E991" s="46"/>
      <c r="F991" s="58"/>
      <c r="G991" s="46"/>
      <c r="H991" s="46"/>
      <c r="I991" s="59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spans="1:27" ht="16.5">
      <c r="A992" s="46"/>
      <c r="B992" s="46"/>
      <c r="C992" s="57"/>
      <c r="D992" s="46"/>
      <c r="E992" s="46"/>
      <c r="F992" s="58"/>
      <c r="G992" s="46"/>
      <c r="H992" s="46"/>
      <c r="I992" s="59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spans="1:27" ht="16.5">
      <c r="A993" s="46"/>
      <c r="B993" s="46"/>
      <c r="C993" s="57"/>
      <c r="D993" s="46"/>
      <c r="E993" s="46"/>
      <c r="F993" s="58"/>
      <c r="G993" s="46"/>
      <c r="H993" s="46"/>
      <c r="I993" s="59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spans="1:27" ht="16.5">
      <c r="A994" s="46"/>
      <c r="B994" s="46"/>
      <c r="C994" s="57"/>
      <c r="D994" s="46"/>
      <c r="E994" s="46"/>
      <c r="F994" s="58"/>
      <c r="G994" s="46"/>
      <c r="H994" s="46"/>
      <c r="I994" s="59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spans="1:27" ht="16.5">
      <c r="A995" s="46"/>
      <c r="B995" s="46"/>
      <c r="C995" s="57"/>
      <c r="D995" s="46"/>
      <c r="E995" s="46"/>
      <c r="F995" s="58"/>
      <c r="G995" s="46"/>
      <c r="H995" s="46"/>
      <c r="I995" s="59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spans="1:27" ht="16.5">
      <c r="A996" s="46"/>
      <c r="B996" s="46"/>
      <c r="C996" s="57"/>
      <c r="D996" s="46"/>
      <c r="E996" s="46"/>
      <c r="F996" s="58"/>
      <c r="G996" s="46"/>
      <c r="H996" s="46"/>
      <c r="I996" s="59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spans="1:27" ht="16.5">
      <c r="A997" s="46"/>
      <c r="B997" s="46"/>
      <c r="C997" s="57"/>
      <c r="D997" s="46"/>
      <c r="E997" s="46"/>
      <c r="F997" s="58"/>
      <c r="G997" s="46"/>
      <c r="H997" s="46"/>
      <c r="I997" s="59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spans="1:27" ht="16.5">
      <c r="A998" s="46"/>
      <c r="B998" s="46"/>
      <c r="C998" s="57"/>
      <c r="D998" s="46"/>
      <c r="E998" s="46"/>
      <c r="F998" s="58"/>
      <c r="G998" s="46"/>
      <c r="H998" s="46"/>
      <c r="I998" s="59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spans="1:27" ht="16.5">
      <c r="A999" s="46"/>
      <c r="B999" s="46"/>
      <c r="C999" s="57"/>
      <c r="D999" s="46"/>
      <c r="E999" s="46"/>
      <c r="F999" s="58"/>
      <c r="G999" s="46"/>
      <c r="H999" s="46"/>
      <c r="I999" s="59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spans="1:27" ht="16.5">
      <c r="A1000" s="46"/>
      <c r="B1000" s="46"/>
      <c r="C1000" s="57"/>
      <c r="D1000" s="46"/>
      <c r="E1000" s="46"/>
      <c r="F1000" s="58"/>
      <c r="G1000" s="46"/>
      <c r="H1000" s="46"/>
      <c r="I1000" s="59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</sheetData>
  <mergeCells count="6">
    <mergeCell ref="A3:B3"/>
    <mergeCell ref="D3:E3"/>
    <mergeCell ref="G3:H3"/>
    <mergeCell ref="A9:B9"/>
    <mergeCell ref="D9:E9"/>
    <mergeCell ref="G9:H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827-C2DD-4942-ABD2-C16BAE6FE862}">
  <sheetPr>
    <tabColor rgb="FFFF0000"/>
    <outlinePr summaryBelow="0" summaryRight="0"/>
  </sheetPr>
  <dimension ref="A1:R43"/>
  <sheetViews>
    <sheetView showGridLines="0" tabSelected="1" zoomScaleNormal="100" workbookViewId="0">
      <selection activeCell="R7" sqref="R7"/>
    </sheetView>
  </sheetViews>
  <sheetFormatPr defaultColWidth="12.5703125" defaultRowHeight="15.75" customHeight="1"/>
  <cols>
    <col min="1" max="1" width="19.140625" customWidth="1"/>
    <col min="2" max="2" width="58.85546875" customWidth="1"/>
    <col min="3" max="3" width="8.5703125" customWidth="1"/>
    <col min="4" max="4" width="8.7109375" style="92" bestFit="1" customWidth="1"/>
    <col min="5" max="5" width="12.28515625" style="118" customWidth="1"/>
    <col min="6" max="6" width="13.28515625" bestFit="1" customWidth="1"/>
    <col min="8" max="8" width="7.42578125" hidden="1" customWidth="1"/>
    <col min="9" max="9" width="0" hidden="1" customWidth="1"/>
    <col min="10" max="10" width="141.42578125" hidden="1" customWidth="1"/>
    <col min="11" max="17" width="0" hidden="1" customWidth="1"/>
  </cols>
  <sheetData>
    <row r="1" spans="1:18" ht="15.75" customHeight="1">
      <c r="A1" s="202" t="s">
        <v>219</v>
      </c>
      <c r="B1" s="203"/>
      <c r="C1" s="203"/>
      <c r="D1" s="203"/>
      <c r="E1" s="203"/>
      <c r="F1" s="203"/>
      <c r="G1" s="60"/>
      <c r="H1" s="60"/>
      <c r="I1" s="61"/>
      <c r="J1" s="61"/>
      <c r="K1" s="61"/>
      <c r="L1" s="61"/>
      <c r="M1" s="61"/>
      <c r="N1" s="61"/>
      <c r="O1" s="61"/>
      <c r="P1" s="61"/>
    </row>
    <row r="2" spans="1:18" ht="15.75" customHeight="1">
      <c r="A2" s="200" t="s">
        <v>220</v>
      </c>
      <c r="B2" s="201"/>
      <c r="C2" s="201"/>
      <c r="D2" s="201"/>
      <c r="E2" s="201"/>
      <c r="F2" s="201"/>
      <c r="G2" s="65"/>
      <c r="H2" s="65"/>
      <c r="I2" s="61"/>
      <c r="J2" s="61"/>
      <c r="K2" s="61"/>
      <c r="L2" s="61"/>
      <c r="M2" s="61"/>
      <c r="N2" s="61"/>
      <c r="O2" s="61"/>
      <c r="P2" s="61"/>
    </row>
    <row r="3" spans="1:18" ht="15.75" customHeight="1">
      <c r="A3" s="62"/>
      <c r="B3" s="62"/>
      <c r="C3" s="66"/>
      <c r="D3" s="88"/>
      <c r="E3" s="84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8" s="92" customFormat="1" ht="24.75" customHeight="1">
      <c r="A4" s="135" t="s">
        <v>221</v>
      </c>
      <c r="B4" s="136" t="s">
        <v>275</v>
      </c>
      <c r="C4" s="139" t="s">
        <v>313</v>
      </c>
      <c r="D4" s="140" t="s">
        <v>314</v>
      </c>
      <c r="E4" s="141" t="s">
        <v>223</v>
      </c>
      <c r="F4" s="141" t="s">
        <v>281</v>
      </c>
      <c r="G4" s="212"/>
      <c r="H4" s="213"/>
      <c r="I4" s="134"/>
      <c r="J4" s="91"/>
      <c r="K4" s="91"/>
      <c r="L4" s="91"/>
      <c r="M4" s="91"/>
      <c r="N4" s="91"/>
      <c r="O4" s="91"/>
      <c r="P4" s="91"/>
      <c r="R4" s="224" t="s">
        <v>311</v>
      </c>
    </row>
    <row r="5" spans="1:18" ht="15.75" customHeight="1">
      <c r="A5" s="143"/>
      <c r="B5" s="144" t="str">
        <f>IFERROR(VLOOKUP(A5,'Tabela de preços'!A:B,2,FALSE),"")</f>
        <v/>
      </c>
      <c r="C5" s="126"/>
      <c r="D5" s="125" t="str">
        <f>IFERROR(VLOOKUP(A5,'Tabela de preços'!A:C,3,FALSE),"")</f>
        <v/>
      </c>
      <c r="E5" s="125" t="str">
        <f>IFERROR(VLOOKUP(B5,Tabela_preços[[DESCRIÇÃO]:[VALOR]],3,FALSE),"0")</f>
        <v>0</v>
      </c>
      <c r="F5" s="127">
        <f>E5*C5</f>
        <v>0</v>
      </c>
      <c r="G5" s="65"/>
      <c r="H5" s="70"/>
      <c r="I5" s="70"/>
      <c r="J5" s="65"/>
      <c r="K5" s="61"/>
      <c r="L5" s="61"/>
      <c r="M5" s="61"/>
      <c r="N5" s="61"/>
      <c r="O5" s="61"/>
      <c r="P5" s="61"/>
      <c r="R5" s="225" t="s">
        <v>318</v>
      </c>
    </row>
    <row r="6" spans="1:18" ht="15.75" customHeight="1">
      <c r="A6" s="143"/>
      <c r="B6" s="144" t="str">
        <f>IFERROR(VLOOKUP(A6,'Tabela de preços'!A:B,2,FALSE),"")</f>
        <v/>
      </c>
      <c r="C6" s="126"/>
      <c r="D6" s="125" t="str">
        <f>IFERROR(VLOOKUP(A6,'Tabela de preços'!A:C,3,FALSE),"")</f>
        <v/>
      </c>
      <c r="E6" s="125" t="str">
        <f>IFERROR(VLOOKUP(B6,Tabela_preços[[DESCRIÇÃO]:[VALOR]],3,FALSE),"0")</f>
        <v>0</v>
      </c>
      <c r="F6" s="127">
        <f t="shared" ref="F6:F9" si="0">E6*C6</f>
        <v>0</v>
      </c>
      <c r="G6" s="65"/>
      <c r="H6" s="70"/>
      <c r="I6" s="70"/>
      <c r="J6" s="65"/>
      <c r="K6" s="61"/>
      <c r="L6" s="61"/>
      <c r="M6" s="61"/>
      <c r="N6" s="61"/>
      <c r="O6" s="61"/>
      <c r="P6" s="61"/>
      <c r="R6" s="225" t="s">
        <v>319</v>
      </c>
    </row>
    <row r="7" spans="1:18" ht="15.75" customHeight="1">
      <c r="A7" s="143"/>
      <c r="B7" s="144" t="str">
        <f>IFERROR(VLOOKUP(A7,'Tabela de preços'!A:B,2,FALSE),"")</f>
        <v/>
      </c>
      <c r="C7" s="126"/>
      <c r="D7" s="125" t="str">
        <f>IFERROR(VLOOKUP(A7,'Tabela de preços'!A:C,3,FALSE),"")</f>
        <v/>
      </c>
      <c r="E7" s="125" t="str">
        <f>IFERROR(VLOOKUP(B7,Tabela_preços[[DESCRIÇÃO]:[VALOR]],3,FALSE),"0")</f>
        <v>0</v>
      </c>
      <c r="F7" s="127">
        <f t="shared" si="0"/>
        <v>0</v>
      </c>
      <c r="G7" s="65"/>
      <c r="H7" s="70"/>
      <c r="I7" s="70"/>
      <c r="J7" s="65"/>
      <c r="K7" s="61"/>
      <c r="L7" s="61"/>
      <c r="M7" s="61"/>
      <c r="N7" s="61"/>
      <c r="O7" s="61"/>
      <c r="P7" s="61"/>
    </row>
    <row r="8" spans="1:18" ht="15.75" customHeight="1">
      <c r="A8" s="143"/>
      <c r="B8" s="144" t="str">
        <f>IFERROR(VLOOKUP(A8,'Tabela de preços'!A:B,2,FALSE),"")</f>
        <v/>
      </c>
      <c r="C8" s="126"/>
      <c r="D8" s="125" t="str">
        <f>IFERROR(VLOOKUP(A8,'Tabela de preços'!A:C,3,FALSE),"")</f>
        <v/>
      </c>
      <c r="E8" s="125" t="str">
        <f>IFERROR(VLOOKUP(B8,Tabela_preços[[DESCRIÇÃO]:[VALOR]],3,FALSE),"0")</f>
        <v>0</v>
      </c>
      <c r="F8" s="127">
        <f t="shared" si="0"/>
        <v>0</v>
      </c>
      <c r="G8" s="65"/>
      <c r="H8" s="70"/>
      <c r="I8" s="70"/>
      <c r="J8" s="65"/>
      <c r="K8" s="61"/>
      <c r="L8" s="61"/>
      <c r="M8" s="61"/>
      <c r="N8" s="61"/>
      <c r="O8" s="61"/>
      <c r="P8" s="61"/>
    </row>
    <row r="9" spans="1:18" ht="15.75" customHeight="1">
      <c r="A9" s="143"/>
      <c r="B9" s="144" t="str">
        <f>IFERROR(VLOOKUP(A9,'Tabela de preços'!A:B,2,FALSE),"")</f>
        <v/>
      </c>
      <c r="C9" s="126"/>
      <c r="D9" s="125" t="str">
        <f>IFERROR(VLOOKUP(A9,'Tabela de preços'!A:C,3,FALSE),"")</f>
        <v/>
      </c>
      <c r="E9" s="125" t="str">
        <f>IFERROR(VLOOKUP(B9,Tabela_preços[[DESCRIÇÃO]:[VALOR]],3,FALSE),"0")</f>
        <v>0</v>
      </c>
      <c r="F9" s="127">
        <f t="shared" si="0"/>
        <v>0</v>
      </c>
      <c r="G9" s="65"/>
      <c r="H9" s="70"/>
      <c r="I9" s="70"/>
      <c r="J9" s="65"/>
      <c r="K9" s="61"/>
      <c r="L9" s="61"/>
      <c r="M9" s="61"/>
      <c r="N9" s="61"/>
      <c r="O9" s="61"/>
      <c r="P9" s="61"/>
    </row>
    <row r="10" spans="1:18" ht="15.75" customHeight="1">
      <c r="A10" s="143"/>
      <c r="B10" s="144" t="str">
        <f>IFERROR(VLOOKUP(A10,'Tabela de preços'!A:B,2,FALSE),"")</f>
        <v/>
      </c>
      <c r="C10" s="126"/>
      <c r="D10" s="125" t="str">
        <f>IFERROR(VLOOKUP(A10,'Tabela de preços'!A:C,3,FALSE),"")</f>
        <v/>
      </c>
      <c r="E10" s="125" t="str">
        <f>IFERROR(VLOOKUP(B10,Tabela_preços[[DESCRIÇÃO]:[VALOR]],3,FALSE),"0")</f>
        <v>0</v>
      </c>
      <c r="F10" s="127">
        <f t="shared" ref="F10:F14" si="1">E10*C10</f>
        <v>0</v>
      </c>
      <c r="G10" s="65"/>
      <c r="H10" s="198"/>
      <c r="I10" s="199"/>
      <c r="J10" s="65"/>
      <c r="K10" s="61"/>
      <c r="L10" s="61"/>
      <c r="M10" s="61"/>
      <c r="N10" s="61"/>
      <c r="O10" s="61"/>
      <c r="P10" s="61"/>
    </row>
    <row r="11" spans="1:18" ht="15.75" customHeight="1">
      <c r="A11" s="143"/>
      <c r="B11" s="144" t="str">
        <f>IFERROR(VLOOKUP(A11,'Tabela de preços'!A:B,2,FALSE),"")</f>
        <v/>
      </c>
      <c r="C11" s="126"/>
      <c r="D11" s="125" t="str">
        <f>IFERROR(VLOOKUP(A11,'Tabela de preços'!A:C,3,FALSE),"")</f>
        <v/>
      </c>
      <c r="E11" s="125" t="str">
        <f>IFERROR(VLOOKUP(B11,Tabela_preços[[DESCRIÇÃO]:[VALOR]],3,FALSE),"0")</f>
        <v>0</v>
      </c>
      <c r="F11" s="127">
        <f t="shared" si="1"/>
        <v>0</v>
      </c>
      <c r="G11" s="65"/>
      <c r="H11" s="198"/>
      <c r="I11" s="199"/>
      <c r="J11" s="65"/>
      <c r="K11" s="61"/>
      <c r="L11" s="61"/>
      <c r="M11" s="61"/>
      <c r="N11" s="61"/>
      <c r="O11" s="61"/>
      <c r="P11" s="61"/>
    </row>
    <row r="12" spans="1:18" ht="15.75" customHeight="1">
      <c r="A12" s="143"/>
      <c r="B12" s="144" t="str">
        <f>IFERROR(VLOOKUP(A12,'Tabela de preços'!A:B,2,FALSE),"")</f>
        <v/>
      </c>
      <c r="C12" s="126"/>
      <c r="D12" s="125" t="str">
        <f>IFERROR(VLOOKUP(A12,'Tabela de preços'!A:C,3,FALSE),"")</f>
        <v/>
      </c>
      <c r="E12" s="125" t="str">
        <f>IFERROR(VLOOKUP(B12,Tabela_preços[[DESCRIÇÃO]:[VALOR]],3,FALSE),"0")</f>
        <v>0</v>
      </c>
      <c r="F12" s="127">
        <f t="shared" si="1"/>
        <v>0</v>
      </c>
      <c r="G12" s="65"/>
      <c r="H12" s="198"/>
      <c r="I12" s="199"/>
      <c r="J12" s="65"/>
      <c r="K12" s="61"/>
      <c r="L12" s="61"/>
      <c r="M12" s="61"/>
      <c r="N12" s="61"/>
      <c r="O12" s="61"/>
      <c r="P12" s="61"/>
    </row>
    <row r="13" spans="1:18" ht="15.75" customHeight="1">
      <c r="A13" s="143"/>
      <c r="B13" s="144" t="str">
        <f>IFERROR(VLOOKUP(A13,'Tabela de preços'!A:B,2,FALSE),"")</f>
        <v/>
      </c>
      <c r="C13" s="126"/>
      <c r="D13" s="125" t="str">
        <f>IFERROR(VLOOKUP(A13,'Tabela de preços'!A:C,3,FALSE),"")</f>
        <v/>
      </c>
      <c r="E13" s="125" t="str">
        <f>IFERROR(VLOOKUP(B13,Tabela_preços[[DESCRIÇÃO]:[VALOR]],3,FALSE),"0")</f>
        <v>0</v>
      </c>
      <c r="F13" s="127">
        <f t="shared" si="1"/>
        <v>0</v>
      </c>
      <c r="G13" s="65"/>
      <c r="H13" s="70"/>
      <c r="I13" s="70"/>
      <c r="J13" s="65"/>
      <c r="K13" s="61"/>
      <c r="L13" s="61"/>
      <c r="M13" s="61"/>
      <c r="N13" s="61"/>
      <c r="O13" s="61"/>
      <c r="P13" s="61"/>
    </row>
    <row r="14" spans="1:18" ht="15.75" customHeight="1">
      <c r="A14" s="143"/>
      <c r="B14" s="144" t="str">
        <f>IFERROR(VLOOKUP(A14,'Tabela de preços'!A:B,2,FALSE),"")</f>
        <v/>
      </c>
      <c r="C14" s="126"/>
      <c r="D14" s="125" t="str">
        <f>IFERROR(VLOOKUP(A14,'Tabela de preços'!A:C,3,FALSE),"")</f>
        <v/>
      </c>
      <c r="E14" s="125" t="str">
        <f>IFERROR(VLOOKUP(B14,Tabela_preços[[DESCRIÇÃO]:[VALOR]],3,FALSE),"0")</f>
        <v>0</v>
      </c>
      <c r="F14" s="127">
        <f t="shared" si="1"/>
        <v>0</v>
      </c>
      <c r="G14" s="65"/>
      <c r="H14" s="204" t="s">
        <v>233</v>
      </c>
      <c r="I14" s="205"/>
      <c r="J14" s="206" t="s">
        <v>234</v>
      </c>
      <c r="K14" s="207"/>
      <c r="L14" s="207"/>
      <c r="M14" s="207"/>
      <c r="N14" s="207"/>
      <c r="O14" s="207"/>
      <c r="P14" s="205"/>
    </row>
    <row r="15" spans="1:18" ht="15.75" customHeight="1">
      <c r="A15" s="67"/>
      <c r="B15" s="70"/>
      <c r="C15" s="71"/>
      <c r="D15" s="89"/>
      <c r="E15" s="187"/>
      <c r="F15" s="70"/>
      <c r="G15" s="65"/>
      <c r="H15" s="67"/>
      <c r="I15" s="67"/>
      <c r="J15" s="67"/>
      <c r="K15" s="67"/>
      <c r="L15" s="67"/>
      <c r="M15" s="67"/>
      <c r="N15" s="67"/>
      <c r="O15" s="67"/>
      <c r="P15" s="67"/>
    </row>
    <row r="16" spans="1:18" ht="24" customHeight="1">
      <c r="A16" s="142" t="s">
        <v>235</v>
      </c>
      <c r="B16" s="188"/>
      <c r="C16" s="139" t="s">
        <v>313</v>
      </c>
      <c r="D16" s="140" t="s">
        <v>314</v>
      </c>
      <c r="E16" s="141" t="s">
        <v>223</v>
      </c>
      <c r="F16" s="141" t="s">
        <v>281</v>
      </c>
      <c r="G16" s="62"/>
      <c r="H16" s="65"/>
      <c r="I16" s="62"/>
      <c r="J16" s="62"/>
      <c r="K16" s="61"/>
      <c r="L16" s="61"/>
      <c r="M16" s="61"/>
      <c r="N16" s="61"/>
      <c r="O16" s="61"/>
      <c r="P16" s="61"/>
    </row>
    <row r="17" spans="1:16" ht="15.75" customHeight="1">
      <c r="A17" s="143"/>
      <c r="B17" s="144" t="str">
        <f>IFERROR(VLOOKUP(A17,'Tabela de preços'!A:B,2,FALSE),"")</f>
        <v/>
      </c>
      <c r="C17" s="126"/>
      <c r="D17" s="125" t="str">
        <f>IFERROR(VLOOKUP(A17,'Tabela de preços'!A:C,3,FALSE),"")</f>
        <v/>
      </c>
      <c r="E17" s="125" t="str">
        <f>IFERROR(VLOOKUP(B17,Tabela_preços[[DESCRIÇÃO]:[VALOR]],3,FALSE),"0")</f>
        <v>0</v>
      </c>
      <c r="F17" s="127">
        <f t="shared" ref="F17:F33" si="2">E17*C17</f>
        <v>0</v>
      </c>
      <c r="G17" s="65"/>
      <c r="H17" s="70"/>
      <c r="I17" s="70"/>
      <c r="J17" s="65"/>
      <c r="K17" s="61"/>
      <c r="L17" s="61"/>
      <c r="M17" s="61"/>
      <c r="N17" s="61"/>
      <c r="O17" s="61"/>
      <c r="P17" s="61"/>
    </row>
    <row r="18" spans="1:16" ht="15.75" customHeight="1">
      <c r="A18" s="143"/>
      <c r="B18" s="144" t="str">
        <f>IFERROR(VLOOKUP(A18,'Tabela de preços'!A:B,2,FALSE),"")</f>
        <v/>
      </c>
      <c r="C18" s="126"/>
      <c r="D18" s="125" t="str">
        <f>IFERROR(VLOOKUP(A18,'Tabela de preços'!A:C,3,FALSE),"")</f>
        <v/>
      </c>
      <c r="E18" s="125" t="str">
        <f>IFERROR(VLOOKUP(B18,Tabela_preços[[DESCRIÇÃO]:[VALOR]],3,FALSE),"0")</f>
        <v>0</v>
      </c>
      <c r="F18" s="127">
        <f t="shared" si="2"/>
        <v>0</v>
      </c>
      <c r="G18" s="65"/>
      <c r="H18" s="208" t="s">
        <v>238</v>
      </c>
      <c r="I18" s="209"/>
      <c r="J18" s="210" t="s">
        <v>239</v>
      </c>
      <c r="K18" s="211"/>
      <c r="L18" s="211"/>
      <c r="M18" s="211"/>
      <c r="N18" s="211"/>
      <c r="O18" s="211"/>
      <c r="P18" s="209"/>
    </row>
    <row r="19" spans="1:16" ht="15.75" customHeight="1">
      <c r="A19" s="143"/>
      <c r="B19" s="144" t="str">
        <f>IFERROR(VLOOKUP(A19,'Tabela de preços'!A:B,2,FALSE),"")</f>
        <v/>
      </c>
      <c r="C19" s="126"/>
      <c r="D19" s="125" t="str">
        <f>IFERROR(VLOOKUP(A19,'Tabela de preços'!A:C,3,FALSE),"")</f>
        <v/>
      </c>
      <c r="E19" s="125" t="str">
        <f>IFERROR(VLOOKUP(B19,Tabela_preços[[DESCRIÇÃO]:[VALOR]],3,FALSE),"0")</f>
        <v>0</v>
      </c>
      <c r="F19" s="127">
        <f t="shared" ref="F19:F24" si="3">E19*C19</f>
        <v>0</v>
      </c>
      <c r="G19" s="65"/>
      <c r="H19" s="96"/>
      <c r="I19" s="97"/>
      <c r="J19" s="98"/>
      <c r="K19" s="99"/>
      <c r="L19" s="99"/>
      <c r="M19" s="99"/>
      <c r="N19" s="99"/>
      <c r="O19" s="99"/>
      <c r="P19" s="97"/>
    </row>
    <row r="20" spans="1:16" ht="15.75" customHeight="1">
      <c r="A20" s="143"/>
      <c r="B20" s="144" t="str">
        <f>IFERROR(VLOOKUP(A20,'Tabela de preços'!A:B,2,FALSE),"")</f>
        <v/>
      </c>
      <c r="C20" s="126"/>
      <c r="D20" s="125" t="str">
        <f>IFERROR(VLOOKUP(A20,'Tabela de preços'!A:C,3,FALSE),"")</f>
        <v/>
      </c>
      <c r="E20" s="125" t="str">
        <f>IFERROR(VLOOKUP(B20,Tabela_preços[[DESCRIÇÃO]:[VALOR]],3,FALSE),"0")</f>
        <v>0</v>
      </c>
      <c r="F20" s="127">
        <f t="shared" si="3"/>
        <v>0</v>
      </c>
      <c r="G20" s="65"/>
      <c r="H20" s="96"/>
      <c r="I20" s="97"/>
      <c r="J20" s="98"/>
      <c r="K20" s="99"/>
      <c r="L20" s="99"/>
      <c r="M20" s="99"/>
      <c r="N20" s="99"/>
      <c r="O20" s="99"/>
      <c r="P20" s="97"/>
    </row>
    <row r="21" spans="1:16" ht="15.75" customHeight="1">
      <c r="A21" s="143"/>
      <c r="B21" s="144" t="str">
        <f>IFERROR(VLOOKUP(A21,'Tabela de preços'!A:B,2,FALSE),"")</f>
        <v/>
      </c>
      <c r="C21" s="126"/>
      <c r="D21" s="125" t="str">
        <f>IFERROR(VLOOKUP(A21,'Tabela de preços'!A:C,3,FALSE),"")</f>
        <v/>
      </c>
      <c r="E21" s="125" t="str">
        <f>IFERROR(VLOOKUP(B21,Tabela_preços[[DESCRIÇÃO]:[VALOR]],3,FALSE),"0")</f>
        <v>0</v>
      </c>
      <c r="F21" s="127">
        <f t="shared" si="3"/>
        <v>0</v>
      </c>
      <c r="G21" s="65"/>
      <c r="H21" s="96"/>
      <c r="I21" s="97"/>
      <c r="J21" s="98"/>
      <c r="K21" s="99"/>
      <c r="L21" s="99"/>
      <c r="M21" s="99"/>
      <c r="N21" s="99"/>
      <c r="O21" s="99"/>
      <c r="P21" s="97"/>
    </row>
    <row r="22" spans="1:16" ht="15.75" customHeight="1">
      <c r="A22" s="143"/>
      <c r="B22" s="144" t="str">
        <f>IFERROR(VLOOKUP(A22,'Tabela de preços'!A:B,2,FALSE),"")</f>
        <v/>
      </c>
      <c r="C22" s="126"/>
      <c r="D22" s="125" t="str">
        <f>IFERROR(VLOOKUP(A22,'Tabela de preços'!A:C,3,FALSE),"")</f>
        <v/>
      </c>
      <c r="E22" s="125" t="str">
        <f>IFERROR(VLOOKUP(B22,Tabela_preços[[DESCRIÇÃO]:[VALOR]],3,FALSE),"0")</f>
        <v>0</v>
      </c>
      <c r="F22" s="127">
        <f t="shared" si="3"/>
        <v>0</v>
      </c>
      <c r="G22" s="65"/>
      <c r="H22" s="96"/>
      <c r="I22" s="97"/>
      <c r="J22" s="98"/>
      <c r="K22" s="99"/>
      <c r="L22" s="99"/>
      <c r="M22" s="99"/>
      <c r="N22" s="99"/>
      <c r="O22" s="99"/>
      <c r="P22" s="97"/>
    </row>
    <row r="23" spans="1:16" ht="15.75" customHeight="1">
      <c r="A23" s="143"/>
      <c r="B23" s="144" t="str">
        <f>IFERROR(VLOOKUP(A23,'Tabela de preços'!A:B,2,FALSE),"")</f>
        <v/>
      </c>
      <c r="C23" s="126"/>
      <c r="D23" s="125" t="str">
        <f>IFERROR(VLOOKUP(A23,'Tabela de preços'!A:C,3,FALSE),"")</f>
        <v/>
      </c>
      <c r="E23" s="125" t="str">
        <f>IFERROR(VLOOKUP(B23,Tabela_preços[[DESCRIÇÃO]:[VALOR]],3,FALSE),"0")</f>
        <v>0</v>
      </c>
      <c r="F23" s="127">
        <f t="shared" si="3"/>
        <v>0</v>
      </c>
      <c r="G23" s="65"/>
      <c r="H23" s="96"/>
      <c r="I23" s="97"/>
      <c r="J23" s="98"/>
      <c r="K23" s="99"/>
      <c r="L23" s="99"/>
      <c r="M23" s="99"/>
      <c r="N23" s="99"/>
      <c r="O23" s="99"/>
      <c r="P23" s="97"/>
    </row>
    <row r="24" spans="1:16" ht="15.75" customHeight="1">
      <c r="A24" s="143"/>
      <c r="B24" s="144" t="str">
        <f>IFERROR(VLOOKUP(A24,'Tabela de preços'!A:B,2,FALSE),"")</f>
        <v/>
      </c>
      <c r="C24" s="126"/>
      <c r="D24" s="125" t="str">
        <f>IFERROR(VLOOKUP(A24,'Tabela de preços'!A:C,3,FALSE),"")</f>
        <v/>
      </c>
      <c r="E24" s="125" t="str">
        <f>IFERROR(VLOOKUP(B24,Tabela_preços[[DESCRIÇÃO]:[VALOR]],3,FALSE),"0")</f>
        <v>0</v>
      </c>
      <c r="F24" s="127">
        <f t="shared" si="3"/>
        <v>0</v>
      </c>
      <c r="G24" s="65"/>
      <c r="H24" s="96"/>
      <c r="I24" s="97"/>
      <c r="J24" s="98"/>
      <c r="K24" s="99"/>
      <c r="L24" s="99"/>
      <c r="M24" s="99"/>
      <c r="N24" s="99"/>
      <c r="O24" s="99"/>
      <c r="P24" s="97"/>
    </row>
    <row r="25" spans="1:16" ht="15.75" customHeight="1">
      <c r="A25" s="143"/>
      <c r="B25" s="144" t="str">
        <f>IFERROR(VLOOKUP(A25,'Tabela de preços'!A:B,2,FALSE),"")</f>
        <v/>
      </c>
      <c r="C25" s="126"/>
      <c r="D25" s="125" t="str">
        <f>IFERROR(VLOOKUP(A25,'Tabela de preços'!A:C,3,FALSE),"")</f>
        <v/>
      </c>
      <c r="E25" s="125" t="str">
        <f>IFERROR(VLOOKUP(B25,Tabela_preços[[DESCRIÇÃO]:[VALOR]],3,FALSE),"0")</f>
        <v>0</v>
      </c>
      <c r="F25" s="127">
        <f t="shared" si="2"/>
        <v>0</v>
      </c>
      <c r="G25" s="65"/>
      <c r="H25" s="208" t="s">
        <v>238</v>
      </c>
      <c r="I25" s="209"/>
      <c r="J25" s="210" t="s">
        <v>242</v>
      </c>
      <c r="K25" s="211"/>
      <c r="L25" s="211"/>
      <c r="M25" s="211"/>
      <c r="N25" s="211"/>
      <c r="O25" s="211"/>
      <c r="P25" s="209"/>
    </row>
    <row r="26" spans="1:16" ht="15.75" customHeight="1">
      <c r="A26" s="143"/>
      <c r="B26" s="144" t="str">
        <f>IFERROR(VLOOKUP(A26,'Tabela de preços'!A:B,2,FALSE),"")</f>
        <v/>
      </c>
      <c r="C26" s="126"/>
      <c r="D26" s="125" t="str">
        <f>IFERROR(VLOOKUP(A26,'Tabela de preços'!A:C,3,FALSE),"")</f>
        <v/>
      </c>
      <c r="E26" s="125" t="str">
        <f>IFERROR(VLOOKUP(B26,Tabela_preços[[DESCRIÇÃO]:[VALOR]],3,FALSE),"0")</f>
        <v>0</v>
      </c>
      <c r="F26" s="127">
        <f t="shared" si="2"/>
        <v>0</v>
      </c>
      <c r="G26" s="65"/>
      <c r="H26" s="70"/>
      <c r="I26" s="70"/>
      <c r="J26" s="65"/>
      <c r="K26" s="61"/>
      <c r="L26" s="61"/>
      <c r="M26" s="61"/>
      <c r="N26" s="61"/>
      <c r="O26" s="61"/>
      <c r="P26" s="61"/>
    </row>
    <row r="27" spans="1:16" ht="15.75" customHeight="1">
      <c r="A27" s="143"/>
      <c r="B27" s="144" t="str">
        <f>IFERROR(VLOOKUP(A27,'Tabela de preços'!A:B,2,FALSE),"")</f>
        <v/>
      </c>
      <c r="C27" s="126"/>
      <c r="D27" s="125" t="str">
        <f>IFERROR(VLOOKUP(A27,'Tabela de preços'!A:C,3,FALSE),"")</f>
        <v/>
      </c>
      <c r="E27" s="125" t="str">
        <f>IFERROR(VLOOKUP(B27,Tabela_preços[[DESCRIÇÃO]:[VALOR]],3,FALSE),"0")</f>
        <v>0</v>
      </c>
      <c r="F27" s="127">
        <f t="shared" si="2"/>
        <v>0</v>
      </c>
      <c r="G27" s="65"/>
      <c r="H27" s="70"/>
      <c r="I27" s="70"/>
      <c r="J27" s="65"/>
      <c r="K27" s="61"/>
      <c r="L27" s="61"/>
      <c r="M27" s="61"/>
      <c r="N27" s="61"/>
      <c r="O27" s="61"/>
      <c r="P27" s="61"/>
    </row>
    <row r="28" spans="1:16" ht="15.75" customHeight="1">
      <c r="A28" s="143"/>
      <c r="B28" s="144" t="str">
        <f>IFERROR(VLOOKUP(A28,'Tabela de preços'!A:B,2,FALSE),"")</f>
        <v/>
      </c>
      <c r="C28" s="126"/>
      <c r="D28" s="125" t="str">
        <f>IFERROR(VLOOKUP(A28,'Tabela de preços'!A:C,3,FALSE),"")</f>
        <v/>
      </c>
      <c r="E28" s="125" t="str">
        <f>IFERROR(VLOOKUP(B28,Tabela_preços[[DESCRIÇÃO]:[VALOR]],3,FALSE),"0")</f>
        <v>0</v>
      </c>
      <c r="F28" s="127">
        <f t="shared" si="2"/>
        <v>0</v>
      </c>
      <c r="G28" s="65"/>
      <c r="H28" s="70"/>
      <c r="I28" s="70"/>
      <c r="J28" s="65"/>
      <c r="K28" s="61"/>
      <c r="L28" s="61"/>
      <c r="M28" s="61"/>
      <c r="N28" s="61"/>
      <c r="O28" s="61"/>
      <c r="P28" s="61"/>
    </row>
    <row r="29" spans="1:16" ht="15.75" customHeight="1">
      <c r="A29" s="143"/>
      <c r="B29" s="144" t="str">
        <f>IFERROR(VLOOKUP(A29,'Tabela de preços'!A:B,2,FALSE),"")</f>
        <v/>
      </c>
      <c r="C29" s="126"/>
      <c r="D29" s="125" t="str">
        <f>IFERROR(VLOOKUP(A29,'Tabela de preços'!A:C,3,FALSE),"")</f>
        <v/>
      </c>
      <c r="E29" s="125" t="str">
        <f>IFERROR(VLOOKUP(B29,Tabela_preços[[DESCRIÇÃO]:[VALOR]],3,FALSE),"0")</f>
        <v>0</v>
      </c>
      <c r="F29" s="127">
        <f t="shared" si="2"/>
        <v>0</v>
      </c>
      <c r="G29" s="65"/>
      <c r="H29" s="70"/>
      <c r="I29" s="70"/>
      <c r="J29" s="65"/>
      <c r="K29" s="61"/>
      <c r="L29" s="61"/>
      <c r="M29" s="61"/>
      <c r="N29" s="61"/>
      <c r="O29" s="61"/>
      <c r="P29" s="61"/>
    </row>
    <row r="30" spans="1:16" ht="15.75" customHeight="1">
      <c r="A30" s="143"/>
      <c r="B30" s="144" t="str">
        <f>IFERROR(VLOOKUP(A30,'Tabela de preços'!A:B,2,FALSE),"")</f>
        <v/>
      </c>
      <c r="C30" s="126"/>
      <c r="D30" s="125" t="str">
        <f>IFERROR(VLOOKUP(A30,'Tabela de preços'!A:C,3,FALSE),"")</f>
        <v/>
      </c>
      <c r="E30" s="125" t="str">
        <f>IFERROR(VLOOKUP(B30,Tabela_preços[[DESCRIÇÃO]:[VALOR]],3,FALSE),"0")</f>
        <v>0</v>
      </c>
      <c r="F30" s="127">
        <f t="shared" si="2"/>
        <v>0</v>
      </c>
      <c r="G30" s="65"/>
      <c r="H30" s="70"/>
      <c r="I30" s="70"/>
      <c r="J30" s="65"/>
      <c r="K30" s="61"/>
      <c r="L30" s="61"/>
      <c r="M30" s="61"/>
      <c r="N30" s="61"/>
      <c r="O30" s="61"/>
      <c r="P30" s="61"/>
    </row>
    <row r="31" spans="1:16" ht="15.75" customHeight="1">
      <c r="A31" s="143"/>
      <c r="B31" s="144" t="str">
        <f>IFERROR(VLOOKUP(A31,'Tabela de preços'!A:B,2,FALSE),"")</f>
        <v/>
      </c>
      <c r="C31" s="126"/>
      <c r="D31" s="125" t="str">
        <f>IFERROR(VLOOKUP(A31,'Tabela de preços'!A:C,3,FALSE),"")</f>
        <v/>
      </c>
      <c r="E31" s="125" t="str">
        <f>IFERROR(VLOOKUP(B31,Tabela_preços[[DESCRIÇÃO]:[VALOR]],3,FALSE),"0")</f>
        <v>0</v>
      </c>
      <c r="F31" s="127">
        <f t="shared" si="2"/>
        <v>0</v>
      </c>
      <c r="G31" s="65"/>
      <c r="H31" s="70"/>
      <c r="I31" s="70"/>
      <c r="J31" s="65"/>
      <c r="K31" s="61"/>
      <c r="L31" s="61"/>
      <c r="M31" s="61"/>
      <c r="N31" s="61"/>
      <c r="O31" s="61"/>
      <c r="P31" s="61"/>
    </row>
    <row r="32" spans="1:16" ht="15.75" customHeight="1">
      <c r="A32" s="143"/>
      <c r="B32" s="144" t="str">
        <f>IFERROR(VLOOKUP(A32,'Tabela de preços'!A:B,2,FALSE),"")</f>
        <v/>
      </c>
      <c r="C32" s="126"/>
      <c r="D32" s="125" t="str">
        <f>IFERROR(VLOOKUP(A32,'Tabela de preços'!A:C,3,FALSE),"")</f>
        <v/>
      </c>
      <c r="E32" s="125" t="str">
        <f>IFERROR(VLOOKUP(B32,Tabela_preços[[DESCRIÇÃO]:[VALOR]],3,FALSE),"0")</f>
        <v>0</v>
      </c>
      <c r="F32" s="127">
        <f t="shared" si="2"/>
        <v>0</v>
      </c>
      <c r="G32" s="65"/>
      <c r="H32" s="70"/>
      <c r="I32" s="70"/>
      <c r="J32" s="65"/>
      <c r="K32" s="61"/>
      <c r="L32" s="61"/>
      <c r="M32" s="61"/>
      <c r="N32" s="61"/>
      <c r="O32" s="61"/>
      <c r="P32" s="61"/>
    </row>
    <row r="33" spans="1:16" ht="15.75" customHeight="1">
      <c r="A33" s="143"/>
      <c r="B33" s="144" t="str">
        <f>IFERROR(VLOOKUP(A33,'Tabela de preços'!A:B,2,FALSE),"")</f>
        <v/>
      </c>
      <c r="C33" s="126"/>
      <c r="D33" s="125" t="str">
        <f>IFERROR(VLOOKUP(A33,'Tabela de preços'!A:C,3,FALSE),"")</f>
        <v/>
      </c>
      <c r="E33" s="125" t="str">
        <f>IFERROR(VLOOKUP(B33,Tabela_preços[[DESCRIÇÃO]:[VALOR]],3,FALSE),"0")</f>
        <v>0</v>
      </c>
      <c r="F33" s="127">
        <f t="shared" si="2"/>
        <v>0</v>
      </c>
      <c r="G33" s="65"/>
      <c r="H33" s="70"/>
      <c r="I33" s="70"/>
      <c r="J33" s="65"/>
      <c r="K33" s="61"/>
      <c r="L33" s="61"/>
      <c r="M33" s="61"/>
      <c r="N33" s="61"/>
      <c r="O33" s="61"/>
      <c r="P33" s="61"/>
    </row>
    <row r="34" spans="1:16" ht="15.75" customHeight="1">
      <c r="A34" s="68"/>
      <c r="B34" s="61"/>
      <c r="C34" s="61"/>
      <c r="D34" s="91"/>
      <c r="E34" s="80"/>
      <c r="F34" s="65"/>
      <c r="G34" s="65"/>
      <c r="H34" s="65"/>
      <c r="I34" s="65"/>
      <c r="J34" s="65"/>
      <c r="K34" s="61"/>
      <c r="L34" s="61"/>
      <c r="M34" s="61"/>
      <c r="N34" s="61"/>
      <c r="O34" s="61"/>
      <c r="P34" s="61"/>
    </row>
    <row r="35" spans="1:16" ht="24">
      <c r="A35" s="183" t="s">
        <v>312</v>
      </c>
      <c r="B35" s="136"/>
      <c r="C35" s="184" t="s">
        <v>313</v>
      </c>
      <c r="D35" s="185" t="s">
        <v>314</v>
      </c>
      <c r="E35" s="186" t="s">
        <v>223</v>
      </c>
      <c r="F35" s="186" t="s">
        <v>281</v>
      </c>
      <c r="G35" s="62"/>
      <c r="H35" s="65"/>
      <c r="I35" s="62"/>
      <c r="J35" s="62"/>
      <c r="K35" s="61"/>
      <c r="L35" s="61"/>
      <c r="M35" s="61"/>
      <c r="N35" s="61"/>
      <c r="O35" s="61"/>
      <c r="P35" s="61"/>
    </row>
    <row r="36" spans="1:16" ht="15.75" customHeight="1">
      <c r="A36" s="143"/>
      <c r="B36" s="144" t="str">
        <f>IFERROR(VLOOKUP(A36,'Tabela de preços'!A:B,2,FALSE),"")</f>
        <v/>
      </c>
      <c r="C36" s="126"/>
      <c r="D36" s="125" t="str">
        <f>IFERROR(VLOOKUP(A36,'Tabela de preços'!A:C,3,FALSE),"")</f>
        <v/>
      </c>
      <c r="E36" s="125" t="str">
        <f>IFERROR(VLOOKUP(B36,Tabela_preços[[DESCRIÇÃO]:[VALOR]],3,FALSE),"0")</f>
        <v>0</v>
      </c>
      <c r="F36" s="127">
        <f t="shared" ref="F36:F37" si="4">E36*C36</f>
        <v>0</v>
      </c>
      <c r="H36" s="65"/>
      <c r="I36" s="198"/>
      <c r="J36" s="199"/>
      <c r="K36" s="61"/>
      <c r="L36" s="61"/>
      <c r="M36" s="61"/>
      <c r="N36" s="61"/>
      <c r="O36" s="61"/>
      <c r="P36" s="61"/>
    </row>
    <row r="37" spans="1:16" ht="15.75" customHeight="1">
      <c r="A37" s="143"/>
      <c r="B37" s="144" t="str">
        <f>IFERROR(VLOOKUP(A37,'Tabela de preços'!A:B,2,FALSE),"")</f>
        <v/>
      </c>
      <c r="C37" s="126"/>
      <c r="D37" s="125" t="str">
        <f>IFERROR(VLOOKUP(A37,'Tabela de preços'!A:C,3,FALSE),"")</f>
        <v/>
      </c>
      <c r="E37" s="125" t="str">
        <f>IFERROR(VLOOKUP(B37,Tabela_preços[[DESCRIÇÃO]:[VALOR]],3,FALSE),"0")</f>
        <v>0</v>
      </c>
      <c r="F37" s="127">
        <f t="shared" si="4"/>
        <v>0</v>
      </c>
      <c r="H37" s="65"/>
      <c r="I37" s="199"/>
      <c r="J37" s="199"/>
      <c r="K37" s="61"/>
      <c r="L37" s="61"/>
      <c r="M37" s="61"/>
      <c r="N37" s="61"/>
      <c r="O37" s="61"/>
      <c r="P37" s="61"/>
    </row>
    <row r="38" spans="1:16" ht="15.75" customHeight="1">
      <c r="A38" s="143"/>
      <c r="B38" s="144" t="str">
        <f>IFERROR(VLOOKUP(A38,'Tabela de preços'!A:B,2,FALSE),"")</f>
        <v/>
      </c>
      <c r="C38" s="126"/>
      <c r="D38" s="125" t="str">
        <f>IFERROR(VLOOKUP(A38,'Tabela de preços'!A:C,3,FALSE),"")</f>
        <v/>
      </c>
      <c r="E38" s="125" t="str">
        <f>IFERROR(VLOOKUP(B38,Tabela_preços[[DESCRIÇÃO]:[VALOR]],3,FALSE),"0")</f>
        <v>0</v>
      </c>
      <c r="F38" s="127">
        <f t="shared" ref="F38:F41" si="5">E38*C38</f>
        <v>0</v>
      </c>
      <c r="H38" s="65"/>
      <c r="K38" s="61"/>
      <c r="L38" s="61"/>
      <c r="M38" s="61"/>
      <c r="N38" s="61"/>
      <c r="O38" s="61"/>
      <c r="P38" s="61"/>
    </row>
    <row r="39" spans="1:16" ht="15.75" customHeight="1">
      <c r="A39" s="143"/>
      <c r="B39" s="144" t="str">
        <f>IFERROR(VLOOKUP(A39,'Tabela de preços'!A:B,2,FALSE),"")</f>
        <v/>
      </c>
      <c r="C39" s="126"/>
      <c r="D39" s="125" t="str">
        <f>IFERROR(VLOOKUP(A39,'Tabela de preços'!A:C,3,FALSE),"")</f>
        <v/>
      </c>
      <c r="E39" s="125" t="str">
        <f>IFERROR(VLOOKUP(B39,Tabela_preços[[DESCRIÇÃO]:[VALOR]],3,FALSE),"0")</f>
        <v>0</v>
      </c>
      <c r="F39" s="127">
        <f t="shared" si="5"/>
        <v>0</v>
      </c>
      <c r="H39" s="65"/>
      <c r="K39" s="61"/>
      <c r="L39" s="61"/>
      <c r="M39" s="61"/>
      <c r="N39" s="61"/>
      <c r="O39" s="61"/>
      <c r="P39" s="61"/>
    </row>
    <row r="40" spans="1:16" ht="15.75" customHeight="1">
      <c r="A40" s="143"/>
      <c r="B40" s="144" t="str">
        <f>IFERROR(VLOOKUP(A40,'Tabela de preços'!A:B,2,FALSE),"")</f>
        <v/>
      </c>
      <c r="C40" s="126"/>
      <c r="D40" s="125" t="str">
        <f>IFERROR(VLOOKUP(A40,'Tabela de preços'!A:C,3,FALSE),"")</f>
        <v/>
      </c>
      <c r="E40" s="125" t="str">
        <f>IFERROR(VLOOKUP(B40,Tabela_preços[[DESCRIÇÃO]:[VALOR]],3,FALSE),"0")</f>
        <v>0</v>
      </c>
      <c r="F40" s="127">
        <f t="shared" si="5"/>
        <v>0</v>
      </c>
      <c r="H40" s="65"/>
      <c r="K40" s="61"/>
      <c r="L40" s="61"/>
      <c r="M40" s="61"/>
      <c r="N40" s="61"/>
      <c r="O40" s="61"/>
      <c r="P40" s="61"/>
    </row>
    <row r="41" spans="1:16" ht="15.75" customHeight="1">
      <c r="A41" s="143"/>
      <c r="B41" s="144" t="str">
        <f>IFERROR(VLOOKUP(A41,'Tabela de preços'!A:B,2,FALSE),"")</f>
        <v/>
      </c>
      <c r="C41" s="126"/>
      <c r="D41" s="125" t="str">
        <f>IFERROR(VLOOKUP(A41,'Tabela de preços'!A:C,3,FALSE),"")</f>
        <v/>
      </c>
      <c r="E41" s="125" t="str">
        <f>IFERROR(VLOOKUP(B41,Tabela_preços[[DESCRIÇÃO]:[VALOR]],3,FALSE),"0")</f>
        <v>0</v>
      </c>
      <c r="F41" s="127">
        <f t="shared" si="5"/>
        <v>0</v>
      </c>
      <c r="H41" s="65"/>
      <c r="K41" s="61"/>
      <c r="L41" s="61"/>
      <c r="M41" s="61"/>
      <c r="N41" s="61"/>
      <c r="O41" s="61"/>
      <c r="P41" s="61"/>
    </row>
    <row r="43" spans="1:16" ht="15.75" customHeight="1">
      <c r="E43" s="95" t="s">
        <v>288</v>
      </c>
      <c r="F43" s="94">
        <f>SUM(F5:F37)</f>
        <v>0</v>
      </c>
    </row>
  </sheetData>
  <mergeCells count="13">
    <mergeCell ref="I36:J37"/>
    <mergeCell ref="A2:F2"/>
    <mergeCell ref="A1:F1"/>
    <mergeCell ref="H14:I14"/>
    <mergeCell ref="J14:P14"/>
    <mergeCell ref="H18:I18"/>
    <mergeCell ref="J18:P18"/>
    <mergeCell ref="H25:I25"/>
    <mergeCell ref="J25:P25"/>
    <mergeCell ref="G4:H4"/>
    <mergeCell ref="H10:I10"/>
    <mergeCell ref="H11:I11"/>
    <mergeCell ref="H12:I12"/>
  </mergeCells>
  <pageMargins left="0.511811024" right="0.511811024" top="0.78740157499999996" bottom="0.78740157499999996" header="0.31496062000000002" footer="0.31496062000000002"/>
  <ignoredErrors>
    <ignoredError sqref="E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U31"/>
  <sheetViews>
    <sheetView showGridLines="0" zoomScaleNormal="100" workbookViewId="0">
      <selection activeCell="B20" sqref="B20"/>
    </sheetView>
  </sheetViews>
  <sheetFormatPr defaultColWidth="12.5703125" defaultRowHeight="15.75" customHeight="1"/>
  <cols>
    <col min="1" max="1" width="19.140625" customWidth="1"/>
    <col min="2" max="2" width="58.85546875" customWidth="1"/>
    <col min="3" max="7" width="0" hidden="1" customWidth="1"/>
    <col min="8" max="8" width="6.42578125" customWidth="1"/>
    <col min="9" max="9" width="8.7109375" style="92" bestFit="1" customWidth="1"/>
    <col min="10" max="10" width="12.28515625" style="118" customWidth="1"/>
    <col min="11" max="11" width="13.28515625" bestFit="1" customWidth="1"/>
    <col min="13" max="13" width="7.42578125" hidden="1" customWidth="1"/>
    <col min="14" max="14" width="0" hidden="1" customWidth="1"/>
    <col min="15" max="15" width="141.42578125" hidden="1" customWidth="1"/>
    <col min="16" max="22" width="0" hidden="1" customWidth="1"/>
  </cols>
  <sheetData>
    <row r="1" spans="1:21" ht="15.75" customHeight="1">
      <c r="A1" s="215" t="s">
        <v>219</v>
      </c>
      <c r="B1" s="216"/>
      <c r="C1" s="216"/>
      <c r="D1" s="216"/>
      <c r="E1" s="216"/>
      <c r="F1" s="216"/>
      <c r="G1" s="216"/>
      <c r="H1" s="216"/>
      <c r="I1" s="216"/>
      <c r="J1" s="216"/>
      <c r="K1" s="60"/>
      <c r="L1" s="60"/>
      <c r="M1" s="60"/>
      <c r="N1" s="61"/>
      <c r="O1" s="61"/>
      <c r="P1" s="61"/>
      <c r="Q1" s="61"/>
      <c r="R1" s="61"/>
      <c r="S1" s="61"/>
      <c r="T1" s="61"/>
      <c r="U1" s="61"/>
    </row>
    <row r="2" spans="1:21" ht="15.75" customHeight="1">
      <c r="A2" s="62"/>
      <c r="B2" s="62"/>
      <c r="C2" s="62"/>
      <c r="D2" s="62"/>
      <c r="E2" s="63"/>
      <c r="F2" s="63"/>
      <c r="G2" s="64"/>
      <c r="H2" s="63"/>
      <c r="I2" s="87"/>
      <c r="J2" s="84"/>
      <c r="K2" s="65"/>
      <c r="L2" s="65"/>
      <c r="M2" s="65"/>
      <c r="N2" s="61"/>
      <c r="O2" s="61"/>
      <c r="P2" s="61"/>
      <c r="Q2" s="61"/>
      <c r="R2" s="61"/>
      <c r="S2" s="61"/>
      <c r="T2" s="61"/>
      <c r="U2" s="61"/>
    </row>
    <row r="3" spans="1:21" ht="15.75" customHeight="1">
      <c r="A3" s="217" t="s">
        <v>220</v>
      </c>
      <c r="B3" s="218"/>
      <c r="C3" s="218"/>
      <c r="D3" s="218"/>
      <c r="E3" s="219"/>
      <c r="F3" s="63"/>
      <c r="G3" s="64"/>
      <c r="H3" s="63"/>
      <c r="I3" s="87"/>
      <c r="J3" s="84"/>
      <c r="K3" s="65"/>
      <c r="L3" s="65"/>
      <c r="M3" s="65"/>
      <c r="N3" s="61"/>
      <c r="O3" s="61"/>
      <c r="P3" s="61"/>
      <c r="Q3" s="61"/>
      <c r="R3" s="61"/>
      <c r="S3" s="61"/>
      <c r="T3" s="61"/>
      <c r="U3" s="61"/>
    </row>
    <row r="4" spans="1:21" ht="15.75" customHeight="1">
      <c r="A4" s="62"/>
      <c r="B4" s="62"/>
      <c r="C4" s="62"/>
      <c r="D4" s="62"/>
      <c r="E4" s="63"/>
      <c r="F4" s="63"/>
      <c r="G4" s="64"/>
      <c r="H4" s="66"/>
      <c r="I4" s="88"/>
      <c r="J4" s="8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spans="1:21" s="92" customFormat="1" ht="24.75" customHeight="1">
      <c r="A5" s="135" t="s">
        <v>221</v>
      </c>
      <c r="B5" s="136" t="s">
        <v>275</v>
      </c>
      <c r="C5" s="135"/>
      <c r="D5" s="135"/>
      <c r="E5" s="137"/>
      <c r="F5" s="138"/>
      <c r="G5" s="138"/>
      <c r="H5" s="139" t="s">
        <v>313</v>
      </c>
      <c r="I5" s="140" t="s">
        <v>314</v>
      </c>
      <c r="J5" s="141" t="s">
        <v>223</v>
      </c>
      <c r="K5" s="141" t="s">
        <v>281</v>
      </c>
      <c r="L5" s="212"/>
      <c r="M5" s="213"/>
      <c r="N5" s="134"/>
      <c r="O5" s="91"/>
      <c r="P5" s="91"/>
      <c r="Q5" s="91"/>
      <c r="R5" s="91"/>
      <c r="S5" s="91"/>
      <c r="T5" s="91"/>
      <c r="U5" s="91"/>
    </row>
    <row r="6" spans="1:21" ht="15.75" customHeight="1">
      <c r="A6" s="121"/>
      <c r="B6" s="119"/>
      <c r="C6" s="119"/>
      <c r="D6" s="119"/>
      <c r="E6" s="119"/>
      <c r="F6" s="122"/>
      <c r="G6" s="122"/>
      <c r="H6" s="123"/>
      <c r="I6" s="124"/>
      <c r="J6" s="125"/>
      <c r="K6" s="101"/>
      <c r="L6" s="65"/>
      <c r="M6" s="69"/>
      <c r="N6" s="69"/>
      <c r="O6" s="65"/>
      <c r="P6" s="61"/>
      <c r="Q6" s="61"/>
      <c r="R6" s="61"/>
      <c r="S6" s="61"/>
      <c r="T6" s="61"/>
      <c r="U6" s="61"/>
    </row>
    <row r="7" spans="1:21" ht="15.75" customHeight="1">
      <c r="A7" s="143" t="s">
        <v>224</v>
      </c>
      <c r="B7" s="144" t="str">
        <f>VLOOKUP(A7,'Tabela de preços'!A:B,2,FALSE)</f>
        <v>PIVOT HEAVY H143 (300KG) AÇO ESCOVADO</v>
      </c>
      <c r="C7" s="144"/>
      <c r="D7" s="144"/>
      <c r="E7" s="144"/>
      <c r="F7" s="144"/>
      <c r="G7" s="144"/>
      <c r="H7" s="126">
        <v>1</v>
      </c>
      <c r="I7" s="125" t="str">
        <f>IFERROR(VLOOKUP(A7,'Tabela de preços'!A:C,3,FALSE),"")</f>
        <v>UNID</v>
      </c>
      <c r="J7" s="125">
        <f>VLOOKUP(B7,Tabela_preços[[DESCRIÇÃO]:[VALOR]],3,FALSE)</f>
        <v>99.99</v>
      </c>
      <c r="K7" s="127">
        <f>J7*H7</f>
        <v>99.99</v>
      </c>
      <c r="L7" s="65"/>
      <c r="M7" s="70"/>
      <c r="N7" s="70"/>
      <c r="O7" s="65"/>
      <c r="P7" s="61"/>
      <c r="Q7" s="61"/>
      <c r="R7" s="61"/>
      <c r="S7" s="61"/>
      <c r="T7" s="61"/>
      <c r="U7" s="61"/>
    </row>
    <row r="8" spans="1:21" ht="15.75" customHeight="1">
      <c r="A8" s="143" t="s">
        <v>225</v>
      </c>
      <c r="B8" s="144" t="str">
        <f>VLOOKUP(A8,'Tabela de preços'!A:B,2,FALSE)</f>
        <v>VEDA FRESTAS 04 X 09MM MARROM CLARO C/ 06 MT</v>
      </c>
      <c r="C8" s="144"/>
      <c r="D8" s="144"/>
      <c r="E8" s="144"/>
      <c r="F8" s="144"/>
      <c r="G8" s="144"/>
      <c r="H8" s="126">
        <v>1</v>
      </c>
      <c r="I8" s="125" t="str">
        <f>IFERROR(VLOOKUP(A8,'Tabela de preços'!A:C,3,FALSE),"")</f>
        <v>UNID</v>
      </c>
      <c r="J8" s="125">
        <f>VLOOKUP(B8,Tabela_preços[[DESCRIÇÃO]:[VALOR]],3,FALSE)</f>
        <v>17.512</v>
      </c>
      <c r="K8" s="127">
        <f t="shared" ref="K8:K12" si="0">J8*H8</f>
        <v>17.512</v>
      </c>
      <c r="L8" s="65"/>
      <c r="M8" s="198"/>
      <c r="N8" s="199"/>
      <c r="O8" s="65"/>
      <c r="P8" s="61"/>
      <c r="Q8" s="61"/>
      <c r="R8" s="61"/>
      <c r="S8" s="61"/>
      <c r="T8" s="61"/>
      <c r="U8" s="61"/>
    </row>
    <row r="9" spans="1:21" ht="15.75" customHeight="1">
      <c r="A9" s="143" t="s">
        <v>227</v>
      </c>
      <c r="B9" s="144" t="str">
        <f>VLOOKUP(A9,'Tabela de preços'!A:B,2,FALSE)</f>
        <v>IMÃ 22X10 N.42</v>
      </c>
      <c r="C9" s="144"/>
      <c r="D9" s="144"/>
      <c r="E9" s="144"/>
      <c r="F9" s="144"/>
      <c r="G9" s="144"/>
      <c r="H9" s="126">
        <v>4</v>
      </c>
      <c r="I9" s="125" t="str">
        <f>IFERROR(VLOOKUP(A9,'Tabela de preços'!A:C,3,FALSE),"")</f>
        <v>UNID</v>
      </c>
      <c r="J9" s="125">
        <f>VLOOKUP(B9,Tabela_preços[[DESCRIÇÃO]:[VALOR]],3,FALSE)</f>
        <v>17.850000000000001</v>
      </c>
      <c r="K9" s="127">
        <f t="shared" si="0"/>
        <v>71.400000000000006</v>
      </c>
      <c r="L9" s="65"/>
      <c r="M9" s="198"/>
      <c r="N9" s="199"/>
      <c r="O9" s="65"/>
      <c r="P9" s="61"/>
      <c r="Q9" s="61"/>
      <c r="R9" s="61"/>
      <c r="S9" s="61"/>
      <c r="T9" s="61"/>
      <c r="U9" s="61"/>
    </row>
    <row r="10" spans="1:21" ht="15.75" customHeight="1">
      <c r="A10" s="143" t="s">
        <v>228</v>
      </c>
      <c r="B10" s="144" t="str">
        <f>VLOOKUP(A10,'Tabela de preços'!A:B,2,FALSE)</f>
        <v>PIVÔ CIR 80KG - ECLISSE</v>
      </c>
      <c r="C10" s="144"/>
      <c r="D10" s="144"/>
      <c r="E10" s="144"/>
      <c r="F10" s="144"/>
      <c r="G10" s="144"/>
      <c r="H10" s="126">
        <v>1</v>
      </c>
      <c r="I10" s="125" t="str">
        <f>IFERROR(VLOOKUP(A10,'Tabela de preços'!A:C,3,FALSE),"")</f>
        <v>UNID</v>
      </c>
      <c r="J10" s="125">
        <f>VLOOKUP(B10,Tabela_preços[[DESCRIÇÃO]:[VALOR]],3,FALSE)</f>
        <v>463.02499999999998</v>
      </c>
      <c r="K10" s="127">
        <f t="shared" si="0"/>
        <v>463.02499999999998</v>
      </c>
      <c r="L10" s="65"/>
      <c r="M10" s="198"/>
      <c r="N10" s="199"/>
      <c r="O10" s="65"/>
      <c r="P10" s="61"/>
      <c r="Q10" s="61"/>
      <c r="R10" s="61"/>
      <c r="S10" s="61"/>
      <c r="T10" s="61"/>
      <c r="U10" s="61"/>
    </row>
    <row r="11" spans="1:21" ht="15.75" customHeight="1">
      <c r="A11" s="143" t="s">
        <v>229</v>
      </c>
      <c r="B11" s="144" t="str">
        <f>VLOOKUP(A11,'Tabela de preços'!A:B,2,FALSE)</f>
        <v>ADAPTADOR P/WC ZMK NIQ 911.03.885</v>
      </c>
      <c r="C11" s="144"/>
      <c r="D11" s="144"/>
      <c r="E11" s="144"/>
      <c r="F11" s="144"/>
      <c r="G11" s="144"/>
      <c r="H11" s="126">
        <v>1</v>
      </c>
      <c r="I11" s="125" t="str">
        <f>IFERROR(VLOOKUP(A11,'Tabela de preços'!A:C,3,FALSE),"")</f>
        <v>UNID</v>
      </c>
      <c r="J11" s="125">
        <f>VLOOKUP(B11,Tabela_preços[[DESCRIÇÃO]:[VALOR]],3,FALSE)</f>
        <v>19.12</v>
      </c>
      <c r="K11" s="127">
        <f t="shared" si="0"/>
        <v>19.12</v>
      </c>
      <c r="L11" s="65"/>
      <c r="M11" s="70"/>
      <c r="N11" s="70"/>
      <c r="O11" s="65"/>
      <c r="P11" s="61"/>
      <c r="Q11" s="61"/>
      <c r="R11" s="61"/>
      <c r="S11" s="61"/>
      <c r="T11" s="61"/>
      <c r="U11" s="61"/>
    </row>
    <row r="12" spans="1:21" ht="15.75" customHeight="1">
      <c r="A12" s="143" t="s">
        <v>231</v>
      </c>
      <c r="B12" s="144" t="str">
        <f>VLOOKUP(A12,'Tabela de preços'!A:B,2,FALSE)</f>
        <v>FECHADURA AUX LINGUETA RETA INOX FOSCO 911.22.490</v>
      </c>
      <c r="C12" s="144"/>
      <c r="D12" s="144"/>
      <c r="E12" s="144"/>
      <c r="F12" s="144"/>
      <c r="G12" s="144"/>
      <c r="H12" s="126">
        <v>1</v>
      </c>
      <c r="I12" s="125" t="str">
        <f>IFERROR(VLOOKUP(A12,'Tabela de preços'!A:C,3,FALSE),"")</f>
        <v>UNID</v>
      </c>
      <c r="J12" s="125">
        <f>VLOOKUP(B12,Tabela_preços[[DESCRIÇÃO]:[VALOR]],3,FALSE)</f>
        <v>105.20399999999999</v>
      </c>
      <c r="K12" s="127">
        <f t="shared" si="0"/>
        <v>105.20399999999999</v>
      </c>
      <c r="L12" s="65"/>
      <c r="M12" s="208" t="s">
        <v>233</v>
      </c>
      <c r="N12" s="209"/>
      <c r="O12" s="214" t="s">
        <v>234</v>
      </c>
      <c r="P12" s="211"/>
      <c r="Q12" s="211"/>
      <c r="R12" s="211"/>
      <c r="S12" s="211"/>
      <c r="T12" s="211"/>
      <c r="U12" s="209"/>
    </row>
    <row r="13" spans="1:21" ht="15.75" customHeight="1">
      <c r="A13" s="128"/>
      <c r="B13" s="129"/>
      <c r="C13" s="129"/>
      <c r="D13" s="129"/>
      <c r="E13" s="129"/>
      <c r="F13" s="129"/>
      <c r="G13" s="129"/>
      <c r="H13" s="130"/>
      <c r="I13" s="124"/>
      <c r="J13" s="131"/>
      <c r="K13" s="129"/>
      <c r="L13" s="65"/>
      <c r="M13" s="67"/>
      <c r="N13" s="67"/>
      <c r="O13" s="67"/>
      <c r="P13" s="67"/>
      <c r="Q13" s="67"/>
      <c r="R13" s="67"/>
      <c r="S13" s="67"/>
      <c r="T13" s="67"/>
      <c r="U13" s="67"/>
    </row>
    <row r="14" spans="1:21" ht="24" customHeight="1">
      <c r="A14" s="142" t="s">
        <v>235</v>
      </c>
      <c r="B14" s="136"/>
      <c r="C14" s="135"/>
      <c r="D14" s="135"/>
      <c r="E14" s="137"/>
      <c r="F14" s="138"/>
      <c r="G14" s="138"/>
      <c r="H14" s="139" t="s">
        <v>313</v>
      </c>
      <c r="I14" s="140" t="s">
        <v>314</v>
      </c>
      <c r="J14" s="141" t="s">
        <v>223</v>
      </c>
      <c r="K14" s="141" t="s">
        <v>281</v>
      </c>
      <c r="L14" s="62"/>
      <c r="M14" s="65"/>
      <c r="N14" s="62"/>
      <c r="O14" s="62"/>
      <c r="P14" s="61"/>
      <c r="Q14" s="61"/>
      <c r="R14" s="61"/>
      <c r="S14" s="61"/>
      <c r="T14" s="61"/>
      <c r="U14" s="61"/>
    </row>
    <row r="15" spans="1:21" ht="15.75" customHeight="1">
      <c r="A15" s="143" t="s">
        <v>236</v>
      </c>
      <c r="B15" s="144" t="str">
        <f>VLOOKUP(A15,'Tabela de preços'!A:B,2,FALSE)</f>
        <v>COMPENSADO NAVAL 10MM (10X1200X3000)</v>
      </c>
      <c r="C15" s="144" t="str">
        <f>VLOOKUP(B15,'Tabela de preços'!B:C,2,FALSE)</f>
        <v>UNID</v>
      </c>
      <c r="D15" s="144">
        <f>VLOOKUP(C15,'Tabela de preços'!C:D,2,FALSE)</f>
        <v>318.74</v>
      </c>
      <c r="E15" s="144">
        <f>VLOOKUP(D15,'Tabela de preços'!D:E,2,FALSE)</f>
        <v>0</v>
      </c>
      <c r="F15" s="144" t="e">
        <f>VLOOKUP(E15,'Tabela de preços'!E:F,2,FALSE)</f>
        <v>#N/A</v>
      </c>
      <c r="G15" s="144" t="e">
        <f>VLOOKUP(F15,'Tabela de preços'!F:G,2,FALSE)</f>
        <v>#N/A</v>
      </c>
      <c r="H15" s="126">
        <v>2</v>
      </c>
      <c r="I15" s="125" t="str">
        <f>IFERROR(VLOOKUP(A15,'Tabela de preços'!A:C,3,FALSE),"")</f>
        <v>UNID</v>
      </c>
      <c r="J15" s="125">
        <f>VLOOKUP(B15,Tabela_preços[[DESCRIÇÃO]:[VALOR]],3,FALSE)</f>
        <v>185</v>
      </c>
      <c r="K15" s="127">
        <f t="shared" ref="K15:K25" si="1">J15*H15</f>
        <v>370</v>
      </c>
      <c r="L15" s="65"/>
      <c r="M15" s="70"/>
      <c r="N15" s="70"/>
      <c r="O15" s="65"/>
      <c r="P15" s="61"/>
      <c r="Q15" s="61"/>
      <c r="R15" s="61"/>
      <c r="S15" s="61"/>
      <c r="T15" s="61"/>
      <c r="U15" s="61"/>
    </row>
    <row r="16" spans="1:21" ht="15.75" customHeight="1">
      <c r="A16" s="143">
        <v>865</v>
      </c>
      <c r="B16" s="144" t="str">
        <f>VLOOKUP(A16,'Tabela de preços'!A:B,2,FALSE)</f>
        <v>LAMINA NATURAL CARVALHO EUROPEU</v>
      </c>
      <c r="C16" s="144" t="str">
        <f>VLOOKUP(B16,'Tabela de preços'!B:C,2,FALSE)</f>
        <v>M²</v>
      </c>
      <c r="D16" s="144">
        <f>VLOOKUP(C16,'Tabela de preços'!C:D,2,FALSE)</f>
        <v>65</v>
      </c>
      <c r="E16" s="144">
        <f>VLOOKUP(D16,'Tabela de preços'!D:E,2,FALSE)</f>
        <v>0</v>
      </c>
      <c r="F16" s="144" t="e">
        <f>VLOOKUP(E16,'Tabela de preços'!E:F,2,FALSE)</f>
        <v>#N/A</v>
      </c>
      <c r="G16" s="144" t="e">
        <f>VLOOKUP(F16,'Tabela de preços'!F:G,2,FALSE)</f>
        <v>#N/A</v>
      </c>
      <c r="H16" s="126">
        <v>20</v>
      </c>
      <c r="I16" s="125" t="str">
        <f>IFERROR(VLOOKUP(A16,'Tabela de preços'!A:C,3,FALSE),"")</f>
        <v>M²</v>
      </c>
      <c r="J16" s="125">
        <f>VLOOKUP(B16,Tabela_preços[[DESCRIÇÃO]:[VALOR]],3,FALSE)</f>
        <v>65</v>
      </c>
      <c r="K16" s="127">
        <f t="shared" si="1"/>
        <v>1300</v>
      </c>
      <c r="L16" s="65"/>
      <c r="M16" s="208" t="s">
        <v>238</v>
      </c>
      <c r="N16" s="209"/>
      <c r="O16" s="210" t="s">
        <v>239</v>
      </c>
      <c r="P16" s="211"/>
      <c r="Q16" s="211"/>
      <c r="R16" s="211"/>
      <c r="S16" s="211"/>
      <c r="T16" s="211"/>
      <c r="U16" s="209"/>
    </row>
    <row r="17" spans="1:21" ht="15.75" customHeight="1">
      <c r="A17" s="143" t="s">
        <v>240</v>
      </c>
      <c r="B17" s="144" t="str">
        <f>VLOOKUP(A17,'Tabela de preços'!A:B,2,FALSE)</f>
        <v>MADEIRA MACIÇA TAUARI (0.02X0.20X3.00)</v>
      </c>
      <c r="C17" s="144" t="str">
        <f>VLOOKUP(B17,'Tabela de preços'!B:C,2,FALSE)</f>
        <v>M³</v>
      </c>
      <c r="D17" s="144">
        <f>VLOOKUP(C17,'Tabela de preços'!C:D,2,FALSE)</f>
        <v>2900</v>
      </c>
      <c r="E17" s="144">
        <f>VLOOKUP(D17,'Tabela de preços'!D:E,2,FALSE)</f>
        <v>0</v>
      </c>
      <c r="F17" s="144" t="e">
        <f>VLOOKUP(E17,'Tabela de preços'!E:F,2,FALSE)</f>
        <v>#N/A</v>
      </c>
      <c r="G17" s="144" t="e">
        <f>VLOOKUP(F17,'Tabela de preços'!F:G,2,FALSE)</f>
        <v>#N/A</v>
      </c>
      <c r="H17" s="126">
        <v>0.1</v>
      </c>
      <c r="I17" s="125" t="str">
        <f>IFERROR(VLOOKUP(A17,'Tabela de preços'!A:C,3,FALSE),"")</f>
        <v>M³</v>
      </c>
      <c r="J17" s="125">
        <f>VLOOKUP(B17,Tabela_preços[[DESCRIÇÃO]:[VALOR]],3,FALSE)</f>
        <v>2900</v>
      </c>
      <c r="K17" s="127">
        <f t="shared" si="1"/>
        <v>290</v>
      </c>
      <c r="L17" s="65"/>
      <c r="M17" s="208" t="s">
        <v>238</v>
      </c>
      <c r="N17" s="209"/>
      <c r="O17" s="210" t="s">
        <v>242</v>
      </c>
      <c r="P17" s="211"/>
      <c r="Q17" s="211"/>
      <c r="R17" s="211"/>
      <c r="S17" s="211"/>
      <c r="T17" s="211"/>
      <c r="U17" s="209"/>
    </row>
    <row r="18" spans="1:21" ht="15.75" customHeight="1">
      <c r="A18" s="143" t="s">
        <v>243</v>
      </c>
      <c r="B18" s="144" t="str">
        <f>VLOOKUP(A18,'Tabela de preços'!A:B,2,FALSE)</f>
        <v>MADEIRA MACIÇA TAUARI (0.02X0.20X1.00)</v>
      </c>
      <c r="C18" s="144" t="str">
        <f>VLOOKUP(B18,'Tabela de preços'!B:C,2,FALSE)</f>
        <v>M³</v>
      </c>
      <c r="D18" s="144">
        <f>VLOOKUP(C18,'Tabela de preços'!C:D,2,FALSE)</f>
        <v>2900</v>
      </c>
      <c r="E18" s="144">
        <f>VLOOKUP(D18,'Tabela de preços'!D:E,2,FALSE)</f>
        <v>0</v>
      </c>
      <c r="F18" s="144" t="e">
        <f>VLOOKUP(E18,'Tabela de preços'!E:F,2,FALSE)</f>
        <v>#N/A</v>
      </c>
      <c r="G18" s="144" t="e">
        <f>VLOOKUP(F18,'Tabela de preços'!F:G,2,FALSE)</f>
        <v>#N/A</v>
      </c>
      <c r="H18" s="126">
        <v>0.1</v>
      </c>
      <c r="I18" s="125" t="str">
        <f>IFERROR(VLOOKUP(A18,'Tabela de preços'!A:C,3,FALSE),"")</f>
        <v>M³</v>
      </c>
      <c r="J18" s="125">
        <f>VLOOKUP(B18,Tabela_preços[[DESCRIÇÃO]:[VALOR]],3,FALSE)</f>
        <v>2900</v>
      </c>
      <c r="K18" s="127">
        <f t="shared" si="1"/>
        <v>290</v>
      </c>
      <c r="L18" s="65"/>
      <c r="M18" s="70"/>
      <c r="N18" s="70"/>
      <c r="O18" s="65"/>
      <c r="P18" s="61"/>
      <c r="Q18" s="61"/>
      <c r="R18" s="61"/>
      <c r="S18" s="61"/>
      <c r="T18" s="61"/>
      <c r="U18" s="61"/>
    </row>
    <row r="19" spans="1:21" ht="15.75" customHeight="1">
      <c r="A19" s="143" t="s">
        <v>245</v>
      </c>
      <c r="B19" s="144" t="str">
        <f>VLOOKUP(A19,'Tabela de preços'!A:B,2,FALSE)</f>
        <v>COLA TITE BOND 1KG</v>
      </c>
      <c r="C19" s="144" t="str">
        <f>VLOOKUP(B19,'Tabela de preços'!B:C,2,FALSE)</f>
        <v>UNID</v>
      </c>
      <c r="D19" s="144">
        <f>VLOOKUP(C19,'Tabela de preços'!C:D,2,FALSE)</f>
        <v>318.74</v>
      </c>
      <c r="E19" s="144">
        <f>VLOOKUP(D19,'Tabela de preços'!D:E,2,FALSE)</f>
        <v>0</v>
      </c>
      <c r="F19" s="144" t="e">
        <f>VLOOKUP(E19,'Tabela de preços'!E:F,2,FALSE)</f>
        <v>#N/A</v>
      </c>
      <c r="G19" s="144" t="e">
        <f>VLOOKUP(F19,'Tabela de preços'!F:G,2,FALSE)</f>
        <v>#N/A</v>
      </c>
      <c r="H19" s="126">
        <v>2</v>
      </c>
      <c r="I19" s="125" t="str">
        <f>IFERROR(VLOOKUP(A19,'Tabela de preços'!A:C,3,FALSE),"")</f>
        <v>UNID</v>
      </c>
      <c r="J19" s="125">
        <f>VLOOKUP(B19,Tabela_preços[[DESCRIÇÃO]:[VALOR]],3,FALSE)</f>
        <v>46.15</v>
      </c>
      <c r="K19" s="127">
        <f t="shared" si="1"/>
        <v>92.3</v>
      </c>
      <c r="L19" s="65"/>
      <c r="M19" s="70"/>
      <c r="N19" s="70"/>
      <c r="O19" s="65"/>
      <c r="P19" s="61"/>
      <c r="Q19" s="61"/>
      <c r="R19" s="61"/>
      <c r="S19" s="61"/>
      <c r="T19" s="61"/>
      <c r="U19" s="61"/>
    </row>
    <row r="20" spans="1:21" ht="15.75" customHeight="1">
      <c r="A20" s="143" t="s">
        <v>246</v>
      </c>
      <c r="B20" s="144" t="str">
        <f>VLOOKUP(A20,'Tabela de preços'!A:B,2,FALSE)</f>
        <v xml:space="preserve">BARRA TUBO 20 X 30 X 6,00 CH PRETO </v>
      </c>
      <c r="C20" s="144" t="str">
        <f>VLOOKUP(B20,'Tabela de preços'!B:C,2,FALSE)</f>
        <v>BARRA</v>
      </c>
      <c r="D20" s="144">
        <f>VLOOKUP(C20,'Tabela de preços'!C:D,2,FALSE)</f>
        <v>452</v>
      </c>
      <c r="E20" s="144">
        <f>VLOOKUP(D20,'Tabela de preços'!D:E,2,FALSE)</f>
        <v>0</v>
      </c>
      <c r="F20" s="144" t="e">
        <f>VLOOKUP(E20,'Tabela de preços'!E:F,2,FALSE)</f>
        <v>#N/A</v>
      </c>
      <c r="G20" s="144" t="e">
        <f>VLOOKUP(F20,'Tabela de preços'!F:G,2,FALSE)</f>
        <v>#N/A</v>
      </c>
      <c r="H20" s="126">
        <v>3</v>
      </c>
      <c r="I20" s="125" t="str">
        <f>IFERROR(VLOOKUP(A20,'Tabela de preços'!A:C,3,FALSE),"")</f>
        <v>BARRA</v>
      </c>
      <c r="J20" s="125">
        <f>VLOOKUP(B20,Tabela_preços[[DESCRIÇÃO]:[VALOR]],3,FALSE)</f>
        <v>58.65</v>
      </c>
      <c r="K20" s="127">
        <f t="shared" si="1"/>
        <v>175.95</v>
      </c>
      <c r="L20" s="65"/>
      <c r="M20" s="70"/>
      <c r="N20" s="70"/>
      <c r="O20" s="65"/>
      <c r="P20" s="61"/>
      <c r="Q20" s="61"/>
      <c r="R20" s="61"/>
      <c r="S20" s="61"/>
      <c r="T20" s="61"/>
      <c r="U20" s="61"/>
    </row>
    <row r="21" spans="1:21" ht="15.75" customHeight="1">
      <c r="A21" s="143" t="s">
        <v>247</v>
      </c>
      <c r="B21" s="144" t="str">
        <f>VLOOKUP(A21,'Tabela de preços'!A:B,2,FALSE)</f>
        <v>FUNDO ACABAMENTO BRILHO 0 MILESSI</v>
      </c>
      <c r="C21" s="144" t="str">
        <f>VLOOKUP(B21,'Tabela de preços'!B:C,2,FALSE)</f>
        <v>LT</v>
      </c>
      <c r="D21" s="144">
        <f>VLOOKUP(C21,'Tabela de preços'!C:D,2,FALSE)</f>
        <v>87.706800000000001</v>
      </c>
      <c r="E21" s="144" t="str">
        <f>VLOOKUP(D21,'Tabela de preços'!D:E,2,FALSE)</f>
        <v>25 LT</v>
      </c>
      <c r="F21" s="144">
        <f>VLOOKUP(E21,'Tabela de preços'!E:F,2,FALSE)</f>
        <v>0</v>
      </c>
      <c r="G21" s="144" t="e">
        <f>VLOOKUP(F21,'Tabela de preços'!F:G,2,FALSE)</f>
        <v>#N/A</v>
      </c>
      <c r="H21" s="126">
        <v>1.5</v>
      </c>
      <c r="I21" s="125" t="str">
        <f>IFERROR(VLOOKUP(A21,'Tabela de preços'!A:C,3,FALSE),"")</f>
        <v>LT</v>
      </c>
      <c r="J21" s="125">
        <f>VLOOKUP(B21,Tabela_preços[[DESCRIÇÃO]:[VALOR]],3,FALSE)</f>
        <v>87.706800000000001</v>
      </c>
      <c r="K21" s="127">
        <f t="shared" si="1"/>
        <v>131.56020000000001</v>
      </c>
      <c r="L21" s="65"/>
      <c r="M21" s="70"/>
      <c r="N21" s="70"/>
      <c r="O21" s="65"/>
      <c r="P21" s="61"/>
      <c r="Q21" s="61"/>
      <c r="R21" s="61"/>
      <c r="S21" s="61"/>
      <c r="T21" s="61"/>
      <c r="U21" s="61"/>
    </row>
    <row r="22" spans="1:21" ht="15.75" customHeight="1">
      <c r="A22" s="143" t="s">
        <v>248</v>
      </c>
      <c r="B22" s="144" t="str">
        <f>VLOOKUP(A22,'Tabela de preços'!A:B,2,FALSE)</f>
        <v>COLA PUR TEKBOND 500G</v>
      </c>
      <c r="C22" s="144" t="str">
        <f>VLOOKUP(B22,'Tabela de preços'!B:C,2,FALSE)</f>
        <v>UNID</v>
      </c>
      <c r="D22" s="144">
        <f>VLOOKUP(C22,'Tabela de preços'!C:D,2,FALSE)</f>
        <v>318.74</v>
      </c>
      <c r="E22" s="144">
        <f>VLOOKUP(D22,'Tabela de preços'!D:E,2,FALSE)</f>
        <v>0</v>
      </c>
      <c r="F22" s="144" t="e">
        <f>VLOOKUP(E22,'Tabela de preços'!E:F,2,FALSE)</f>
        <v>#N/A</v>
      </c>
      <c r="G22" s="144" t="e">
        <f>VLOOKUP(F22,'Tabela de preços'!F:G,2,FALSE)</f>
        <v>#N/A</v>
      </c>
      <c r="H22" s="126">
        <v>1</v>
      </c>
      <c r="I22" s="125" t="str">
        <f>IFERROR(VLOOKUP(A22,'Tabela de preços'!A:C,3,FALSE),"")</f>
        <v>UNID</v>
      </c>
      <c r="J22" s="125">
        <f>VLOOKUP(B22,Tabela_preços[[DESCRIÇÃO]:[VALOR]],3,FALSE)</f>
        <v>33.64</v>
      </c>
      <c r="K22" s="127">
        <f t="shared" si="1"/>
        <v>33.64</v>
      </c>
      <c r="L22" s="65"/>
      <c r="M22" s="70"/>
      <c r="N22" s="70"/>
      <c r="O22" s="65"/>
      <c r="P22" s="61"/>
      <c r="Q22" s="61"/>
      <c r="R22" s="61"/>
      <c r="S22" s="61"/>
      <c r="T22" s="61"/>
      <c r="U22" s="61"/>
    </row>
    <row r="23" spans="1:21" ht="15.75" customHeight="1">
      <c r="A23" s="143" t="s">
        <v>249</v>
      </c>
      <c r="B23" s="144" t="str">
        <f>VLOOKUP(A23,'Tabela de preços'!A:B,2,FALSE)</f>
        <v>COLA DE CONTATO 2,8KG</v>
      </c>
      <c r="C23" s="144" t="str">
        <f>VLOOKUP(B23,'Tabela de preços'!B:C,2,FALSE)</f>
        <v>UNID</v>
      </c>
      <c r="D23" s="144">
        <f>VLOOKUP(C23,'Tabela de preços'!C:D,2,FALSE)</f>
        <v>318.74</v>
      </c>
      <c r="E23" s="144">
        <f>VLOOKUP(D23,'Tabela de preços'!D:E,2,FALSE)</f>
        <v>0</v>
      </c>
      <c r="F23" s="144" t="e">
        <f>VLOOKUP(E23,'Tabela de preços'!E:F,2,FALSE)</f>
        <v>#N/A</v>
      </c>
      <c r="G23" s="144" t="e">
        <f>VLOOKUP(F23,'Tabela de preços'!F:G,2,FALSE)</f>
        <v>#N/A</v>
      </c>
      <c r="H23" s="126">
        <v>1</v>
      </c>
      <c r="I23" s="125" t="str">
        <f>IFERROR(VLOOKUP(A23,'Tabela de preços'!A:C,3,FALSE),"")</f>
        <v>UNID</v>
      </c>
      <c r="J23" s="125">
        <f>VLOOKUP(B23,Tabela_preços[[DESCRIÇÃO]:[VALOR]],3,FALSE)</f>
        <v>99</v>
      </c>
      <c r="K23" s="127">
        <f t="shared" si="1"/>
        <v>99</v>
      </c>
      <c r="L23" s="65"/>
      <c r="M23" s="70"/>
      <c r="N23" s="70"/>
      <c r="O23" s="65"/>
      <c r="P23" s="61"/>
      <c r="Q23" s="61"/>
      <c r="R23" s="61"/>
      <c r="S23" s="61"/>
      <c r="T23" s="61"/>
      <c r="U23" s="61"/>
    </row>
    <row r="24" spans="1:21" ht="15.75" customHeight="1">
      <c r="A24" s="143" t="s">
        <v>250</v>
      </c>
      <c r="B24" s="144" t="str">
        <f>VLOOKUP(A24,'Tabela de preços'!A:B,2,FALSE)</f>
        <v>GRAMPO TIPO ''U'' 80x12MM</v>
      </c>
      <c r="C24" s="144" t="str">
        <f>VLOOKUP(B24,'Tabela de preços'!B:C,2,FALSE)</f>
        <v>CT</v>
      </c>
      <c r="D24" s="144">
        <f>VLOOKUP(C24,'Tabela de preços'!C:D,2,FALSE)</f>
        <v>18</v>
      </c>
      <c r="E24" s="144" t="str">
        <f>VLOOKUP(D24,'Tabela de preços'!D:E,2,FALSE)</f>
        <v>1000 Unid</v>
      </c>
      <c r="F24" s="144">
        <f>VLOOKUP(E24,'Tabela de preços'!E:F,2,FALSE)</f>
        <v>0</v>
      </c>
      <c r="G24" s="144" t="e">
        <f>VLOOKUP(F24,'Tabela de preços'!F:G,2,FALSE)</f>
        <v>#N/A</v>
      </c>
      <c r="H24" s="126">
        <v>1</v>
      </c>
      <c r="I24" s="125" t="str">
        <f>IFERROR(VLOOKUP(A24,'Tabela de preços'!A:C,3,FALSE),"")</f>
        <v>CT</v>
      </c>
      <c r="J24" s="125">
        <f>VLOOKUP(B24,Tabela_preços[[DESCRIÇÃO]:[VALOR]],3,FALSE)</f>
        <v>2</v>
      </c>
      <c r="K24" s="127">
        <f t="shared" si="1"/>
        <v>2</v>
      </c>
      <c r="L24" s="65"/>
      <c r="M24" s="70"/>
      <c r="N24" s="70"/>
      <c r="O24" s="65"/>
      <c r="P24" s="61"/>
      <c r="Q24" s="61"/>
      <c r="R24" s="61"/>
      <c r="S24" s="61"/>
      <c r="T24" s="61"/>
      <c r="U24" s="61"/>
    </row>
    <row r="25" spans="1:21" ht="15.75" customHeight="1">
      <c r="A25" s="143" t="s">
        <v>251</v>
      </c>
      <c r="B25" s="144" t="str">
        <f>VLOOKUP(A25,'Tabela de preços'!A:B,2,FALSE)</f>
        <v>PINO F30 P/ PINADOR PNEUMATICO</v>
      </c>
      <c r="C25" s="144" t="str">
        <f>VLOOKUP(B25,'Tabela de preços'!B:C,2,FALSE)</f>
        <v>CT</v>
      </c>
      <c r="D25" s="144">
        <f>VLOOKUP(C25,'Tabela de preços'!C:D,2,FALSE)</f>
        <v>18</v>
      </c>
      <c r="E25" s="144" t="str">
        <f>VLOOKUP(D25,'Tabela de preços'!D:E,2,FALSE)</f>
        <v>1000 Unid</v>
      </c>
      <c r="F25" s="144">
        <f>VLOOKUP(E25,'Tabela de preços'!E:F,2,FALSE)</f>
        <v>0</v>
      </c>
      <c r="G25" s="144" t="e">
        <f>VLOOKUP(F25,'Tabela de preços'!F:G,2,FALSE)</f>
        <v>#N/A</v>
      </c>
      <c r="H25" s="126">
        <v>1</v>
      </c>
      <c r="I25" s="125" t="str">
        <f>IFERROR(VLOOKUP(A25,'Tabela de preços'!A:C,3,FALSE),"")</f>
        <v>CT</v>
      </c>
      <c r="J25" s="125">
        <f>VLOOKUP(B25,Tabela_preços[[DESCRIÇÃO]:[VALOR]],3,FALSE)</f>
        <v>0.45200000000000001</v>
      </c>
      <c r="K25" s="127">
        <f t="shared" si="1"/>
        <v>0.45200000000000001</v>
      </c>
      <c r="L25" s="65"/>
      <c r="M25" s="70"/>
      <c r="N25" s="70"/>
      <c r="O25" s="65"/>
      <c r="P25" s="61"/>
      <c r="Q25" s="61"/>
      <c r="R25" s="61"/>
      <c r="S25" s="61"/>
      <c r="T25" s="61"/>
      <c r="U25" s="61"/>
    </row>
    <row r="26" spans="1:21" ht="15.75" customHeight="1">
      <c r="A26" s="121"/>
      <c r="B26" s="120"/>
      <c r="C26" s="120"/>
      <c r="D26" s="120"/>
      <c r="E26" s="120"/>
      <c r="F26" s="120"/>
      <c r="G26" s="120"/>
      <c r="H26" s="120"/>
      <c r="I26" s="102"/>
      <c r="J26" s="132"/>
      <c r="K26" s="133"/>
      <c r="L26" s="65"/>
      <c r="M26" s="65"/>
      <c r="N26" s="65"/>
      <c r="O26" s="65"/>
      <c r="P26" s="61"/>
      <c r="Q26" s="61"/>
      <c r="R26" s="61"/>
      <c r="S26" s="61"/>
      <c r="T26" s="61"/>
      <c r="U26" s="61"/>
    </row>
    <row r="27" spans="1:21" ht="24">
      <c r="A27" s="142" t="s">
        <v>312</v>
      </c>
      <c r="B27" s="136"/>
      <c r="C27" s="135"/>
      <c r="D27" s="135"/>
      <c r="E27" s="137"/>
      <c r="F27" s="138"/>
      <c r="G27" s="138"/>
      <c r="H27" s="139" t="s">
        <v>313</v>
      </c>
      <c r="I27" s="140" t="s">
        <v>314</v>
      </c>
      <c r="J27" s="141" t="s">
        <v>223</v>
      </c>
      <c r="K27" s="141" t="s">
        <v>281</v>
      </c>
      <c r="L27" s="62"/>
      <c r="M27" s="65"/>
      <c r="N27" s="62"/>
      <c r="O27" s="62"/>
      <c r="P27" s="61"/>
      <c r="Q27" s="61"/>
      <c r="R27" s="61"/>
      <c r="S27" s="61"/>
      <c r="T27" s="61"/>
      <c r="U27" s="61"/>
    </row>
    <row r="28" spans="1:21" ht="15.75" customHeight="1">
      <c r="A28" s="143" t="s">
        <v>253</v>
      </c>
      <c r="B28" s="144" t="str">
        <f>VLOOKUP(A28,'Tabela de preços'!A:B,2,FALSE)</f>
        <v>PARAFUSO BICROMATIZADO PHILIPS 6.0X80MM</v>
      </c>
      <c r="C28" s="144" t="str">
        <f>VLOOKUP(B28,'Tabela de preços'!B:C,2,FALSE)</f>
        <v>CT</v>
      </c>
      <c r="D28" s="144">
        <f>VLOOKUP(C28,'Tabela de preços'!C:D,2,FALSE)</f>
        <v>18</v>
      </c>
      <c r="E28" s="144" t="str">
        <f>VLOOKUP(D28,'Tabela de preços'!D:E,2,FALSE)</f>
        <v>1000 Unid</v>
      </c>
      <c r="F28" s="144">
        <f>VLOOKUP(E28,'Tabela de preços'!E:F,2,FALSE)</f>
        <v>0</v>
      </c>
      <c r="G28" s="144" t="e">
        <f>VLOOKUP(F28,'Tabela de preços'!F:G,2,FALSE)</f>
        <v>#N/A</v>
      </c>
      <c r="H28" s="126">
        <v>1</v>
      </c>
      <c r="I28" s="125" t="str">
        <f>IFERROR(VLOOKUP(A28,'Tabela de preços'!A:C,3,FALSE),"")</f>
        <v>CT</v>
      </c>
      <c r="J28" s="125">
        <f>VLOOKUP(B28,Tabela_preços[[DESCRIÇÃO]:[VALOR]],3,FALSE)</f>
        <v>28.000000000000004</v>
      </c>
      <c r="K28" s="127">
        <f t="shared" ref="K28:K29" si="2">J28*H28</f>
        <v>28.000000000000004</v>
      </c>
      <c r="M28" s="65"/>
      <c r="N28" s="198"/>
      <c r="O28" s="199"/>
      <c r="P28" s="61"/>
      <c r="Q28" s="61"/>
      <c r="R28" s="61"/>
      <c r="S28" s="61"/>
      <c r="T28" s="61"/>
      <c r="U28" s="61"/>
    </row>
    <row r="29" spans="1:21" ht="15.75" customHeight="1">
      <c r="A29" s="143" t="s">
        <v>254</v>
      </c>
      <c r="B29" s="144" t="str">
        <f>VLOOKUP(A29,'Tabela de preços'!A:B,2,FALSE)</f>
        <v>BUCHA 08MM</v>
      </c>
      <c r="C29" s="144" t="str">
        <f>VLOOKUP(B29,'Tabela de preços'!B:C,2,FALSE)</f>
        <v>CT</v>
      </c>
      <c r="D29" s="144">
        <f>VLOOKUP(C29,'Tabela de preços'!C:D,2,FALSE)</f>
        <v>18</v>
      </c>
      <c r="E29" s="144" t="str">
        <f>VLOOKUP(D29,'Tabela de preços'!D:E,2,FALSE)</f>
        <v>1000 Unid</v>
      </c>
      <c r="F29" s="144">
        <f>VLOOKUP(E29,'Tabela de preços'!E:F,2,FALSE)</f>
        <v>0</v>
      </c>
      <c r="G29" s="144" t="e">
        <f>VLOOKUP(F29,'Tabela de preços'!F:G,2,FALSE)</f>
        <v>#N/A</v>
      </c>
      <c r="H29" s="126">
        <v>1</v>
      </c>
      <c r="I29" s="125" t="str">
        <f>IFERROR(VLOOKUP(A29,'Tabela de preços'!A:C,3,FALSE),"")</f>
        <v>CT</v>
      </c>
      <c r="J29" s="125">
        <f>VLOOKUP(B29,Tabela_preços[[DESCRIÇÃO]:[VALOR]],3,FALSE)</f>
        <v>18</v>
      </c>
      <c r="K29" s="127">
        <f t="shared" si="2"/>
        <v>18</v>
      </c>
      <c r="M29" s="65"/>
      <c r="N29" s="199"/>
      <c r="O29" s="199"/>
      <c r="P29" s="61"/>
      <c r="Q29" s="61"/>
      <c r="R29" s="61"/>
      <c r="S29" s="61"/>
      <c r="T29" s="61"/>
      <c r="U29" s="61"/>
    </row>
    <row r="31" spans="1:21" ht="15.75" customHeight="1">
      <c r="J31" s="95" t="s">
        <v>288</v>
      </c>
      <c r="K31" s="94">
        <f>SUM(K6:K29)</f>
        <v>3607.1531999999997</v>
      </c>
    </row>
  </sheetData>
  <mergeCells count="13">
    <mergeCell ref="A1:J1"/>
    <mergeCell ref="A3:E3"/>
    <mergeCell ref="L5:M5"/>
    <mergeCell ref="N28:O29"/>
    <mergeCell ref="M17:N17"/>
    <mergeCell ref="O17:U17"/>
    <mergeCell ref="M8:N8"/>
    <mergeCell ref="M9:N9"/>
    <mergeCell ref="M10:N10"/>
    <mergeCell ref="M12:N12"/>
    <mergeCell ref="O12:U12"/>
    <mergeCell ref="M16:N16"/>
    <mergeCell ref="O16:U1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outlinePr summaryBelow="0" summaryRight="0"/>
  </sheetPr>
  <dimension ref="A1:M994"/>
  <sheetViews>
    <sheetView showGridLines="0" workbookViewId="0">
      <selection activeCell="B23" sqref="B23"/>
    </sheetView>
  </sheetViews>
  <sheetFormatPr defaultColWidth="12.5703125" defaultRowHeight="15.75" customHeight="1"/>
  <cols>
    <col min="1" max="1" width="26.140625" customWidth="1"/>
    <col min="2" max="2" width="57.140625" customWidth="1"/>
    <col min="3" max="7" width="0" hidden="1" customWidth="1"/>
    <col min="8" max="8" width="7.42578125" style="146" customWidth="1"/>
    <col min="9" max="9" width="8.7109375" style="146" bestFit="1" customWidth="1"/>
    <col min="10" max="10" width="12.7109375" style="146" customWidth="1"/>
    <col min="11" max="11" width="12.5703125" style="146"/>
  </cols>
  <sheetData>
    <row r="1" spans="1:13" ht="15.75" customHeight="1">
      <c r="A1" s="61" t="s">
        <v>255</v>
      </c>
      <c r="B1" s="61"/>
      <c r="C1" s="61"/>
      <c r="D1" s="61"/>
      <c r="E1" s="61"/>
      <c r="F1" s="61"/>
      <c r="G1" s="61"/>
      <c r="H1" s="68"/>
      <c r="I1" s="68"/>
      <c r="J1" s="68"/>
      <c r="K1" s="68"/>
      <c r="L1" s="61"/>
      <c r="M1" s="61"/>
    </row>
    <row r="2" spans="1:13" ht="15.75" customHeight="1">
      <c r="A2" s="61"/>
      <c r="B2" s="116" t="s">
        <v>256</v>
      </c>
      <c r="C2" s="99"/>
      <c r="D2" s="99"/>
      <c r="E2" s="99"/>
      <c r="F2" s="99"/>
      <c r="G2" s="99"/>
      <c r="H2" s="148"/>
      <c r="I2" s="148"/>
      <c r="J2" s="148"/>
      <c r="K2" s="148"/>
      <c r="L2" s="60"/>
      <c r="M2" s="60"/>
    </row>
    <row r="3" spans="1:13" ht="15.75" customHeight="1">
      <c r="A3" s="61"/>
      <c r="B3" s="62"/>
      <c r="C3" s="62"/>
      <c r="D3" s="62"/>
      <c r="E3" s="62"/>
      <c r="F3" s="63"/>
      <c r="G3" s="63"/>
      <c r="H3" s="71"/>
      <c r="I3" s="71"/>
      <c r="J3" s="71"/>
      <c r="K3" s="73"/>
      <c r="L3" s="65"/>
      <c r="M3" s="65"/>
    </row>
    <row r="4" spans="1:13" ht="15.75" customHeight="1">
      <c r="A4" s="61" t="s">
        <v>255</v>
      </c>
      <c r="B4" s="117" t="s">
        <v>220</v>
      </c>
      <c r="C4" s="99"/>
      <c r="D4" s="99"/>
      <c r="E4" s="99"/>
      <c r="F4" s="97"/>
      <c r="G4" s="63"/>
      <c r="H4" s="71"/>
      <c r="I4" s="71"/>
      <c r="J4" s="71"/>
      <c r="K4" s="73"/>
      <c r="L4" s="65"/>
      <c r="M4" s="65"/>
    </row>
    <row r="5" spans="1:13" ht="15.75" customHeight="1">
      <c r="A5" s="61"/>
      <c r="B5" s="62"/>
      <c r="C5" s="62"/>
      <c r="D5" s="62"/>
      <c r="E5" s="62"/>
      <c r="F5" s="63"/>
      <c r="G5" s="63"/>
      <c r="H5" s="71"/>
      <c r="I5" s="71"/>
      <c r="J5" s="71"/>
      <c r="K5" s="74"/>
      <c r="L5" s="61"/>
      <c r="M5" s="61"/>
    </row>
    <row r="6" spans="1:13" ht="15.75" customHeight="1">
      <c r="A6" s="120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67"/>
      <c r="M6" s="65"/>
    </row>
    <row r="7" spans="1:13" ht="15.75" customHeight="1">
      <c r="A7" s="152" t="s">
        <v>224</v>
      </c>
      <c r="B7" s="153" t="s">
        <v>290</v>
      </c>
      <c r="C7" s="154"/>
      <c r="D7" s="154"/>
      <c r="E7" s="154"/>
      <c r="F7" s="154"/>
      <c r="G7" s="154"/>
      <c r="H7" s="126">
        <v>1</v>
      </c>
      <c r="I7" s="125" t="s">
        <v>282</v>
      </c>
      <c r="J7" s="125">
        <f>VLOOKUP(B7,Tabela_preços[[DESCRIÇÃO]:[VALOR]],3,FALSE)</f>
        <v>99.99</v>
      </c>
      <c r="K7" s="125">
        <f>J7*H7</f>
        <v>99.99</v>
      </c>
      <c r="L7" s="70"/>
      <c r="M7" s="65"/>
    </row>
    <row r="8" spans="1:13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25" t="s">
        <v>282</v>
      </c>
      <c r="J8" s="125">
        <f>VLOOKUP(B8,Tabela_preços[[DESCRIÇÃO]:[VALOR]],3,FALSE)</f>
        <v>17.512</v>
      </c>
      <c r="K8" s="125">
        <f t="shared" ref="K8:K12" si="0">J8*H8</f>
        <v>17.512</v>
      </c>
      <c r="L8" s="70"/>
      <c r="M8" s="65"/>
    </row>
    <row r="9" spans="1:13" ht="15.75" customHeight="1">
      <c r="A9" s="152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25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70"/>
      <c r="M9" s="65"/>
    </row>
    <row r="10" spans="1:13" ht="15.75" customHeight="1">
      <c r="A10" s="152" t="s">
        <v>257</v>
      </c>
      <c r="B10" s="153" t="s">
        <v>291</v>
      </c>
      <c r="C10" s="154"/>
      <c r="D10" s="154"/>
      <c r="E10" s="154"/>
      <c r="F10" s="154"/>
      <c r="G10" s="154"/>
      <c r="H10" s="126">
        <v>2</v>
      </c>
      <c r="I10" s="125" t="s">
        <v>282</v>
      </c>
      <c r="J10" s="125">
        <f>VLOOKUP(B10,Tabela_preços[[DESCRIÇÃO]:[VALOR]],3,FALSE)</f>
        <v>13.6</v>
      </c>
      <c r="K10" s="125">
        <f t="shared" si="0"/>
        <v>27.2</v>
      </c>
      <c r="L10" s="67"/>
      <c r="M10" s="65"/>
    </row>
    <row r="11" spans="1:13" ht="15.75" customHeight="1">
      <c r="A11" s="152" t="s">
        <v>259</v>
      </c>
      <c r="B11" s="153" t="s">
        <v>260</v>
      </c>
      <c r="C11" s="154"/>
      <c r="D11" s="154"/>
      <c r="E11" s="154"/>
      <c r="F11" s="154"/>
      <c r="G11" s="154"/>
      <c r="H11" s="126">
        <v>1</v>
      </c>
      <c r="I11" s="125" t="s">
        <v>282</v>
      </c>
      <c r="J11" s="125">
        <f>VLOOKUP(B11,Tabela_preços[[DESCRIÇÃO]:[VALOR]],3,FALSE)</f>
        <v>33.26</v>
      </c>
      <c r="K11" s="125">
        <f t="shared" si="0"/>
        <v>33.26</v>
      </c>
      <c r="L11" s="67"/>
      <c r="M11" s="65"/>
    </row>
    <row r="12" spans="1:13" ht="15.75" customHeight="1">
      <c r="A12" s="152" t="s">
        <v>231</v>
      </c>
      <c r="B12" s="153" t="s">
        <v>232</v>
      </c>
      <c r="C12" s="154"/>
      <c r="D12" s="154"/>
      <c r="E12" s="154"/>
      <c r="F12" s="154"/>
      <c r="G12" s="154"/>
      <c r="H12" s="126">
        <v>1</v>
      </c>
      <c r="I12" s="125" t="s">
        <v>282</v>
      </c>
      <c r="J12" s="125">
        <f>VLOOKUP(B12,Tabela_preços[[DESCRIÇÃO]:[VALOR]],3,FALSE)</f>
        <v>105.20399999999999</v>
      </c>
      <c r="K12" s="125">
        <f t="shared" si="0"/>
        <v>105.20399999999999</v>
      </c>
      <c r="L12" s="70"/>
      <c r="M12" s="65"/>
    </row>
    <row r="13" spans="1:13" ht="15.75" customHeight="1">
      <c r="A13" s="149"/>
      <c r="B13" s="175"/>
      <c r="C13" s="83"/>
      <c r="D13" s="83"/>
      <c r="E13" s="83"/>
      <c r="F13" s="83"/>
      <c r="G13" s="83"/>
      <c r="H13" s="180"/>
      <c r="I13" s="79"/>
      <c r="J13" s="79"/>
      <c r="K13" s="79"/>
      <c r="L13" s="70"/>
      <c r="M13" s="65"/>
    </row>
    <row r="14" spans="1:13" ht="15.75" customHeight="1">
      <c r="A14" s="65"/>
      <c r="B14" s="65"/>
      <c r="C14" s="65"/>
      <c r="D14" s="65"/>
      <c r="E14" s="65"/>
      <c r="F14" s="65"/>
      <c r="G14" s="65"/>
      <c r="H14" s="78"/>
      <c r="I14" s="78"/>
      <c r="J14" s="78"/>
      <c r="K14" s="78"/>
      <c r="L14" s="70"/>
      <c r="M14" s="65"/>
    </row>
    <row r="15" spans="1:13" ht="15.75" customHeight="1">
      <c r="A15" s="120"/>
      <c r="B15" s="156" t="s">
        <v>235</v>
      </c>
      <c r="C15" s="154"/>
      <c r="D15" s="154"/>
      <c r="E15" s="119"/>
      <c r="F15" s="122"/>
      <c r="G15" s="122"/>
      <c r="H15" s="165" t="s">
        <v>222</v>
      </c>
      <c r="I15" s="166" t="s">
        <v>285</v>
      </c>
      <c r="J15" s="171" t="s">
        <v>223</v>
      </c>
      <c r="K15" s="171" t="s">
        <v>281</v>
      </c>
      <c r="L15" s="75"/>
      <c r="M15" s="62"/>
    </row>
    <row r="16" spans="1:13" ht="15.75" customHeight="1">
      <c r="A16" s="152" t="s">
        <v>236</v>
      </c>
      <c r="B16" s="153" t="s">
        <v>237</v>
      </c>
      <c r="C16" s="154"/>
      <c r="D16" s="154"/>
      <c r="E16" s="154"/>
      <c r="F16" s="154"/>
      <c r="G16" s="154"/>
      <c r="H16" s="126">
        <v>2</v>
      </c>
      <c r="I16" s="125" t="s">
        <v>282</v>
      </c>
      <c r="J16" s="125">
        <f>VLOOKUP(B16,Tabela_preços[[DESCRIÇÃO]:[VALOR]],3,FALSE)</f>
        <v>185</v>
      </c>
      <c r="K16" s="125">
        <f t="shared" ref="K16:K25" si="1">J16*H16</f>
        <v>370</v>
      </c>
      <c r="L16" s="70"/>
      <c r="M16" s="65"/>
    </row>
    <row r="17" spans="1:13" ht="15.75" customHeight="1">
      <c r="A17" s="152">
        <v>865</v>
      </c>
      <c r="B17" s="153" t="s">
        <v>305</v>
      </c>
      <c r="C17" s="154"/>
      <c r="D17" s="154"/>
      <c r="E17" s="154"/>
      <c r="F17" s="154"/>
      <c r="G17" s="154"/>
      <c r="H17" s="126">
        <v>17</v>
      </c>
      <c r="I17" s="125" t="s">
        <v>283</v>
      </c>
      <c r="J17" s="125">
        <f>VLOOKUP(B17,Tabela_preços[[DESCRIÇÃO]:[VALOR]],3,FALSE)</f>
        <v>65</v>
      </c>
      <c r="K17" s="125">
        <f t="shared" si="1"/>
        <v>1105</v>
      </c>
      <c r="L17" s="70"/>
      <c r="M17" s="65"/>
    </row>
    <row r="18" spans="1:13" ht="15.75" customHeight="1">
      <c r="A18" s="160" t="s">
        <v>240</v>
      </c>
      <c r="B18" s="150" t="s">
        <v>241</v>
      </c>
      <c r="C18" s="154"/>
      <c r="D18" s="154"/>
      <c r="E18" s="154"/>
      <c r="F18" s="154"/>
      <c r="G18" s="154"/>
      <c r="H18" s="126">
        <v>0.1</v>
      </c>
      <c r="I18" s="125" t="s">
        <v>287</v>
      </c>
      <c r="J18" s="125">
        <f>VLOOKUP(B18,Tabela_preços[[DESCRIÇÃO]:[VALOR]],3,FALSE)</f>
        <v>2900</v>
      </c>
      <c r="K18" s="125">
        <f t="shared" si="1"/>
        <v>290</v>
      </c>
      <c r="L18" s="70"/>
      <c r="M18" s="65"/>
    </row>
    <row r="19" spans="1:13" ht="15.75" customHeight="1">
      <c r="A19" s="160" t="s">
        <v>243</v>
      </c>
      <c r="B19" s="150" t="s">
        <v>244</v>
      </c>
      <c r="C19" s="154"/>
      <c r="D19" s="154"/>
      <c r="E19" s="154"/>
      <c r="F19" s="154"/>
      <c r="G19" s="154"/>
      <c r="H19" s="126">
        <v>0.1</v>
      </c>
      <c r="I19" s="125" t="s">
        <v>282</v>
      </c>
      <c r="J19" s="125">
        <f>VLOOKUP(B19,Tabela_preços[[DESCRIÇÃO]:[VALOR]],3,FALSE)</f>
        <v>2900</v>
      </c>
      <c r="K19" s="125">
        <f t="shared" si="1"/>
        <v>290</v>
      </c>
      <c r="L19" s="70"/>
      <c r="M19" s="65"/>
    </row>
    <row r="20" spans="1:13" ht="15.75" customHeight="1">
      <c r="A20" s="152" t="s">
        <v>245</v>
      </c>
      <c r="B20" s="153" t="s">
        <v>302</v>
      </c>
      <c r="C20" s="154"/>
      <c r="D20" s="154"/>
      <c r="E20" s="154"/>
      <c r="F20" s="154"/>
      <c r="G20" s="154"/>
      <c r="H20" s="126">
        <v>2</v>
      </c>
      <c r="I20" s="125" t="s">
        <v>282</v>
      </c>
      <c r="J20" s="125">
        <f>VLOOKUP(B20,Tabela_preços[[DESCRIÇÃO]:[VALOR]],3,FALSE)</f>
        <v>46.15</v>
      </c>
      <c r="K20" s="125">
        <f t="shared" si="1"/>
        <v>92.3</v>
      </c>
      <c r="L20" s="70"/>
      <c r="M20" s="65"/>
    </row>
    <row r="21" spans="1:13" ht="15.75" customHeight="1">
      <c r="A21" s="152" t="s">
        <v>246</v>
      </c>
      <c r="B21" s="153" t="s">
        <v>297</v>
      </c>
      <c r="C21" s="154"/>
      <c r="D21" s="154"/>
      <c r="E21" s="154"/>
      <c r="F21" s="154"/>
      <c r="G21" s="154"/>
      <c r="H21" s="126">
        <v>3</v>
      </c>
      <c r="I21" s="125" t="s">
        <v>296</v>
      </c>
      <c r="J21" s="125">
        <f>VLOOKUP(B21,Tabela_preços[[DESCRIÇÃO]:[VALOR]],3,FALSE)</f>
        <v>58.65</v>
      </c>
      <c r="K21" s="125">
        <f t="shared" si="1"/>
        <v>175.95</v>
      </c>
      <c r="L21" s="70"/>
      <c r="M21" s="65"/>
    </row>
    <row r="22" spans="1:13" ht="15.75" customHeight="1">
      <c r="A22" s="152" t="s">
        <v>247</v>
      </c>
      <c r="B22" s="153" t="s">
        <v>261</v>
      </c>
      <c r="C22" s="154"/>
      <c r="D22" s="154"/>
      <c r="E22" s="154"/>
      <c r="F22" s="154"/>
      <c r="G22" s="154"/>
      <c r="H22" s="126">
        <v>1.5</v>
      </c>
      <c r="I22" s="125" t="s">
        <v>282</v>
      </c>
      <c r="J22" s="125">
        <f>VLOOKUP(B22,Tabela_preços[[DESCRIÇÃO]:[VALOR]],3,FALSE)</f>
        <v>87.706800000000001</v>
      </c>
      <c r="K22" s="125">
        <f t="shared" si="1"/>
        <v>131.56020000000001</v>
      </c>
      <c r="L22" s="70"/>
      <c r="M22" s="65"/>
    </row>
    <row r="23" spans="1:13" ht="15.75" customHeight="1">
      <c r="A23" s="152" t="s">
        <v>248</v>
      </c>
      <c r="B23" s="153" t="s">
        <v>301</v>
      </c>
      <c r="C23" s="154"/>
      <c r="D23" s="154"/>
      <c r="E23" s="154"/>
      <c r="F23" s="154"/>
      <c r="G23" s="154"/>
      <c r="H23" s="126">
        <v>2</v>
      </c>
      <c r="I23" s="125" t="s">
        <v>282</v>
      </c>
      <c r="J23" s="125">
        <f>VLOOKUP(B23,Tabela_preços[[DESCRIÇÃO]:[VALOR]],3,FALSE)</f>
        <v>33.64</v>
      </c>
      <c r="K23" s="125">
        <f t="shared" si="1"/>
        <v>67.28</v>
      </c>
      <c r="L23" s="70"/>
      <c r="M23" s="65"/>
    </row>
    <row r="24" spans="1:13" ht="15.75" customHeight="1">
      <c r="A24" s="152" t="s">
        <v>249</v>
      </c>
      <c r="B24" s="153" t="s">
        <v>299</v>
      </c>
      <c r="C24" s="154"/>
      <c r="D24" s="154"/>
      <c r="E24" s="154"/>
      <c r="F24" s="154"/>
      <c r="G24" s="154"/>
      <c r="H24" s="126">
        <v>1</v>
      </c>
      <c r="I24" s="125" t="s">
        <v>282</v>
      </c>
      <c r="J24" s="125">
        <f>VLOOKUP(B24,Tabela_preços[[DESCRIÇÃO]:[VALOR]],3,FALSE)</f>
        <v>99</v>
      </c>
      <c r="K24" s="125">
        <f t="shared" si="1"/>
        <v>99</v>
      </c>
      <c r="L24" s="70"/>
      <c r="M24" s="65"/>
    </row>
    <row r="25" spans="1:13" ht="15.75" customHeight="1">
      <c r="A25" s="152" t="s">
        <v>250</v>
      </c>
      <c r="B25" s="153" t="s">
        <v>310</v>
      </c>
      <c r="C25" s="154"/>
      <c r="D25" s="154"/>
      <c r="E25" s="154"/>
      <c r="F25" s="154"/>
      <c r="G25" s="154"/>
      <c r="H25" s="126">
        <v>1</v>
      </c>
      <c r="I25" s="125" t="s">
        <v>300</v>
      </c>
      <c r="J25" s="125">
        <f>VLOOKUP(B25,Tabela_preços[[DESCRIÇÃO]:[VALOR]],3,FALSE)</f>
        <v>2</v>
      </c>
      <c r="K25" s="125">
        <f t="shared" si="1"/>
        <v>2</v>
      </c>
      <c r="L25" s="70"/>
      <c r="M25" s="65"/>
    </row>
    <row r="26" spans="1:13" ht="15.75" customHeight="1">
      <c r="A26" s="152" t="s">
        <v>251</v>
      </c>
      <c r="B26" s="153" t="s">
        <v>307</v>
      </c>
      <c r="C26" s="154"/>
      <c r="D26" s="154"/>
      <c r="E26" s="154"/>
      <c r="F26" s="154"/>
      <c r="G26" s="154"/>
      <c r="H26" s="126">
        <v>1</v>
      </c>
      <c r="I26" s="125" t="s">
        <v>300</v>
      </c>
      <c r="J26" s="125">
        <f>VLOOKUP(B26,Tabela_preços[[DESCRIÇÃO]:[VALOR]],3,FALSE)</f>
        <v>0.45200000000000001</v>
      </c>
      <c r="K26" s="125">
        <f t="shared" ref="K26" si="2">J26*H26</f>
        <v>0.45200000000000001</v>
      </c>
      <c r="L26" s="70"/>
      <c r="M26" s="65"/>
    </row>
    <row r="27" spans="1:13" ht="15.75" customHeight="1">
      <c r="A27" s="61"/>
      <c r="B27" s="72"/>
      <c r="C27" s="61"/>
      <c r="D27" s="61"/>
      <c r="E27" s="61"/>
      <c r="F27" s="61"/>
      <c r="G27" s="61"/>
      <c r="H27" s="68"/>
      <c r="I27" s="90"/>
      <c r="L27" s="65"/>
      <c r="M27" s="65"/>
    </row>
    <row r="28" spans="1:13" ht="15.75" customHeight="1">
      <c r="A28" s="120"/>
      <c r="B28" s="156" t="s">
        <v>252</v>
      </c>
      <c r="C28" s="154"/>
      <c r="D28" s="154"/>
      <c r="E28" s="119"/>
      <c r="F28" s="122"/>
      <c r="G28" s="122"/>
      <c r="H28" s="165" t="s">
        <v>222</v>
      </c>
      <c r="I28" s="166" t="s">
        <v>285</v>
      </c>
      <c r="J28" s="171" t="s">
        <v>223</v>
      </c>
      <c r="K28" s="171" t="s">
        <v>281</v>
      </c>
      <c r="L28" s="62"/>
      <c r="M28" s="62"/>
    </row>
    <row r="29" spans="1:13" ht="15.75" customHeight="1">
      <c r="A29" s="152" t="s">
        <v>253</v>
      </c>
      <c r="B29" s="153" t="s">
        <v>306</v>
      </c>
      <c r="C29" s="159"/>
      <c r="D29" s="159"/>
      <c r="E29" s="159"/>
      <c r="F29" s="159"/>
      <c r="G29" s="159"/>
      <c r="H29" s="169">
        <v>0.2</v>
      </c>
      <c r="I29" s="125" t="s">
        <v>300</v>
      </c>
      <c r="J29" s="125">
        <f>VLOOKUP(B29,Tabela_preços[[DESCRIÇÃO]:[VALOR]],3,FALSE)</f>
        <v>28.000000000000004</v>
      </c>
      <c r="K29" s="125">
        <f t="shared" ref="K29:K30" si="3">J29*H29</f>
        <v>5.6000000000000014</v>
      </c>
      <c r="L29" s="62"/>
      <c r="M29" s="62"/>
    </row>
    <row r="30" spans="1:13" ht="15.75" customHeight="1">
      <c r="A30" s="152" t="s">
        <v>254</v>
      </c>
      <c r="B30" s="153" t="s">
        <v>298</v>
      </c>
      <c r="C30" s="154"/>
      <c r="D30" s="154"/>
      <c r="E30" s="154"/>
      <c r="F30" s="154"/>
      <c r="G30" s="154"/>
      <c r="H30" s="126">
        <v>0.2</v>
      </c>
      <c r="I30" s="125" t="s">
        <v>300</v>
      </c>
      <c r="J30" s="125">
        <f>VLOOKUP(B30,Tabela_preços[[DESCRIÇÃO]:[VALOR]],3,FALSE)</f>
        <v>18</v>
      </c>
      <c r="K30" s="125">
        <f t="shared" si="3"/>
        <v>3.6</v>
      </c>
      <c r="L30" s="198"/>
      <c r="M30" s="199"/>
    </row>
    <row r="31" spans="1:13" ht="12.75">
      <c r="K31" s="76"/>
    </row>
    <row r="32" spans="1:13" ht="12.75">
      <c r="J32" s="95" t="s">
        <v>288</v>
      </c>
      <c r="K32" s="177">
        <f>SUM(K6:K30)</f>
        <v>2987.3081999999999</v>
      </c>
    </row>
    <row r="33" spans="11:11" ht="12.75">
      <c r="K33" s="76"/>
    </row>
    <row r="34" spans="11:11" ht="12.75">
      <c r="K34" s="76"/>
    </row>
    <row r="35" spans="11:11" ht="12.75">
      <c r="K35" s="76"/>
    </row>
    <row r="36" spans="11:11" ht="12.75">
      <c r="K36" s="76"/>
    </row>
    <row r="37" spans="11:11" ht="12.75">
      <c r="K37" s="76"/>
    </row>
    <row r="38" spans="11:11" ht="12.75">
      <c r="K38" s="76"/>
    </row>
    <row r="39" spans="11:11" ht="12.75">
      <c r="K39" s="76"/>
    </row>
    <row r="40" spans="11:11" ht="12.75">
      <c r="K40" s="76"/>
    </row>
    <row r="41" spans="11:11" ht="12.75">
      <c r="K41" s="76"/>
    </row>
    <row r="42" spans="11:11" ht="12.75">
      <c r="K42" s="76"/>
    </row>
    <row r="43" spans="11:11" ht="12.75">
      <c r="K43" s="76"/>
    </row>
    <row r="44" spans="11:11" ht="12.75">
      <c r="K44" s="76"/>
    </row>
    <row r="45" spans="11:11" ht="12.75">
      <c r="K45" s="76"/>
    </row>
    <row r="46" spans="11:11" ht="12.75">
      <c r="K46" s="76"/>
    </row>
    <row r="47" spans="11:11" ht="12.75">
      <c r="K47" s="76"/>
    </row>
    <row r="48" spans="11:11" ht="12.75">
      <c r="K48" s="76"/>
    </row>
    <row r="49" spans="11:11" ht="12.75">
      <c r="K49" s="76"/>
    </row>
    <row r="50" spans="11:11" ht="12.75">
      <c r="K50" s="76"/>
    </row>
    <row r="51" spans="11:11" ht="12.75">
      <c r="K51" s="76"/>
    </row>
    <row r="52" spans="11:11" ht="12.75">
      <c r="K52" s="76"/>
    </row>
    <row r="53" spans="11:11" ht="12.75">
      <c r="K53" s="76"/>
    </row>
    <row r="54" spans="11:11" ht="12.75">
      <c r="K54" s="76"/>
    </row>
    <row r="55" spans="11:11" ht="12.75">
      <c r="K55" s="76"/>
    </row>
    <row r="56" spans="11:11" ht="12.75">
      <c r="K56" s="76"/>
    </row>
    <row r="57" spans="11:11" ht="12.75">
      <c r="K57" s="76"/>
    </row>
    <row r="58" spans="11:11" ht="12.75">
      <c r="K58" s="76"/>
    </row>
    <row r="59" spans="11:11" ht="12.75">
      <c r="K59" s="76"/>
    </row>
    <row r="60" spans="11:11" ht="12.75">
      <c r="K60" s="76"/>
    </row>
    <row r="61" spans="11:11" ht="12.75">
      <c r="K61" s="76"/>
    </row>
    <row r="62" spans="11:11" ht="12.75">
      <c r="K62" s="76"/>
    </row>
    <row r="63" spans="11:11" ht="12.75">
      <c r="K63" s="76"/>
    </row>
    <row r="64" spans="11:11" ht="12.75">
      <c r="K64" s="76"/>
    </row>
    <row r="65" spans="11:11" ht="12.75">
      <c r="K65" s="76"/>
    </row>
    <row r="66" spans="11:11" ht="12.75">
      <c r="K66" s="76"/>
    </row>
    <row r="67" spans="11:11" ht="12.75">
      <c r="K67" s="76"/>
    </row>
    <row r="68" spans="11:11" ht="12.75">
      <c r="K68" s="76"/>
    </row>
    <row r="69" spans="11:11" ht="12.75">
      <c r="K69" s="76"/>
    </row>
    <row r="70" spans="11:11" ht="12.75">
      <c r="K70" s="76"/>
    </row>
    <row r="71" spans="11:11" ht="12.75">
      <c r="K71" s="76"/>
    </row>
    <row r="72" spans="11:11" ht="12.75">
      <c r="K72" s="76"/>
    </row>
    <row r="73" spans="11:11" ht="12.75">
      <c r="K73" s="76"/>
    </row>
    <row r="74" spans="11:11" ht="12.75">
      <c r="K74" s="76"/>
    </row>
    <row r="75" spans="11:11" ht="12.75">
      <c r="K75" s="76"/>
    </row>
    <row r="76" spans="11:11" ht="12.75">
      <c r="K76" s="76"/>
    </row>
    <row r="77" spans="11:11" ht="12.75">
      <c r="K77" s="76"/>
    </row>
    <row r="78" spans="11:11" ht="12.75">
      <c r="K78" s="76"/>
    </row>
    <row r="79" spans="11:11" ht="12.75">
      <c r="K79" s="76"/>
    </row>
    <row r="80" spans="11:11" ht="12.75">
      <c r="K80" s="76"/>
    </row>
    <row r="81" spans="11:11" ht="12.75">
      <c r="K81" s="76"/>
    </row>
    <row r="82" spans="11:11" ht="12.75">
      <c r="K82" s="76"/>
    </row>
    <row r="83" spans="11:11" ht="12.75">
      <c r="K83" s="76"/>
    </row>
    <row r="84" spans="11:11" ht="12.75">
      <c r="K84" s="76"/>
    </row>
    <row r="85" spans="11:11" ht="12.75">
      <c r="K85" s="76"/>
    </row>
    <row r="86" spans="11:11" ht="12.75">
      <c r="K86" s="76"/>
    </row>
    <row r="87" spans="11:11" ht="12.75">
      <c r="K87" s="76"/>
    </row>
    <row r="88" spans="11:11" ht="12.75">
      <c r="K88" s="76"/>
    </row>
    <row r="89" spans="11:11" ht="12.75">
      <c r="K89" s="76"/>
    </row>
    <row r="90" spans="11:11" ht="12.75">
      <c r="K90" s="76"/>
    </row>
    <row r="91" spans="11:11" ht="12.75">
      <c r="K91" s="76"/>
    </row>
    <row r="92" spans="11:11" ht="12.75">
      <c r="K92" s="76"/>
    </row>
    <row r="93" spans="11:11" ht="12.75">
      <c r="K93" s="76"/>
    </row>
    <row r="94" spans="11:11" ht="12.75">
      <c r="K94" s="76"/>
    </row>
    <row r="95" spans="11:11" ht="12.75">
      <c r="K95" s="76"/>
    </row>
    <row r="96" spans="11:11" ht="12.75">
      <c r="K96" s="76"/>
    </row>
    <row r="97" spans="11:11" ht="12.75">
      <c r="K97" s="76"/>
    </row>
    <row r="98" spans="11:11" ht="12.75">
      <c r="K98" s="76"/>
    </row>
    <row r="99" spans="11:11" ht="12.75">
      <c r="K99" s="76"/>
    </row>
    <row r="100" spans="11:11" ht="12.75">
      <c r="K100" s="76"/>
    </row>
    <row r="101" spans="11:11" ht="12.75">
      <c r="K101" s="76"/>
    </row>
    <row r="102" spans="11:11" ht="12.75">
      <c r="K102" s="76"/>
    </row>
    <row r="103" spans="11:11" ht="12.75">
      <c r="K103" s="76"/>
    </row>
    <row r="104" spans="11:11" ht="12.75">
      <c r="K104" s="76"/>
    </row>
    <row r="105" spans="11:11" ht="12.75">
      <c r="K105" s="76"/>
    </row>
    <row r="106" spans="11:11" ht="12.75">
      <c r="K106" s="76"/>
    </row>
    <row r="107" spans="11:11" ht="12.75">
      <c r="K107" s="76"/>
    </row>
    <row r="108" spans="11:11" ht="12.75">
      <c r="K108" s="76"/>
    </row>
    <row r="109" spans="11:11" ht="12.75">
      <c r="K109" s="76"/>
    </row>
    <row r="110" spans="11:11" ht="12.75">
      <c r="K110" s="76"/>
    </row>
    <row r="111" spans="11:11" ht="12.75">
      <c r="K111" s="76"/>
    </row>
    <row r="112" spans="11:11" ht="12.75">
      <c r="K112" s="76"/>
    </row>
    <row r="113" spans="11:11" ht="12.75">
      <c r="K113" s="76"/>
    </row>
    <row r="114" spans="11:11" ht="12.75">
      <c r="K114" s="76"/>
    </row>
    <row r="115" spans="11:11" ht="12.75">
      <c r="K115" s="76"/>
    </row>
    <row r="116" spans="11:11" ht="12.75">
      <c r="K116" s="76"/>
    </row>
    <row r="117" spans="11:11" ht="12.75">
      <c r="K117" s="76"/>
    </row>
    <row r="118" spans="11:11" ht="12.75">
      <c r="K118" s="76"/>
    </row>
    <row r="119" spans="11:11" ht="12.75">
      <c r="K119" s="76"/>
    </row>
    <row r="120" spans="11:11" ht="12.75">
      <c r="K120" s="76"/>
    </row>
    <row r="121" spans="11:11" ht="12.75">
      <c r="K121" s="76"/>
    </row>
    <row r="122" spans="11:11" ht="12.75">
      <c r="K122" s="76"/>
    </row>
    <row r="123" spans="11:11" ht="12.75">
      <c r="K123" s="76"/>
    </row>
    <row r="124" spans="11:11" ht="12.75">
      <c r="K124" s="76"/>
    </row>
    <row r="125" spans="11:11" ht="12.75">
      <c r="K125" s="76"/>
    </row>
    <row r="126" spans="11:11" ht="12.75">
      <c r="K126" s="76"/>
    </row>
    <row r="127" spans="11:11" ht="12.75">
      <c r="K127" s="76"/>
    </row>
    <row r="128" spans="11:11" ht="12.75">
      <c r="K128" s="76"/>
    </row>
    <row r="129" spans="11:11" ht="12.75">
      <c r="K129" s="76"/>
    </row>
    <row r="130" spans="11:11" ht="12.75">
      <c r="K130" s="76"/>
    </row>
    <row r="131" spans="11:11" ht="12.75">
      <c r="K131" s="76"/>
    </row>
    <row r="132" spans="11:11" ht="12.75">
      <c r="K132" s="76"/>
    </row>
    <row r="133" spans="11:11" ht="12.75">
      <c r="K133" s="76"/>
    </row>
    <row r="134" spans="11:11" ht="12.75">
      <c r="K134" s="76"/>
    </row>
    <row r="135" spans="11:11" ht="12.75">
      <c r="K135" s="76"/>
    </row>
    <row r="136" spans="11:11" ht="12.75">
      <c r="K136" s="76"/>
    </row>
    <row r="137" spans="11:11" ht="12.75">
      <c r="K137" s="76"/>
    </row>
    <row r="138" spans="11:11" ht="12.75">
      <c r="K138" s="76"/>
    </row>
    <row r="139" spans="11:11" ht="12.75">
      <c r="K139" s="76"/>
    </row>
    <row r="140" spans="11:11" ht="12.75">
      <c r="K140" s="76"/>
    </row>
    <row r="141" spans="11:11" ht="12.75">
      <c r="K141" s="76"/>
    </row>
    <row r="142" spans="11:11" ht="12.75">
      <c r="K142" s="76"/>
    </row>
    <row r="143" spans="11:11" ht="12.75">
      <c r="K143" s="76"/>
    </row>
    <row r="144" spans="11:11" ht="12.75">
      <c r="K144" s="76"/>
    </row>
    <row r="145" spans="11:11" ht="12.75">
      <c r="K145" s="76"/>
    </row>
    <row r="146" spans="11:11" ht="12.75">
      <c r="K146" s="76"/>
    </row>
    <row r="147" spans="11:11" ht="12.75">
      <c r="K147" s="76"/>
    </row>
    <row r="148" spans="11:11" ht="12.75">
      <c r="K148" s="76"/>
    </row>
    <row r="149" spans="11:11" ht="12.75">
      <c r="K149" s="76"/>
    </row>
    <row r="150" spans="11:11" ht="12.75">
      <c r="K150" s="76"/>
    </row>
    <row r="151" spans="11:11" ht="12.75">
      <c r="K151" s="76"/>
    </row>
    <row r="152" spans="11:11" ht="12.75">
      <c r="K152" s="76"/>
    </row>
    <row r="153" spans="11:11" ht="12.75">
      <c r="K153" s="76"/>
    </row>
    <row r="154" spans="11:11" ht="12.75">
      <c r="K154" s="76"/>
    </row>
    <row r="155" spans="11:11" ht="12.75">
      <c r="K155" s="76"/>
    </row>
    <row r="156" spans="11:11" ht="12.75">
      <c r="K156" s="76"/>
    </row>
    <row r="157" spans="11:11" ht="12.75">
      <c r="K157" s="76"/>
    </row>
    <row r="158" spans="11:11" ht="12.75">
      <c r="K158" s="76"/>
    </row>
    <row r="159" spans="11:11" ht="12.75">
      <c r="K159" s="76"/>
    </row>
    <row r="160" spans="11:11" ht="12.75">
      <c r="K160" s="76"/>
    </row>
    <row r="161" spans="11:11" ht="12.75">
      <c r="K161" s="76"/>
    </row>
    <row r="162" spans="11:11" ht="12.75">
      <c r="K162" s="76"/>
    </row>
    <row r="163" spans="11:11" ht="12.75">
      <c r="K163" s="76"/>
    </row>
    <row r="164" spans="11:11" ht="12.75">
      <c r="K164" s="76"/>
    </row>
    <row r="165" spans="11:11" ht="12.75">
      <c r="K165" s="76"/>
    </row>
    <row r="166" spans="11:11" ht="12.75">
      <c r="K166" s="76"/>
    </row>
    <row r="167" spans="11:11" ht="12.75">
      <c r="K167" s="76"/>
    </row>
    <row r="168" spans="11:11" ht="12.75">
      <c r="K168" s="76"/>
    </row>
    <row r="169" spans="11:11" ht="12.75">
      <c r="K169" s="76"/>
    </row>
    <row r="170" spans="11:11" ht="12.75">
      <c r="K170" s="76"/>
    </row>
    <row r="171" spans="11:11" ht="12.75">
      <c r="K171" s="76"/>
    </row>
    <row r="172" spans="11:11" ht="12.75">
      <c r="K172" s="76"/>
    </row>
    <row r="173" spans="11:11" ht="12.75">
      <c r="K173" s="76"/>
    </row>
    <row r="174" spans="11:11" ht="12.75">
      <c r="K174" s="76"/>
    </row>
    <row r="175" spans="11:11" ht="12.75">
      <c r="K175" s="76"/>
    </row>
    <row r="176" spans="11:11" ht="12.75">
      <c r="K176" s="76"/>
    </row>
    <row r="177" spans="11:11" ht="12.75">
      <c r="K177" s="76"/>
    </row>
    <row r="178" spans="11:11" ht="12.75">
      <c r="K178" s="76"/>
    </row>
    <row r="179" spans="11:11" ht="12.75">
      <c r="K179" s="76"/>
    </row>
    <row r="180" spans="11:11" ht="12.75">
      <c r="K180" s="76"/>
    </row>
    <row r="181" spans="11:11" ht="12.75">
      <c r="K181" s="76"/>
    </row>
    <row r="182" spans="11:11" ht="12.75">
      <c r="K182" s="76"/>
    </row>
    <row r="183" spans="11:11" ht="12.75">
      <c r="K183" s="76"/>
    </row>
    <row r="184" spans="11:11" ht="12.75">
      <c r="K184" s="76"/>
    </row>
    <row r="185" spans="11:11" ht="12.75">
      <c r="K185" s="76"/>
    </row>
    <row r="186" spans="11:11" ht="12.75">
      <c r="K186" s="76"/>
    </row>
    <row r="187" spans="11:11" ht="12.75">
      <c r="K187" s="76"/>
    </row>
    <row r="188" spans="11:11" ht="12.75">
      <c r="K188" s="76"/>
    </row>
    <row r="189" spans="11:11" ht="12.75">
      <c r="K189" s="76"/>
    </row>
    <row r="190" spans="11:11" ht="12.75">
      <c r="K190" s="76"/>
    </row>
    <row r="191" spans="11:11" ht="12.75">
      <c r="K191" s="76"/>
    </row>
    <row r="192" spans="11:11" ht="12.75">
      <c r="K192" s="76"/>
    </row>
    <row r="193" spans="11:11" ht="12.75">
      <c r="K193" s="76"/>
    </row>
    <row r="194" spans="11:11" ht="12.75">
      <c r="K194" s="76"/>
    </row>
    <row r="195" spans="11:11" ht="12.75">
      <c r="K195" s="76"/>
    </row>
    <row r="196" spans="11:11" ht="12.75">
      <c r="K196" s="76"/>
    </row>
    <row r="197" spans="11:11" ht="12.75">
      <c r="K197" s="76"/>
    </row>
    <row r="198" spans="11:11" ht="12.75">
      <c r="K198" s="76"/>
    </row>
    <row r="199" spans="11:11" ht="12.75">
      <c r="K199" s="76"/>
    </row>
    <row r="200" spans="11:11" ht="12.75">
      <c r="K200" s="76"/>
    </row>
    <row r="201" spans="11:11" ht="12.75">
      <c r="K201" s="76"/>
    </row>
    <row r="202" spans="11:11" ht="12.75">
      <c r="K202" s="76"/>
    </row>
    <row r="203" spans="11:11" ht="12.75">
      <c r="K203" s="76"/>
    </row>
    <row r="204" spans="11:11" ht="12.75">
      <c r="K204" s="76"/>
    </row>
    <row r="205" spans="11:11" ht="12.75">
      <c r="K205" s="76"/>
    </row>
    <row r="206" spans="11:11" ht="12.75">
      <c r="K206" s="76"/>
    </row>
    <row r="207" spans="11:11" ht="12.75">
      <c r="K207" s="76"/>
    </row>
    <row r="208" spans="11:11" ht="12.75">
      <c r="K208" s="76"/>
    </row>
    <row r="209" spans="11:11" ht="12.75">
      <c r="K209" s="76"/>
    </row>
    <row r="210" spans="11:11" ht="12.75">
      <c r="K210" s="76"/>
    </row>
    <row r="211" spans="11:11" ht="12.75">
      <c r="K211" s="76"/>
    </row>
    <row r="212" spans="11:11" ht="12.75">
      <c r="K212" s="76"/>
    </row>
    <row r="213" spans="11:11" ht="12.75">
      <c r="K213" s="76"/>
    </row>
    <row r="214" spans="11:11" ht="12.75">
      <c r="K214" s="76"/>
    </row>
    <row r="215" spans="11:11" ht="12.75">
      <c r="K215" s="76"/>
    </row>
    <row r="216" spans="11:11" ht="12.75">
      <c r="K216" s="76"/>
    </row>
    <row r="217" spans="11:11" ht="12.75">
      <c r="K217" s="76"/>
    </row>
    <row r="218" spans="11:11" ht="12.75">
      <c r="K218" s="76"/>
    </row>
    <row r="219" spans="11:11" ht="12.75">
      <c r="K219" s="76"/>
    </row>
    <row r="220" spans="11:11" ht="12.75">
      <c r="K220" s="76"/>
    </row>
    <row r="221" spans="11:11" ht="12.75">
      <c r="K221" s="76"/>
    </row>
    <row r="222" spans="11:11" ht="12.75">
      <c r="K222" s="76"/>
    </row>
    <row r="223" spans="11:11" ht="12.75">
      <c r="K223" s="76"/>
    </row>
    <row r="224" spans="11:11" ht="12.75">
      <c r="K224" s="76"/>
    </row>
    <row r="225" spans="11:11" ht="12.75">
      <c r="K225" s="76"/>
    </row>
    <row r="226" spans="11:11" ht="12.75">
      <c r="K226" s="76"/>
    </row>
    <row r="227" spans="11:11" ht="12.75">
      <c r="K227" s="76"/>
    </row>
    <row r="228" spans="11:11" ht="12.75">
      <c r="K228" s="76"/>
    </row>
    <row r="229" spans="11:11" ht="12.75">
      <c r="K229" s="76"/>
    </row>
    <row r="230" spans="11:11" ht="12.75">
      <c r="K230" s="76"/>
    </row>
    <row r="231" spans="11:11" ht="12.75">
      <c r="K231" s="76"/>
    </row>
    <row r="232" spans="11:11" ht="12.75">
      <c r="K232" s="76"/>
    </row>
    <row r="233" spans="11:11" ht="12.75">
      <c r="K233" s="76"/>
    </row>
    <row r="234" spans="11:11" ht="12.75">
      <c r="K234" s="76"/>
    </row>
    <row r="235" spans="11:11" ht="12.75">
      <c r="K235" s="76"/>
    </row>
    <row r="236" spans="11:11" ht="12.75">
      <c r="K236" s="76"/>
    </row>
    <row r="237" spans="11:11" ht="12.75">
      <c r="K237" s="76"/>
    </row>
    <row r="238" spans="11:11" ht="12.75">
      <c r="K238" s="76"/>
    </row>
    <row r="239" spans="11:11" ht="12.75">
      <c r="K239" s="76"/>
    </row>
    <row r="240" spans="11:11" ht="12.75">
      <c r="K240" s="76"/>
    </row>
    <row r="241" spans="11:11" ht="12.75">
      <c r="K241" s="76"/>
    </row>
    <row r="242" spans="11:11" ht="12.75">
      <c r="K242" s="76"/>
    </row>
    <row r="243" spans="11:11" ht="12.75">
      <c r="K243" s="76"/>
    </row>
    <row r="244" spans="11:11" ht="12.75">
      <c r="K244" s="76"/>
    </row>
    <row r="245" spans="11:11" ht="12.75">
      <c r="K245" s="76"/>
    </row>
    <row r="246" spans="11:11" ht="12.75">
      <c r="K246" s="76"/>
    </row>
    <row r="247" spans="11:11" ht="12.75">
      <c r="K247" s="76"/>
    </row>
    <row r="248" spans="11:11" ht="12.75">
      <c r="K248" s="76"/>
    </row>
    <row r="249" spans="11:11" ht="12.75">
      <c r="K249" s="76"/>
    </row>
    <row r="250" spans="11:11" ht="12.75">
      <c r="K250" s="76"/>
    </row>
    <row r="251" spans="11:11" ht="12.75">
      <c r="K251" s="76"/>
    </row>
    <row r="252" spans="11:11" ht="12.75">
      <c r="K252" s="76"/>
    </row>
    <row r="253" spans="11:11" ht="12.75">
      <c r="K253" s="76"/>
    </row>
    <row r="254" spans="11:11" ht="12.75">
      <c r="K254" s="76"/>
    </row>
    <row r="255" spans="11:11" ht="12.75">
      <c r="K255" s="76"/>
    </row>
    <row r="256" spans="11:11" ht="12.75">
      <c r="K256" s="76"/>
    </row>
    <row r="257" spans="11:11" ht="12.75">
      <c r="K257" s="76"/>
    </row>
    <row r="258" spans="11:11" ht="12.75">
      <c r="K258" s="76"/>
    </row>
    <row r="259" spans="11:11" ht="12.75">
      <c r="K259" s="76"/>
    </row>
    <row r="260" spans="11:11" ht="12.75">
      <c r="K260" s="76"/>
    </row>
    <row r="261" spans="11:11" ht="12.75">
      <c r="K261" s="76"/>
    </row>
    <row r="262" spans="11:11" ht="12.75">
      <c r="K262" s="76"/>
    </row>
    <row r="263" spans="11:11" ht="12.75">
      <c r="K263" s="76"/>
    </row>
    <row r="264" spans="11:11" ht="12.75">
      <c r="K264" s="76"/>
    </row>
    <row r="265" spans="11:11" ht="12.75">
      <c r="K265" s="76"/>
    </row>
    <row r="266" spans="11:11" ht="12.75">
      <c r="K266" s="76"/>
    </row>
    <row r="267" spans="11:11" ht="12.75">
      <c r="K267" s="76"/>
    </row>
    <row r="268" spans="11:11" ht="12.75">
      <c r="K268" s="76"/>
    </row>
    <row r="269" spans="11:11" ht="12.75">
      <c r="K269" s="76"/>
    </row>
    <row r="270" spans="11:11" ht="12.75">
      <c r="K270" s="76"/>
    </row>
    <row r="271" spans="11:11" ht="12.75">
      <c r="K271" s="76"/>
    </row>
    <row r="272" spans="11:11" ht="12.75">
      <c r="K272" s="76"/>
    </row>
    <row r="273" spans="11:11" ht="12.75">
      <c r="K273" s="76"/>
    </row>
    <row r="274" spans="11:11" ht="12.75">
      <c r="K274" s="76"/>
    </row>
    <row r="275" spans="11:11" ht="12.75">
      <c r="K275" s="76"/>
    </row>
    <row r="276" spans="11:11" ht="12.75">
      <c r="K276" s="76"/>
    </row>
    <row r="277" spans="11:11" ht="12.75">
      <c r="K277" s="76"/>
    </row>
    <row r="278" spans="11:11" ht="12.75">
      <c r="K278" s="76"/>
    </row>
    <row r="279" spans="11:11" ht="12.75">
      <c r="K279" s="76"/>
    </row>
    <row r="280" spans="11:11" ht="12.75">
      <c r="K280" s="76"/>
    </row>
    <row r="281" spans="11:11" ht="12.75">
      <c r="K281" s="76"/>
    </row>
    <row r="282" spans="11:11" ht="12.75">
      <c r="K282" s="76"/>
    </row>
    <row r="283" spans="11:11" ht="12.75">
      <c r="K283" s="76"/>
    </row>
    <row r="284" spans="11:11" ht="12.75">
      <c r="K284" s="76"/>
    </row>
    <row r="285" spans="11:11" ht="12.75">
      <c r="K285" s="76"/>
    </row>
    <row r="286" spans="11:11" ht="12.75">
      <c r="K286" s="76"/>
    </row>
    <row r="287" spans="11:11" ht="12.75">
      <c r="K287" s="76"/>
    </row>
    <row r="288" spans="11:11" ht="12.75">
      <c r="K288" s="76"/>
    </row>
    <row r="289" spans="11:11" ht="12.75">
      <c r="K289" s="76"/>
    </row>
    <row r="290" spans="11:11" ht="12.75">
      <c r="K290" s="76"/>
    </row>
    <row r="291" spans="11:11" ht="12.75">
      <c r="K291" s="76"/>
    </row>
    <row r="292" spans="11:11" ht="12.75">
      <c r="K292" s="76"/>
    </row>
    <row r="293" spans="11:11" ht="12.75">
      <c r="K293" s="76"/>
    </row>
    <row r="294" spans="11:11" ht="12.75">
      <c r="K294" s="76"/>
    </row>
    <row r="295" spans="11:11" ht="12.75">
      <c r="K295" s="76"/>
    </row>
    <row r="296" spans="11:11" ht="12.75">
      <c r="K296" s="76"/>
    </row>
    <row r="297" spans="11:11" ht="12.75">
      <c r="K297" s="76"/>
    </row>
    <row r="298" spans="11:11" ht="12.75">
      <c r="K298" s="76"/>
    </row>
    <row r="299" spans="11:11" ht="12.75">
      <c r="K299" s="76"/>
    </row>
    <row r="300" spans="11:11" ht="12.75">
      <c r="K300" s="76"/>
    </row>
    <row r="301" spans="11:11" ht="12.75">
      <c r="K301" s="76"/>
    </row>
    <row r="302" spans="11:11" ht="12.75">
      <c r="K302" s="76"/>
    </row>
    <row r="303" spans="11:11" ht="12.75">
      <c r="K303" s="76"/>
    </row>
    <row r="304" spans="11:11" ht="12.75">
      <c r="K304" s="76"/>
    </row>
    <row r="305" spans="11:11" ht="12.75">
      <c r="K305" s="76"/>
    </row>
    <row r="306" spans="11:11" ht="12.75">
      <c r="K306" s="76"/>
    </row>
    <row r="307" spans="11:11" ht="12.75">
      <c r="K307" s="76"/>
    </row>
    <row r="308" spans="11:11" ht="12.75">
      <c r="K308" s="76"/>
    </row>
    <row r="309" spans="11:11" ht="12.75">
      <c r="K309" s="76"/>
    </row>
    <row r="310" spans="11:11" ht="12.75">
      <c r="K310" s="76"/>
    </row>
    <row r="311" spans="11:11" ht="12.75">
      <c r="K311" s="76"/>
    </row>
    <row r="312" spans="11:11" ht="12.75">
      <c r="K312" s="76"/>
    </row>
    <row r="313" spans="11:11" ht="12.75">
      <c r="K313" s="76"/>
    </row>
    <row r="314" spans="11:11" ht="12.75">
      <c r="K314" s="76"/>
    </row>
    <row r="315" spans="11:11" ht="12.75">
      <c r="K315" s="76"/>
    </row>
    <row r="316" spans="11:11" ht="12.75">
      <c r="K316" s="76"/>
    </row>
    <row r="317" spans="11:11" ht="12.75">
      <c r="K317" s="76"/>
    </row>
    <row r="318" spans="11:11" ht="12.75">
      <c r="K318" s="76"/>
    </row>
    <row r="319" spans="11:11" ht="12.75">
      <c r="K319" s="76"/>
    </row>
    <row r="320" spans="11:11" ht="12.75">
      <c r="K320" s="76"/>
    </row>
    <row r="321" spans="11:11" ht="12.75">
      <c r="K321" s="76"/>
    </row>
    <row r="322" spans="11:11" ht="12.75">
      <c r="K322" s="76"/>
    </row>
    <row r="323" spans="11:11" ht="12.75">
      <c r="K323" s="76"/>
    </row>
    <row r="324" spans="11:11" ht="12.75">
      <c r="K324" s="76"/>
    </row>
    <row r="325" spans="11:11" ht="12.75">
      <c r="K325" s="76"/>
    </row>
    <row r="326" spans="11:11" ht="12.75">
      <c r="K326" s="76"/>
    </row>
    <row r="327" spans="11:11" ht="12.75">
      <c r="K327" s="76"/>
    </row>
    <row r="328" spans="11:11" ht="12.75">
      <c r="K328" s="76"/>
    </row>
    <row r="329" spans="11:11" ht="12.75">
      <c r="K329" s="76"/>
    </row>
    <row r="330" spans="11:11" ht="12.75">
      <c r="K330" s="76"/>
    </row>
    <row r="331" spans="11:11" ht="12.75">
      <c r="K331" s="76"/>
    </row>
    <row r="332" spans="11:11" ht="12.75">
      <c r="K332" s="76"/>
    </row>
    <row r="333" spans="11:11" ht="12.75">
      <c r="K333" s="76"/>
    </row>
    <row r="334" spans="11:11" ht="12.75">
      <c r="K334" s="76"/>
    </row>
    <row r="335" spans="11:11" ht="12.75">
      <c r="K335" s="76"/>
    </row>
    <row r="336" spans="11:11" ht="12.75">
      <c r="K336" s="76"/>
    </row>
    <row r="337" spans="11:11" ht="12.75">
      <c r="K337" s="76"/>
    </row>
    <row r="338" spans="11:11" ht="12.75">
      <c r="K338" s="76"/>
    </row>
    <row r="339" spans="11:11" ht="12.75">
      <c r="K339" s="76"/>
    </row>
    <row r="340" spans="11:11" ht="12.75">
      <c r="K340" s="76"/>
    </row>
    <row r="341" spans="11:11" ht="12.75">
      <c r="K341" s="76"/>
    </row>
    <row r="342" spans="11:11" ht="12.75">
      <c r="K342" s="76"/>
    </row>
    <row r="343" spans="11:11" ht="12.75">
      <c r="K343" s="76"/>
    </row>
    <row r="344" spans="11:11" ht="12.75">
      <c r="K344" s="76"/>
    </row>
    <row r="345" spans="11:11" ht="12.75">
      <c r="K345" s="76"/>
    </row>
    <row r="346" spans="11:11" ht="12.75">
      <c r="K346" s="76"/>
    </row>
    <row r="347" spans="11:11" ht="12.75">
      <c r="K347" s="76"/>
    </row>
    <row r="348" spans="11:11" ht="12.75">
      <c r="K348" s="76"/>
    </row>
    <row r="349" spans="11:11" ht="12.75">
      <c r="K349" s="76"/>
    </row>
    <row r="350" spans="11:11" ht="12.75">
      <c r="K350" s="76"/>
    </row>
    <row r="351" spans="11:11" ht="12.75">
      <c r="K351" s="76"/>
    </row>
    <row r="352" spans="11:11" ht="12.75">
      <c r="K352" s="76"/>
    </row>
    <row r="353" spans="11:11" ht="12.75">
      <c r="K353" s="76"/>
    </row>
    <row r="354" spans="11:11" ht="12.75">
      <c r="K354" s="76"/>
    </row>
    <row r="355" spans="11:11" ht="12.75">
      <c r="K355" s="76"/>
    </row>
    <row r="356" spans="11:11" ht="12.75">
      <c r="K356" s="76"/>
    </row>
    <row r="357" spans="11:11" ht="12.75">
      <c r="K357" s="76"/>
    </row>
    <row r="358" spans="11:11" ht="12.75">
      <c r="K358" s="76"/>
    </row>
    <row r="359" spans="11:11" ht="12.75">
      <c r="K359" s="76"/>
    </row>
    <row r="360" spans="11:11" ht="12.75">
      <c r="K360" s="76"/>
    </row>
    <row r="361" spans="11:11" ht="12.75">
      <c r="K361" s="76"/>
    </row>
    <row r="362" spans="11:11" ht="12.75">
      <c r="K362" s="76"/>
    </row>
    <row r="363" spans="11:11" ht="12.75">
      <c r="K363" s="76"/>
    </row>
    <row r="364" spans="11:11" ht="12.75">
      <c r="K364" s="76"/>
    </row>
    <row r="365" spans="11:11" ht="12.75">
      <c r="K365" s="76"/>
    </row>
    <row r="366" spans="11:11" ht="12.75">
      <c r="K366" s="76"/>
    </row>
    <row r="367" spans="11:11" ht="12.75">
      <c r="K367" s="76"/>
    </row>
    <row r="368" spans="11:11" ht="12.75">
      <c r="K368" s="76"/>
    </row>
    <row r="369" spans="11:11" ht="12.75">
      <c r="K369" s="76"/>
    </row>
    <row r="370" spans="11:11" ht="12.75">
      <c r="K370" s="76"/>
    </row>
    <row r="371" spans="11:11" ht="12.75">
      <c r="K371" s="76"/>
    </row>
    <row r="372" spans="11:11" ht="12.75">
      <c r="K372" s="76"/>
    </row>
    <row r="373" spans="11:11" ht="12.75">
      <c r="K373" s="76"/>
    </row>
    <row r="374" spans="11:11" ht="12.75">
      <c r="K374" s="76"/>
    </row>
    <row r="375" spans="11:11" ht="12.75">
      <c r="K375" s="76"/>
    </row>
    <row r="376" spans="11:11" ht="12.75">
      <c r="K376" s="76"/>
    </row>
    <row r="377" spans="11:11" ht="12.75">
      <c r="K377" s="76"/>
    </row>
    <row r="378" spans="11:11" ht="12.75">
      <c r="K378" s="76"/>
    </row>
    <row r="379" spans="11:11" ht="12.75">
      <c r="K379" s="76"/>
    </row>
    <row r="380" spans="11:11" ht="12.75">
      <c r="K380" s="76"/>
    </row>
    <row r="381" spans="11:11" ht="12.75">
      <c r="K381" s="76"/>
    </row>
    <row r="382" spans="11:11" ht="12.75">
      <c r="K382" s="76"/>
    </row>
    <row r="383" spans="11:11" ht="12.75">
      <c r="K383" s="76"/>
    </row>
    <row r="384" spans="11:11" ht="12.75">
      <c r="K384" s="76"/>
    </row>
    <row r="385" spans="11:11" ht="12.75">
      <c r="K385" s="76"/>
    </row>
    <row r="386" spans="11:11" ht="12.75">
      <c r="K386" s="76"/>
    </row>
    <row r="387" spans="11:11" ht="12.75">
      <c r="K387" s="76"/>
    </row>
    <row r="388" spans="11:11" ht="12.75">
      <c r="K388" s="76"/>
    </row>
    <row r="389" spans="11:11" ht="12.75">
      <c r="K389" s="76"/>
    </row>
    <row r="390" spans="11:11" ht="12.75">
      <c r="K390" s="76"/>
    </row>
    <row r="391" spans="11:11" ht="12.75">
      <c r="K391" s="76"/>
    </row>
    <row r="392" spans="11:11" ht="12.75">
      <c r="K392" s="76"/>
    </row>
    <row r="393" spans="11:11" ht="12.75">
      <c r="K393" s="76"/>
    </row>
    <row r="394" spans="11:11" ht="12.75">
      <c r="K394" s="76"/>
    </row>
    <row r="395" spans="11:11" ht="12.75">
      <c r="K395" s="76"/>
    </row>
    <row r="396" spans="11:11" ht="12.75">
      <c r="K396" s="76"/>
    </row>
    <row r="397" spans="11:11" ht="12.75">
      <c r="K397" s="76"/>
    </row>
    <row r="398" spans="11:11" ht="12.75">
      <c r="K398" s="76"/>
    </row>
    <row r="399" spans="11:11" ht="12.75">
      <c r="K399" s="76"/>
    </row>
    <row r="400" spans="11:11" ht="12.75">
      <c r="K400" s="76"/>
    </row>
    <row r="401" spans="11:11" ht="12.75">
      <c r="K401" s="76"/>
    </row>
    <row r="402" spans="11:11" ht="12.75">
      <c r="K402" s="76"/>
    </row>
    <row r="403" spans="11:11" ht="12.75">
      <c r="K403" s="76"/>
    </row>
    <row r="404" spans="11:11" ht="12.75">
      <c r="K404" s="76"/>
    </row>
    <row r="405" spans="11:11" ht="12.75">
      <c r="K405" s="76"/>
    </row>
    <row r="406" spans="11:11" ht="12.75">
      <c r="K406" s="76"/>
    </row>
    <row r="407" spans="11:11" ht="12.75">
      <c r="K407" s="76"/>
    </row>
    <row r="408" spans="11:11" ht="12.75">
      <c r="K408" s="76"/>
    </row>
    <row r="409" spans="11:11" ht="12.75">
      <c r="K409" s="76"/>
    </row>
    <row r="410" spans="11:11" ht="12.75">
      <c r="K410" s="76"/>
    </row>
    <row r="411" spans="11:11" ht="12.75">
      <c r="K411" s="76"/>
    </row>
    <row r="412" spans="11:11" ht="12.75">
      <c r="K412" s="76"/>
    </row>
    <row r="413" spans="11:11" ht="12.75">
      <c r="K413" s="76"/>
    </row>
    <row r="414" spans="11:11" ht="12.75">
      <c r="K414" s="76"/>
    </row>
    <row r="415" spans="11:11" ht="12.75">
      <c r="K415" s="76"/>
    </row>
    <row r="416" spans="11:11" ht="12.75">
      <c r="K416" s="76"/>
    </row>
    <row r="417" spans="11:11" ht="12.75">
      <c r="K417" s="76"/>
    </row>
    <row r="418" spans="11:11" ht="12.75">
      <c r="K418" s="76"/>
    </row>
    <row r="419" spans="11:11" ht="12.75">
      <c r="K419" s="76"/>
    </row>
    <row r="420" spans="11:11" ht="12.75">
      <c r="K420" s="76"/>
    </row>
    <row r="421" spans="11:11" ht="12.75">
      <c r="K421" s="76"/>
    </row>
    <row r="422" spans="11:11" ht="12.75">
      <c r="K422" s="76"/>
    </row>
    <row r="423" spans="11:11" ht="12.75">
      <c r="K423" s="76"/>
    </row>
    <row r="424" spans="11:11" ht="12.75">
      <c r="K424" s="76"/>
    </row>
    <row r="425" spans="11:11" ht="12.75">
      <c r="K425" s="76"/>
    </row>
    <row r="426" spans="11:11" ht="12.75">
      <c r="K426" s="76"/>
    </row>
    <row r="427" spans="11:11" ht="12.75">
      <c r="K427" s="76"/>
    </row>
    <row r="428" spans="11:11" ht="12.75">
      <c r="K428" s="76"/>
    </row>
    <row r="429" spans="11:11" ht="12.75">
      <c r="K429" s="76"/>
    </row>
    <row r="430" spans="11:11" ht="12.75">
      <c r="K430" s="76"/>
    </row>
    <row r="431" spans="11:11" ht="12.75">
      <c r="K431" s="76"/>
    </row>
    <row r="432" spans="11:11" ht="12.75">
      <c r="K432" s="76"/>
    </row>
    <row r="433" spans="11:11" ht="12.75">
      <c r="K433" s="76"/>
    </row>
    <row r="434" spans="11:11" ht="12.75">
      <c r="K434" s="76"/>
    </row>
    <row r="435" spans="11:11" ht="12.75">
      <c r="K435" s="76"/>
    </row>
    <row r="436" spans="11:11" ht="12.75">
      <c r="K436" s="76"/>
    </row>
    <row r="437" spans="11:11" ht="12.75">
      <c r="K437" s="76"/>
    </row>
    <row r="438" spans="11:11" ht="12.75">
      <c r="K438" s="76"/>
    </row>
    <row r="439" spans="11:11" ht="12.75">
      <c r="K439" s="76"/>
    </row>
    <row r="440" spans="11:11" ht="12.75">
      <c r="K440" s="76"/>
    </row>
    <row r="441" spans="11:11" ht="12.75">
      <c r="K441" s="76"/>
    </row>
    <row r="442" spans="11:11" ht="12.75">
      <c r="K442" s="76"/>
    </row>
    <row r="443" spans="11:11" ht="12.75">
      <c r="K443" s="76"/>
    </row>
    <row r="444" spans="11:11" ht="12.75">
      <c r="K444" s="76"/>
    </row>
    <row r="445" spans="11:11" ht="12.75">
      <c r="K445" s="76"/>
    </row>
    <row r="446" spans="11:11" ht="12.75">
      <c r="K446" s="76"/>
    </row>
    <row r="447" spans="11:11" ht="12.75">
      <c r="K447" s="76"/>
    </row>
    <row r="448" spans="11:11" ht="12.75">
      <c r="K448" s="76"/>
    </row>
    <row r="449" spans="11:11" ht="12.75">
      <c r="K449" s="76"/>
    </row>
    <row r="450" spans="11:11" ht="12.75">
      <c r="K450" s="76"/>
    </row>
    <row r="451" spans="11:11" ht="12.75">
      <c r="K451" s="76"/>
    </row>
    <row r="452" spans="11:11" ht="12.75">
      <c r="K452" s="76"/>
    </row>
    <row r="453" spans="11:11" ht="12.75">
      <c r="K453" s="76"/>
    </row>
    <row r="454" spans="11:11" ht="12.75">
      <c r="K454" s="76"/>
    </row>
    <row r="455" spans="11:11" ht="12.75">
      <c r="K455" s="76"/>
    </row>
    <row r="456" spans="11:11" ht="12.75">
      <c r="K456" s="76"/>
    </row>
    <row r="457" spans="11:11" ht="12.75">
      <c r="K457" s="76"/>
    </row>
    <row r="458" spans="11:11" ht="12.75">
      <c r="K458" s="76"/>
    </row>
    <row r="459" spans="11:11" ht="12.75">
      <c r="K459" s="76"/>
    </row>
    <row r="460" spans="11:11" ht="12.75">
      <c r="K460" s="76"/>
    </row>
    <row r="461" spans="11:11" ht="12.75">
      <c r="K461" s="76"/>
    </row>
    <row r="462" spans="11:11" ht="12.75">
      <c r="K462" s="76"/>
    </row>
    <row r="463" spans="11:11" ht="12.75">
      <c r="K463" s="76"/>
    </row>
    <row r="464" spans="11:11" ht="12.75">
      <c r="K464" s="76"/>
    </row>
    <row r="465" spans="11:11" ht="12.75">
      <c r="K465" s="76"/>
    </row>
    <row r="466" spans="11:11" ht="12.75">
      <c r="K466" s="76"/>
    </row>
    <row r="467" spans="11:11" ht="12.75">
      <c r="K467" s="76"/>
    </row>
    <row r="468" spans="11:11" ht="12.75">
      <c r="K468" s="76"/>
    </row>
    <row r="469" spans="11:11" ht="12.75">
      <c r="K469" s="76"/>
    </row>
    <row r="470" spans="11:11" ht="12.75">
      <c r="K470" s="76"/>
    </row>
    <row r="471" spans="11:11" ht="12.75">
      <c r="K471" s="76"/>
    </row>
    <row r="472" spans="11:11" ht="12.75">
      <c r="K472" s="76"/>
    </row>
    <row r="473" spans="11:11" ht="12.75">
      <c r="K473" s="76"/>
    </row>
    <row r="474" spans="11:11" ht="12.75">
      <c r="K474" s="76"/>
    </row>
    <row r="475" spans="11:11" ht="12.75">
      <c r="K475" s="76"/>
    </row>
    <row r="476" spans="11:11" ht="12.75">
      <c r="K476" s="76"/>
    </row>
    <row r="477" spans="11:11" ht="12.75">
      <c r="K477" s="76"/>
    </row>
    <row r="478" spans="11:11" ht="12.75">
      <c r="K478" s="76"/>
    </row>
    <row r="479" spans="11:11" ht="12.75">
      <c r="K479" s="76"/>
    </row>
    <row r="480" spans="11:11" ht="12.75">
      <c r="K480" s="76"/>
    </row>
    <row r="481" spans="11:11" ht="12.75">
      <c r="K481" s="76"/>
    </row>
    <row r="482" spans="11:11" ht="12.75">
      <c r="K482" s="76"/>
    </row>
    <row r="483" spans="11:11" ht="12.75">
      <c r="K483" s="76"/>
    </row>
    <row r="484" spans="11:11" ht="12.75">
      <c r="K484" s="76"/>
    </row>
    <row r="485" spans="11:11" ht="12.75">
      <c r="K485" s="76"/>
    </row>
    <row r="486" spans="11:11" ht="12.75">
      <c r="K486" s="76"/>
    </row>
    <row r="487" spans="11:11" ht="12.75">
      <c r="K487" s="76"/>
    </row>
    <row r="488" spans="11:11" ht="12.75">
      <c r="K488" s="76"/>
    </row>
    <row r="489" spans="11:11" ht="12.75">
      <c r="K489" s="76"/>
    </row>
    <row r="490" spans="11:11" ht="12.75">
      <c r="K490" s="76"/>
    </row>
    <row r="491" spans="11:11" ht="12.75">
      <c r="K491" s="76"/>
    </row>
    <row r="492" spans="11:11" ht="12.75">
      <c r="K492" s="76"/>
    </row>
    <row r="493" spans="11:11" ht="12.75">
      <c r="K493" s="76"/>
    </row>
    <row r="494" spans="11:11" ht="12.75">
      <c r="K494" s="76"/>
    </row>
    <row r="495" spans="11:11" ht="12.75">
      <c r="K495" s="76"/>
    </row>
    <row r="496" spans="11:11" ht="12.75">
      <c r="K496" s="76"/>
    </row>
    <row r="497" spans="11:11" ht="12.75">
      <c r="K497" s="76"/>
    </row>
    <row r="498" spans="11:11" ht="12.75">
      <c r="K498" s="76"/>
    </row>
    <row r="499" spans="11:11" ht="12.75">
      <c r="K499" s="76"/>
    </row>
    <row r="500" spans="11:11" ht="12.75">
      <c r="K500" s="76"/>
    </row>
    <row r="501" spans="11:11" ht="12.75">
      <c r="K501" s="76"/>
    </row>
    <row r="502" spans="11:11" ht="12.75">
      <c r="K502" s="76"/>
    </row>
    <row r="503" spans="11:11" ht="12.75">
      <c r="K503" s="76"/>
    </row>
    <row r="504" spans="11:11" ht="12.75">
      <c r="K504" s="76"/>
    </row>
    <row r="505" spans="11:11" ht="12.75">
      <c r="K505" s="76"/>
    </row>
    <row r="506" spans="11:11" ht="12.75">
      <c r="K506" s="76"/>
    </row>
    <row r="507" spans="11:11" ht="12.75">
      <c r="K507" s="76"/>
    </row>
    <row r="508" spans="11:11" ht="12.75">
      <c r="K508" s="76"/>
    </row>
    <row r="509" spans="11:11" ht="12.75">
      <c r="K509" s="76"/>
    </row>
    <row r="510" spans="11:11" ht="12.75">
      <c r="K510" s="76"/>
    </row>
    <row r="511" spans="11:11" ht="12.75">
      <c r="K511" s="76"/>
    </row>
    <row r="512" spans="11:11" ht="12.75">
      <c r="K512" s="76"/>
    </row>
    <row r="513" spans="11:11" ht="12.75">
      <c r="K513" s="76"/>
    </row>
    <row r="514" spans="11:11" ht="12.75">
      <c r="K514" s="76"/>
    </row>
    <row r="515" spans="11:11" ht="12.75">
      <c r="K515" s="76"/>
    </row>
    <row r="516" spans="11:11" ht="12.75">
      <c r="K516" s="76"/>
    </row>
    <row r="517" spans="11:11" ht="12.75">
      <c r="K517" s="76"/>
    </row>
    <row r="518" spans="11:11" ht="12.75">
      <c r="K518" s="76"/>
    </row>
    <row r="519" spans="11:11" ht="12.75">
      <c r="K519" s="76"/>
    </row>
    <row r="520" spans="11:11" ht="12.75">
      <c r="K520" s="76"/>
    </row>
    <row r="521" spans="11:11" ht="12.75">
      <c r="K521" s="76"/>
    </row>
    <row r="522" spans="11:11" ht="12.75">
      <c r="K522" s="76"/>
    </row>
    <row r="523" spans="11:11" ht="12.75">
      <c r="K523" s="76"/>
    </row>
    <row r="524" spans="11:11" ht="12.75">
      <c r="K524" s="76"/>
    </row>
    <row r="525" spans="11:11" ht="12.75">
      <c r="K525" s="76"/>
    </row>
    <row r="526" spans="11:11" ht="12.75">
      <c r="K526" s="76"/>
    </row>
    <row r="527" spans="11:11" ht="12.75">
      <c r="K527" s="76"/>
    </row>
    <row r="528" spans="11:11" ht="12.75">
      <c r="K528" s="76"/>
    </row>
    <row r="529" spans="11:11" ht="12.75">
      <c r="K529" s="76"/>
    </row>
    <row r="530" spans="11:11" ht="12.75">
      <c r="K530" s="76"/>
    </row>
    <row r="531" spans="11:11" ht="12.75">
      <c r="K531" s="76"/>
    </row>
    <row r="532" spans="11:11" ht="12.75">
      <c r="K532" s="76"/>
    </row>
    <row r="533" spans="11:11" ht="12.75">
      <c r="K533" s="76"/>
    </row>
    <row r="534" spans="11:11" ht="12.75">
      <c r="K534" s="76"/>
    </row>
    <row r="535" spans="11:11" ht="12.75">
      <c r="K535" s="76"/>
    </row>
    <row r="536" spans="11:11" ht="12.75">
      <c r="K536" s="76"/>
    </row>
    <row r="537" spans="11:11" ht="12.75">
      <c r="K537" s="76"/>
    </row>
    <row r="538" spans="11:11" ht="12.75">
      <c r="K538" s="76"/>
    </row>
    <row r="539" spans="11:11" ht="12.75">
      <c r="K539" s="76"/>
    </row>
    <row r="540" spans="11:11" ht="12.75">
      <c r="K540" s="76"/>
    </row>
    <row r="541" spans="11:11" ht="12.75">
      <c r="K541" s="76"/>
    </row>
    <row r="542" spans="11:11" ht="12.75">
      <c r="K542" s="76"/>
    </row>
    <row r="543" spans="11:11" ht="12.75">
      <c r="K543" s="76"/>
    </row>
    <row r="544" spans="11:11" ht="12.75">
      <c r="K544" s="76"/>
    </row>
    <row r="545" spans="11:11" ht="12.75">
      <c r="K545" s="76"/>
    </row>
    <row r="546" spans="11:11" ht="12.75">
      <c r="K546" s="76"/>
    </row>
    <row r="547" spans="11:11" ht="12.75">
      <c r="K547" s="76"/>
    </row>
    <row r="548" spans="11:11" ht="12.75">
      <c r="K548" s="76"/>
    </row>
    <row r="549" spans="11:11" ht="12.75">
      <c r="K549" s="76"/>
    </row>
    <row r="550" spans="11:11" ht="12.75">
      <c r="K550" s="76"/>
    </row>
    <row r="551" spans="11:11" ht="12.75">
      <c r="K551" s="76"/>
    </row>
    <row r="552" spans="11:11" ht="12.75">
      <c r="K552" s="76"/>
    </row>
    <row r="553" spans="11:11" ht="12.75">
      <c r="K553" s="76"/>
    </row>
    <row r="554" spans="11:11" ht="12.75">
      <c r="K554" s="76"/>
    </row>
    <row r="555" spans="11:11" ht="12.75">
      <c r="K555" s="76"/>
    </row>
    <row r="556" spans="11:11" ht="12.75">
      <c r="K556" s="76"/>
    </row>
    <row r="557" spans="11:11" ht="12.75">
      <c r="K557" s="76"/>
    </row>
    <row r="558" spans="11:11" ht="12.75">
      <c r="K558" s="76"/>
    </row>
    <row r="559" spans="11:11" ht="12.75">
      <c r="K559" s="76"/>
    </row>
    <row r="560" spans="11:11" ht="12.75">
      <c r="K560" s="76"/>
    </row>
    <row r="561" spans="11:11" ht="12.75">
      <c r="K561" s="76"/>
    </row>
    <row r="562" spans="11:11" ht="12.75">
      <c r="K562" s="76"/>
    </row>
    <row r="563" spans="11:11" ht="12.75">
      <c r="K563" s="76"/>
    </row>
    <row r="564" spans="11:11" ht="12.75">
      <c r="K564" s="76"/>
    </row>
    <row r="565" spans="11:11" ht="12.75">
      <c r="K565" s="76"/>
    </row>
    <row r="566" spans="11:11" ht="12.75">
      <c r="K566" s="76"/>
    </row>
    <row r="567" spans="11:11" ht="12.75">
      <c r="K567" s="76"/>
    </row>
    <row r="568" spans="11:11" ht="12.75">
      <c r="K568" s="76"/>
    </row>
    <row r="569" spans="11:11" ht="12.75">
      <c r="K569" s="76"/>
    </row>
    <row r="570" spans="11:11" ht="12.75">
      <c r="K570" s="76"/>
    </row>
    <row r="571" spans="11:11" ht="12.75">
      <c r="K571" s="76"/>
    </row>
    <row r="572" spans="11:11" ht="12.75">
      <c r="K572" s="76"/>
    </row>
    <row r="573" spans="11:11" ht="12.75">
      <c r="K573" s="76"/>
    </row>
    <row r="574" spans="11:11" ht="12.75">
      <c r="K574" s="76"/>
    </row>
    <row r="575" spans="11:11" ht="12.75">
      <c r="K575" s="76"/>
    </row>
    <row r="576" spans="11:11" ht="12.75">
      <c r="K576" s="76"/>
    </row>
    <row r="577" spans="11:11" ht="12.75">
      <c r="K577" s="76"/>
    </row>
    <row r="578" spans="11:11" ht="12.75">
      <c r="K578" s="76"/>
    </row>
    <row r="579" spans="11:11" ht="12.75">
      <c r="K579" s="76"/>
    </row>
    <row r="580" spans="11:11" ht="12.75">
      <c r="K580" s="76"/>
    </row>
    <row r="581" spans="11:11" ht="12.75">
      <c r="K581" s="76"/>
    </row>
    <row r="582" spans="11:11" ht="12.75">
      <c r="K582" s="76"/>
    </row>
    <row r="583" spans="11:11" ht="12.75">
      <c r="K583" s="76"/>
    </row>
    <row r="584" spans="11:11" ht="12.75">
      <c r="K584" s="76"/>
    </row>
    <row r="585" spans="11:11" ht="12.75">
      <c r="K585" s="76"/>
    </row>
    <row r="586" spans="11:11" ht="12.75">
      <c r="K586" s="76"/>
    </row>
    <row r="587" spans="11:11" ht="12.75">
      <c r="K587" s="76"/>
    </row>
    <row r="588" spans="11:11" ht="12.75">
      <c r="K588" s="76"/>
    </row>
    <row r="589" spans="11:11" ht="12.75">
      <c r="K589" s="76"/>
    </row>
    <row r="590" spans="11:11" ht="12.75">
      <c r="K590" s="76"/>
    </row>
    <row r="591" spans="11:11" ht="12.75">
      <c r="K591" s="76"/>
    </row>
    <row r="592" spans="11:11" ht="12.75">
      <c r="K592" s="76"/>
    </row>
    <row r="593" spans="11:11" ht="12.75">
      <c r="K593" s="76"/>
    </row>
    <row r="594" spans="11:11" ht="12.75">
      <c r="K594" s="76"/>
    </row>
    <row r="595" spans="11:11" ht="12.75">
      <c r="K595" s="76"/>
    </row>
    <row r="596" spans="11:11" ht="12.75">
      <c r="K596" s="76"/>
    </row>
    <row r="597" spans="11:11" ht="12.75">
      <c r="K597" s="76"/>
    </row>
    <row r="598" spans="11:11" ht="12.75">
      <c r="K598" s="76"/>
    </row>
    <row r="599" spans="11:11" ht="12.75">
      <c r="K599" s="76"/>
    </row>
    <row r="600" spans="11:11" ht="12.75">
      <c r="K600" s="76"/>
    </row>
    <row r="601" spans="11:11" ht="12.75">
      <c r="K601" s="76"/>
    </row>
    <row r="602" spans="11:11" ht="12.75">
      <c r="K602" s="76"/>
    </row>
    <row r="603" spans="11:11" ht="12.75">
      <c r="K603" s="76"/>
    </row>
    <row r="604" spans="11:11" ht="12.75">
      <c r="K604" s="76"/>
    </row>
    <row r="605" spans="11:11" ht="12.75">
      <c r="K605" s="76"/>
    </row>
    <row r="606" spans="11:11" ht="12.75">
      <c r="K606" s="76"/>
    </row>
    <row r="607" spans="11:11" ht="12.75">
      <c r="K607" s="76"/>
    </row>
    <row r="608" spans="11:11" ht="12.75">
      <c r="K608" s="76"/>
    </row>
    <row r="609" spans="11:11" ht="12.75">
      <c r="K609" s="76"/>
    </row>
    <row r="610" spans="11:11" ht="12.75">
      <c r="K610" s="76"/>
    </row>
    <row r="611" spans="11:11" ht="12.75">
      <c r="K611" s="76"/>
    </row>
    <row r="612" spans="11:11" ht="12.75">
      <c r="K612" s="76"/>
    </row>
    <row r="613" spans="11:11" ht="12.75">
      <c r="K613" s="76"/>
    </row>
    <row r="614" spans="11:11" ht="12.75">
      <c r="K614" s="76"/>
    </row>
    <row r="615" spans="11:11" ht="12.75">
      <c r="K615" s="76"/>
    </row>
    <row r="616" spans="11:11" ht="12.75">
      <c r="K616" s="76"/>
    </row>
    <row r="617" spans="11:11" ht="12.75">
      <c r="K617" s="76"/>
    </row>
    <row r="618" spans="11:11" ht="12.75">
      <c r="K618" s="76"/>
    </row>
    <row r="619" spans="11:11" ht="12.75">
      <c r="K619" s="76"/>
    </row>
    <row r="620" spans="11:11" ht="12.75">
      <c r="K620" s="76"/>
    </row>
    <row r="621" spans="11:11" ht="12.75">
      <c r="K621" s="76"/>
    </row>
    <row r="622" spans="11:11" ht="12.75">
      <c r="K622" s="76"/>
    </row>
    <row r="623" spans="11:11" ht="12.75">
      <c r="K623" s="76"/>
    </row>
    <row r="624" spans="11:11" ht="12.75">
      <c r="K624" s="76"/>
    </row>
    <row r="625" spans="11:11" ht="12.75">
      <c r="K625" s="76"/>
    </row>
    <row r="626" spans="11:11" ht="12.75">
      <c r="K626" s="76"/>
    </row>
    <row r="627" spans="11:11" ht="12.75">
      <c r="K627" s="76"/>
    </row>
    <row r="628" spans="11:11" ht="12.75">
      <c r="K628" s="76"/>
    </row>
    <row r="629" spans="11:11" ht="12.75">
      <c r="K629" s="76"/>
    </row>
    <row r="630" spans="11:11" ht="12.75">
      <c r="K630" s="76"/>
    </row>
    <row r="631" spans="11:11" ht="12.75">
      <c r="K631" s="76"/>
    </row>
    <row r="632" spans="11:11" ht="12.75">
      <c r="K632" s="76"/>
    </row>
    <row r="633" spans="11:11" ht="12.75">
      <c r="K633" s="76"/>
    </row>
    <row r="634" spans="11:11" ht="12.75">
      <c r="K634" s="76"/>
    </row>
    <row r="635" spans="11:11" ht="12.75">
      <c r="K635" s="76"/>
    </row>
    <row r="636" spans="11:11" ht="12.75">
      <c r="K636" s="76"/>
    </row>
    <row r="637" spans="11:11" ht="12.75">
      <c r="K637" s="76"/>
    </row>
    <row r="638" spans="11:11" ht="12.75">
      <c r="K638" s="76"/>
    </row>
    <row r="639" spans="11:11" ht="12.75">
      <c r="K639" s="76"/>
    </row>
    <row r="640" spans="11:11" ht="12.75">
      <c r="K640" s="76"/>
    </row>
    <row r="641" spans="11:11" ht="12.75">
      <c r="K641" s="76"/>
    </row>
    <row r="642" spans="11:11" ht="12.75">
      <c r="K642" s="76"/>
    </row>
    <row r="643" spans="11:11" ht="12.75">
      <c r="K643" s="76"/>
    </row>
    <row r="644" spans="11:11" ht="12.75">
      <c r="K644" s="76"/>
    </row>
    <row r="645" spans="11:11" ht="12.75">
      <c r="K645" s="76"/>
    </row>
    <row r="646" spans="11:11" ht="12.75">
      <c r="K646" s="76"/>
    </row>
    <row r="647" spans="11:11" ht="12.75">
      <c r="K647" s="76"/>
    </row>
    <row r="648" spans="11:11" ht="12.75">
      <c r="K648" s="76"/>
    </row>
    <row r="649" spans="11:11" ht="12.75">
      <c r="K649" s="76"/>
    </row>
    <row r="650" spans="11:11" ht="12.75">
      <c r="K650" s="76"/>
    </row>
    <row r="651" spans="11:11" ht="12.75">
      <c r="K651" s="76"/>
    </row>
    <row r="652" spans="11:11" ht="12.75">
      <c r="K652" s="76"/>
    </row>
    <row r="653" spans="11:11" ht="12.75">
      <c r="K653" s="76"/>
    </row>
    <row r="654" spans="11:11" ht="12.75">
      <c r="K654" s="76"/>
    </row>
    <row r="655" spans="11:11" ht="12.75">
      <c r="K655" s="76"/>
    </row>
    <row r="656" spans="11:11" ht="12.75">
      <c r="K656" s="76"/>
    </row>
    <row r="657" spans="11:11" ht="12.75">
      <c r="K657" s="76"/>
    </row>
    <row r="658" spans="11:11" ht="12.75">
      <c r="K658" s="76"/>
    </row>
    <row r="659" spans="11:11" ht="12.75">
      <c r="K659" s="76"/>
    </row>
    <row r="660" spans="11:11" ht="12.75">
      <c r="K660" s="76"/>
    </row>
    <row r="661" spans="11:11" ht="12.75">
      <c r="K661" s="76"/>
    </row>
    <row r="662" spans="11:11" ht="12.75">
      <c r="K662" s="76"/>
    </row>
    <row r="663" spans="11:11" ht="12.75">
      <c r="K663" s="76"/>
    </row>
    <row r="664" spans="11:11" ht="12.75">
      <c r="K664" s="76"/>
    </row>
    <row r="665" spans="11:11" ht="12.75">
      <c r="K665" s="76"/>
    </row>
    <row r="666" spans="11:11" ht="12.75">
      <c r="K666" s="76"/>
    </row>
    <row r="667" spans="11:11" ht="12.75">
      <c r="K667" s="76"/>
    </row>
    <row r="668" spans="11:11" ht="12.75">
      <c r="K668" s="76"/>
    </row>
    <row r="669" spans="11:11" ht="12.75">
      <c r="K669" s="76"/>
    </row>
    <row r="670" spans="11:11" ht="12.75">
      <c r="K670" s="76"/>
    </row>
    <row r="671" spans="11:11" ht="12.75">
      <c r="K671" s="76"/>
    </row>
    <row r="672" spans="11:11" ht="12.75">
      <c r="K672" s="76"/>
    </row>
    <row r="673" spans="11:11" ht="12.75">
      <c r="K673" s="76"/>
    </row>
    <row r="674" spans="11:11" ht="12.75">
      <c r="K674" s="76"/>
    </row>
    <row r="675" spans="11:11" ht="12.75">
      <c r="K675" s="76"/>
    </row>
    <row r="676" spans="11:11" ht="12.75">
      <c r="K676" s="76"/>
    </row>
    <row r="677" spans="11:11" ht="12.75">
      <c r="K677" s="76"/>
    </row>
    <row r="678" spans="11:11" ht="12.75">
      <c r="K678" s="76"/>
    </row>
    <row r="679" spans="11:11" ht="12.75">
      <c r="K679" s="76"/>
    </row>
    <row r="680" spans="11:11" ht="12.75">
      <c r="K680" s="76"/>
    </row>
    <row r="681" spans="11:11" ht="12.75">
      <c r="K681" s="76"/>
    </row>
    <row r="682" spans="11:11" ht="12.75">
      <c r="K682" s="76"/>
    </row>
    <row r="683" spans="11:11" ht="12.75">
      <c r="K683" s="76"/>
    </row>
    <row r="684" spans="11:11" ht="12.75">
      <c r="K684" s="76"/>
    </row>
    <row r="685" spans="11:11" ht="12.75">
      <c r="K685" s="76"/>
    </row>
    <row r="686" spans="11:11" ht="12.75">
      <c r="K686" s="76"/>
    </row>
    <row r="687" spans="11:11" ht="12.75">
      <c r="K687" s="76"/>
    </row>
    <row r="688" spans="11:11" ht="12.75">
      <c r="K688" s="76"/>
    </row>
    <row r="689" spans="11:11" ht="12.75">
      <c r="K689" s="76"/>
    </row>
    <row r="690" spans="11:11" ht="12.75">
      <c r="K690" s="76"/>
    </row>
    <row r="691" spans="11:11" ht="12.75">
      <c r="K691" s="76"/>
    </row>
    <row r="692" spans="11:11" ht="12.75">
      <c r="K692" s="76"/>
    </row>
    <row r="693" spans="11:11" ht="12.75">
      <c r="K693" s="76"/>
    </row>
    <row r="694" spans="11:11" ht="12.75">
      <c r="K694" s="76"/>
    </row>
    <row r="695" spans="11:11" ht="12.75">
      <c r="K695" s="76"/>
    </row>
    <row r="696" spans="11:11" ht="12.75">
      <c r="K696" s="76"/>
    </row>
    <row r="697" spans="11:11" ht="12.75">
      <c r="K697" s="76"/>
    </row>
    <row r="698" spans="11:11" ht="12.75">
      <c r="K698" s="76"/>
    </row>
    <row r="699" spans="11:11" ht="12.75">
      <c r="K699" s="76"/>
    </row>
    <row r="700" spans="11:11" ht="12.75">
      <c r="K700" s="76"/>
    </row>
    <row r="701" spans="11:11" ht="12.75">
      <c r="K701" s="76"/>
    </row>
    <row r="702" spans="11:11" ht="12.75">
      <c r="K702" s="76"/>
    </row>
    <row r="703" spans="11:11" ht="12.75">
      <c r="K703" s="76"/>
    </row>
    <row r="704" spans="11:11" ht="12.75">
      <c r="K704" s="76"/>
    </row>
    <row r="705" spans="11:11" ht="12.75">
      <c r="K705" s="76"/>
    </row>
    <row r="706" spans="11:11" ht="12.75">
      <c r="K706" s="76"/>
    </row>
    <row r="707" spans="11:11" ht="12.75">
      <c r="K707" s="76"/>
    </row>
    <row r="708" spans="11:11" ht="12.75">
      <c r="K708" s="76"/>
    </row>
    <row r="709" spans="11:11" ht="12.75">
      <c r="K709" s="76"/>
    </row>
    <row r="710" spans="11:11" ht="12.75">
      <c r="K710" s="76"/>
    </row>
    <row r="711" spans="11:11" ht="12.75">
      <c r="K711" s="76"/>
    </row>
    <row r="712" spans="11:11" ht="12.75">
      <c r="K712" s="76"/>
    </row>
    <row r="713" spans="11:11" ht="12.75">
      <c r="K713" s="76"/>
    </row>
    <row r="714" spans="11:11" ht="12.75">
      <c r="K714" s="76"/>
    </row>
    <row r="715" spans="11:11" ht="12.75">
      <c r="K715" s="76"/>
    </row>
    <row r="716" spans="11:11" ht="12.75">
      <c r="K716" s="76"/>
    </row>
    <row r="717" spans="11:11" ht="12.75">
      <c r="K717" s="76"/>
    </row>
    <row r="718" spans="11:11" ht="12.75">
      <c r="K718" s="76"/>
    </row>
    <row r="719" spans="11:11" ht="12.75">
      <c r="K719" s="76"/>
    </row>
    <row r="720" spans="11:11" ht="12.75">
      <c r="K720" s="76"/>
    </row>
    <row r="721" spans="11:11" ht="12.75">
      <c r="K721" s="76"/>
    </row>
    <row r="722" spans="11:11" ht="12.75">
      <c r="K722" s="76"/>
    </row>
    <row r="723" spans="11:11" ht="12.75">
      <c r="K723" s="76"/>
    </row>
    <row r="724" spans="11:11" ht="12.75">
      <c r="K724" s="76"/>
    </row>
    <row r="725" spans="11:11" ht="12.75">
      <c r="K725" s="76"/>
    </row>
    <row r="726" spans="11:11" ht="12.75">
      <c r="K726" s="76"/>
    </row>
    <row r="727" spans="11:11" ht="12.75">
      <c r="K727" s="76"/>
    </row>
    <row r="728" spans="11:11" ht="12.75">
      <c r="K728" s="76"/>
    </row>
    <row r="729" spans="11:11" ht="12.75">
      <c r="K729" s="76"/>
    </row>
    <row r="730" spans="11:11" ht="12.75">
      <c r="K730" s="76"/>
    </row>
    <row r="731" spans="11:11" ht="12.75">
      <c r="K731" s="76"/>
    </row>
    <row r="732" spans="11:11" ht="12.75">
      <c r="K732" s="76"/>
    </row>
    <row r="733" spans="11:11" ht="12.75">
      <c r="K733" s="76"/>
    </row>
    <row r="734" spans="11:11" ht="12.75">
      <c r="K734" s="76"/>
    </row>
    <row r="735" spans="11:11" ht="12.75">
      <c r="K735" s="76"/>
    </row>
    <row r="736" spans="11:11" ht="12.75">
      <c r="K736" s="76"/>
    </row>
    <row r="737" spans="11:11" ht="12.75">
      <c r="K737" s="76"/>
    </row>
    <row r="738" spans="11:11" ht="12.75">
      <c r="K738" s="76"/>
    </row>
    <row r="739" spans="11:11" ht="12.75">
      <c r="K739" s="76"/>
    </row>
    <row r="740" spans="11:11" ht="12.75">
      <c r="K740" s="76"/>
    </row>
    <row r="741" spans="11:11" ht="12.75">
      <c r="K741" s="76"/>
    </row>
    <row r="742" spans="11:11" ht="12.75">
      <c r="K742" s="76"/>
    </row>
    <row r="743" spans="11:11" ht="12.75">
      <c r="K743" s="76"/>
    </row>
    <row r="744" spans="11:11" ht="12.75">
      <c r="K744" s="76"/>
    </row>
    <row r="745" spans="11:11" ht="12.75">
      <c r="K745" s="76"/>
    </row>
    <row r="746" spans="11:11" ht="12.75">
      <c r="K746" s="76"/>
    </row>
    <row r="747" spans="11:11" ht="12.75">
      <c r="K747" s="76"/>
    </row>
    <row r="748" spans="11:11" ht="12.75">
      <c r="K748" s="76"/>
    </row>
    <row r="749" spans="11:11" ht="12.75">
      <c r="K749" s="76"/>
    </row>
    <row r="750" spans="11:11" ht="12.75">
      <c r="K750" s="76"/>
    </row>
    <row r="751" spans="11:11" ht="12.75">
      <c r="K751" s="76"/>
    </row>
    <row r="752" spans="11:11" ht="12.75">
      <c r="K752" s="76"/>
    </row>
    <row r="753" spans="11:11" ht="12.75">
      <c r="K753" s="76"/>
    </row>
    <row r="754" spans="11:11" ht="12.75">
      <c r="K754" s="76"/>
    </row>
    <row r="755" spans="11:11" ht="12.75">
      <c r="K755" s="76"/>
    </row>
    <row r="756" spans="11:11" ht="12.75">
      <c r="K756" s="76"/>
    </row>
    <row r="757" spans="11:11" ht="12.75">
      <c r="K757" s="76"/>
    </row>
    <row r="758" spans="11:11" ht="12.75">
      <c r="K758" s="76"/>
    </row>
    <row r="759" spans="11:11" ht="12.75">
      <c r="K759" s="76"/>
    </row>
    <row r="760" spans="11:11" ht="12.75">
      <c r="K760" s="76"/>
    </row>
    <row r="761" spans="11:11" ht="12.75">
      <c r="K761" s="76"/>
    </row>
    <row r="762" spans="11:11" ht="12.75">
      <c r="K762" s="76"/>
    </row>
    <row r="763" spans="11:11" ht="12.75">
      <c r="K763" s="76"/>
    </row>
    <row r="764" spans="11:11" ht="12.75">
      <c r="K764" s="76"/>
    </row>
    <row r="765" spans="11:11" ht="12.75">
      <c r="K765" s="76"/>
    </row>
    <row r="766" spans="11:11" ht="12.75">
      <c r="K766" s="76"/>
    </row>
    <row r="767" spans="11:11" ht="12.75">
      <c r="K767" s="76"/>
    </row>
    <row r="768" spans="11:11" ht="12.75">
      <c r="K768" s="76"/>
    </row>
    <row r="769" spans="11:11" ht="12.75">
      <c r="K769" s="76"/>
    </row>
    <row r="770" spans="11:11" ht="12.75">
      <c r="K770" s="76"/>
    </row>
    <row r="771" spans="11:11" ht="12.75">
      <c r="K771" s="76"/>
    </row>
    <row r="772" spans="11:11" ht="12.75">
      <c r="K772" s="76"/>
    </row>
    <row r="773" spans="11:11" ht="12.75">
      <c r="K773" s="76"/>
    </row>
    <row r="774" spans="11:11" ht="12.75">
      <c r="K774" s="76"/>
    </row>
    <row r="775" spans="11:11" ht="12.75">
      <c r="K775" s="76"/>
    </row>
    <row r="776" spans="11:11" ht="12.75">
      <c r="K776" s="76"/>
    </row>
    <row r="777" spans="11:11" ht="12.75">
      <c r="K777" s="76"/>
    </row>
    <row r="778" spans="11:11" ht="12.75">
      <c r="K778" s="76"/>
    </row>
    <row r="779" spans="11:11" ht="12.75">
      <c r="K779" s="76"/>
    </row>
    <row r="780" spans="11:11" ht="12.75">
      <c r="K780" s="76"/>
    </row>
    <row r="781" spans="11:11" ht="12.75">
      <c r="K781" s="76"/>
    </row>
    <row r="782" spans="11:11" ht="12.75">
      <c r="K782" s="76"/>
    </row>
    <row r="783" spans="11:11" ht="12.75">
      <c r="K783" s="76"/>
    </row>
    <row r="784" spans="11:11" ht="12.75">
      <c r="K784" s="76"/>
    </row>
    <row r="785" spans="11:11" ht="12.75">
      <c r="K785" s="76"/>
    </row>
    <row r="786" spans="11:11" ht="12.75">
      <c r="K786" s="76"/>
    </row>
    <row r="787" spans="11:11" ht="12.75">
      <c r="K787" s="76"/>
    </row>
    <row r="788" spans="11:11" ht="12.75">
      <c r="K788" s="76"/>
    </row>
    <row r="789" spans="11:11" ht="12.75">
      <c r="K789" s="76"/>
    </row>
    <row r="790" spans="11:11" ht="12.75">
      <c r="K790" s="76"/>
    </row>
    <row r="791" spans="11:11" ht="12.75">
      <c r="K791" s="76"/>
    </row>
    <row r="792" spans="11:11" ht="12.75">
      <c r="K792" s="76"/>
    </row>
    <row r="793" spans="11:11" ht="12.75">
      <c r="K793" s="76"/>
    </row>
    <row r="794" spans="11:11" ht="12.75">
      <c r="K794" s="76"/>
    </row>
    <row r="795" spans="11:11" ht="12.75">
      <c r="K795" s="76"/>
    </row>
    <row r="796" spans="11:11" ht="12.75">
      <c r="K796" s="76"/>
    </row>
    <row r="797" spans="11:11" ht="12.75">
      <c r="K797" s="76"/>
    </row>
    <row r="798" spans="11:11" ht="12.75">
      <c r="K798" s="76"/>
    </row>
    <row r="799" spans="11:11" ht="12.75">
      <c r="K799" s="76"/>
    </row>
    <row r="800" spans="11:11" ht="12.75">
      <c r="K800" s="76"/>
    </row>
    <row r="801" spans="11:11" ht="12.75">
      <c r="K801" s="76"/>
    </row>
    <row r="802" spans="11:11" ht="12.75">
      <c r="K802" s="76"/>
    </row>
    <row r="803" spans="11:11" ht="12.75">
      <c r="K803" s="76"/>
    </row>
    <row r="804" spans="11:11" ht="12.75">
      <c r="K804" s="76"/>
    </row>
    <row r="805" spans="11:11" ht="12.75">
      <c r="K805" s="76"/>
    </row>
    <row r="806" spans="11:11" ht="12.75">
      <c r="K806" s="76"/>
    </row>
    <row r="807" spans="11:11" ht="12.75">
      <c r="K807" s="76"/>
    </row>
    <row r="808" spans="11:11" ht="12.75">
      <c r="K808" s="76"/>
    </row>
    <row r="809" spans="11:11" ht="12.75">
      <c r="K809" s="76"/>
    </row>
    <row r="810" spans="11:11" ht="12.75">
      <c r="K810" s="76"/>
    </row>
    <row r="811" spans="11:11" ht="12.75">
      <c r="K811" s="76"/>
    </row>
    <row r="812" spans="11:11" ht="12.75">
      <c r="K812" s="76"/>
    </row>
    <row r="813" spans="11:11" ht="12.75">
      <c r="K813" s="76"/>
    </row>
    <row r="814" spans="11:11" ht="12.75">
      <c r="K814" s="76"/>
    </row>
    <row r="815" spans="11:11" ht="12.75">
      <c r="K815" s="76"/>
    </row>
    <row r="816" spans="11:11" ht="12.75">
      <c r="K816" s="76"/>
    </row>
    <row r="817" spans="11:11" ht="12.75">
      <c r="K817" s="76"/>
    </row>
    <row r="818" spans="11:11" ht="12.75">
      <c r="K818" s="76"/>
    </row>
    <row r="819" spans="11:11" ht="12.75">
      <c r="K819" s="76"/>
    </row>
    <row r="820" spans="11:11" ht="12.75">
      <c r="K820" s="76"/>
    </row>
    <row r="821" spans="11:11" ht="12.75">
      <c r="K821" s="76"/>
    </row>
    <row r="822" spans="11:11" ht="12.75">
      <c r="K822" s="76"/>
    </row>
    <row r="823" spans="11:11" ht="12.75">
      <c r="K823" s="76"/>
    </row>
    <row r="824" spans="11:11" ht="12.75">
      <c r="K824" s="76"/>
    </row>
    <row r="825" spans="11:11" ht="12.75">
      <c r="K825" s="76"/>
    </row>
    <row r="826" spans="11:11" ht="12.75">
      <c r="K826" s="76"/>
    </row>
    <row r="827" spans="11:11" ht="12.75">
      <c r="K827" s="76"/>
    </row>
    <row r="828" spans="11:11" ht="12.75">
      <c r="K828" s="76"/>
    </row>
    <row r="829" spans="11:11" ht="12.75">
      <c r="K829" s="76"/>
    </row>
    <row r="830" spans="11:11" ht="12.75">
      <c r="K830" s="76"/>
    </row>
    <row r="831" spans="11:11" ht="12.75">
      <c r="K831" s="76"/>
    </row>
    <row r="832" spans="11:11" ht="12.75">
      <c r="K832" s="76"/>
    </row>
    <row r="833" spans="11:11" ht="12.75">
      <c r="K833" s="76"/>
    </row>
    <row r="834" spans="11:11" ht="12.75">
      <c r="K834" s="76"/>
    </row>
    <row r="835" spans="11:11" ht="12.75">
      <c r="K835" s="76"/>
    </row>
    <row r="836" spans="11:11" ht="12.75">
      <c r="K836" s="76"/>
    </row>
    <row r="837" spans="11:11" ht="12.75">
      <c r="K837" s="76"/>
    </row>
    <row r="838" spans="11:11" ht="12.75">
      <c r="K838" s="76"/>
    </row>
    <row r="839" spans="11:11" ht="12.75">
      <c r="K839" s="76"/>
    </row>
    <row r="840" spans="11:11" ht="12.75">
      <c r="K840" s="76"/>
    </row>
    <row r="841" spans="11:11" ht="12.75">
      <c r="K841" s="76"/>
    </row>
    <row r="842" spans="11:11" ht="12.75">
      <c r="K842" s="76"/>
    </row>
    <row r="843" spans="11:11" ht="12.75">
      <c r="K843" s="76"/>
    </row>
    <row r="844" spans="11:11" ht="12.75">
      <c r="K844" s="76"/>
    </row>
    <row r="845" spans="11:11" ht="12.75">
      <c r="K845" s="76"/>
    </row>
    <row r="846" spans="11:11" ht="12.75">
      <c r="K846" s="76"/>
    </row>
    <row r="847" spans="11:11" ht="12.75">
      <c r="K847" s="76"/>
    </row>
    <row r="848" spans="11:11" ht="12.75">
      <c r="K848" s="76"/>
    </row>
    <row r="849" spans="11:11" ht="12.75">
      <c r="K849" s="76"/>
    </row>
    <row r="850" spans="11:11" ht="12.75">
      <c r="K850" s="76"/>
    </row>
    <row r="851" spans="11:11" ht="12.75">
      <c r="K851" s="76"/>
    </row>
    <row r="852" spans="11:11" ht="12.75">
      <c r="K852" s="76"/>
    </row>
    <row r="853" spans="11:11" ht="12.75">
      <c r="K853" s="76"/>
    </row>
    <row r="854" spans="11:11" ht="12.75">
      <c r="K854" s="76"/>
    </row>
    <row r="855" spans="11:11" ht="12.75">
      <c r="K855" s="76"/>
    </row>
    <row r="856" spans="11:11" ht="12.75">
      <c r="K856" s="76"/>
    </row>
    <row r="857" spans="11:11" ht="12.75">
      <c r="K857" s="76"/>
    </row>
    <row r="858" spans="11:11" ht="12.75">
      <c r="K858" s="76"/>
    </row>
    <row r="859" spans="11:11" ht="12.75">
      <c r="K859" s="76"/>
    </row>
    <row r="860" spans="11:11" ht="12.75">
      <c r="K860" s="76"/>
    </row>
    <row r="861" spans="11:11" ht="12.75">
      <c r="K861" s="76"/>
    </row>
    <row r="862" spans="11:11" ht="12.75">
      <c r="K862" s="76"/>
    </row>
    <row r="863" spans="11:11" ht="12.75">
      <c r="K863" s="76"/>
    </row>
    <row r="864" spans="11:11" ht="12.75">
      <c r="K864" s="76"/>
    </row>
    <row r="865" spans="11:11" ht="12.75">
      <c r="K865" s="76"/>
    </row>
    <row r="866" spans="11:11" ht="12.75">
      <c r="K866" s="76"/>
    </row>
    <row r="867" spans="11:11" ht="12.75">
      <c r="K867" s="76"/>
    </row>
    <row r="868" spans="11:11" ht="12.75">
      <c r="K868" s="76"/>
    </row>
    <row r="869" spans="11:11" ht="12.75">
      <c r="K869" s="76"/>
    </row>
    <row r="870" spans="11:11" ht="12.75">
      <c r="K870" s="76"/>
    </row>
    <row r="871" spans="11:11" ht="12.75">
      <c r="K871" s="76"/>
    </row>
    <row r="872" spans="11:11" ht="12.75">
      <c r="K872" s="76"/>
    </row>
    <row r="873" spans="11:11" ht="12.75">
      <c r="K873" s="76"/>
    </row>
    <row r="874" spans="11:11" ht="12.75">
      <c r="K874" s="76"/>
    </row>
    <row r="875" spans="11:11" ht="12.75">
      <c r="K875" s="76"/>
    </row>
    <row r="876" spans="11:11" ht="12.75">
      <c r="K876" s="76"/>
    </row>
    <row r="877" spans="11:11" ht="12.75">
      <c r="K877" s="76"/>
    </row>
    <row r="878" spans="11:11" ht="12.75">
      <c r="K878" s="76"/>
    </row>
    <row r="879" spans="11:11" ht="12.75">
      <c r="K879" s="76"/>
    </row>
    <row r="880" spans="11:11" ht="12.75">
      <c r="K880" s="76"/>
    </row>
    <row r="881" spans="11:11" ht="12.75">
      <c r="K881" s="76"/>
    </row>
    <row r="882" spans="11:11" ht="12.75">
      <c r="K882" s="76"/>
    </row>
    <row r="883" spans="11:11" ht="12.75">
      <c r="K883" s="76"/>
    </row>
    <row r="884" spans="11:11" ht="12.75">
      <c r="K884" s="76"/>
    </row>
    <row r="885" spans="11:11" ht="12.75">
      <c r="K885" s="76"/>
    </row>
    <row r="886" spans="11:11" ht="12.75">
      <c r="K886" s="76"/>
    </row>
    <row r="887" spans="11:11" ht="12.75">
      <c r="K887" s="76"/>
    </row>
    <row r="888" spans="11:11" ht="12.75">
      <c r="K888" s="76"/>
    </row>
    <row r="889" spans="11:11" ht="12.75">
      <c r="K889" s="76"/>
    </row>
    <row r="890" spans="11:11" ht="12.75">
      <c r="K890" s="76"/>
    </row>
    <row r="891" spans="11:11" ht="12.75">
      <c r="K891" s="76"/>
    </row>
    <row r="892" spans="11:11" ht="12.75">
      <c r="K892" s="76"/>
    </row>
    <row r="893" spans="11:11" ht="12.75">
      <c r="K893" s="76"/>
    </row>
    <row r="894" spans="11:11" ht="12.75">
      <c r="K894" s="76"/>
    </row>
    <row r="895" spans="11:11" ht="12.75">
      <c r="K895" s="76"/>
    </row>
    <row r="896" spans="11:11" ht="12.75">
      <c r="K896" s="76"/>
    </row>
    <row r="897" spans="11:11" ht="12.75">
      <c r="K897" s="76"/>
    </row>
    <row r="898" spans="11:11" ht="12.75">
      <c r="K898" s="76"/>
    </row>
    <row r="899" spans="11:11" ht="12.75">
      <c r="K899" s="76"/>
    </row>
    <row r="900" spans="11:11" ht="12.75">
      <c r="K900" s="76"/>
    </row>
    <row r="901" spans="11:11" ht="12.75">
      <c r="K901" s="76"/>
    </row>
    <row r="902" spans="11:11" ht="12.75">
      <c r="K902" s="76"/>
    </row>
    <row r="903" spans="11:11" ht="12.75">
      <c r="K903" s="76"/>
    </row>
    <row r="904" spans="11:11" ht="12.75">
      <c r="K904" s="76"/>
    </row>
    <row r="905" spans="11:11" ht="12.75">
      <c r="K905" s="76"/>
    </row>
    <row r="906" spans="11:11" ht="12.75">
      <c r="K906" s="76"/>
    </row>
    <row r="907" spans="11:11" ht="12.75">
      <c r="K907" s="76"/>
    </row>
    <row r="908" spans="11:11" ht="12.75">
      <c r="K908" s="76"/>
    </row>
    <row r="909" spans="11:11" ht="12.75">
      <c r="K909" s="76"/>
    </row>
    <row r="910" spans="11:11" ht="12.75">
      <c r="K910" s="76"/>
    </row>
    <row r="911" spans="11:11" ht="12.75">
      <c r="K911" s="76"/>
    </row>
    <row r="912" spans="11:11" ht="12.75">
      <c r="K912" s="76"/>
    </row>
    <row r="913" spans="11:11" ht="12.75">
      <c r="K913" s="76"/>
    </row>
    <row r="914" spans="11:11" ht="12.75">
      <c r="K914" s="76"/>
    </row>
    <row r="915" spans="11:11" ht="12.75">
      <c r="K915" s="76"/>
    </row>
    <row r="916" spans="11:11" ht="12.75">
      <c r="K916" s="76"/>
    </row>
    <row r="917" spans="11:11" ht="12.75">
      <c r="K917" s="76"/>
    </row>
    <row r="918" spans="11:11" ht="12.75">
      <c r="K918" s="76"/>
    </row>
    <row r="919" spans="11:11" ht="12.75">
      <c r="K919" s="76"/>
    </row>
    <row r="920" spans="11:11" ht="12.75">
      <c r="K920" s="76"/>
    </row>
    <row r="921" spans="11:11" ht="12.75">
      <c r="K921" s="76"/>
    </row>
    <row r="922" spans="11:11" ht="12.75">
      <c r="K922" s="76"/>
    </row>
    <row r="923" spans="11:11" ht="12.75">
      <c r="K923" s="76"/>
    </row>
    <row r="924" spans="11:11" ht="12.75">
      <c r="K924" s="76"/>
    </row>
    <row r="925" spans="11:11" ht="12.75">
      <c r="K925" s="76"/>
    </row>
    <row r="926" spans="11:11" ht="12.75">
      <c r="K926" s="76"/>
    </row>
    <row r="927" spans="11:11" ht="12.75">
      <c r="K927" s="76"/>
    </row>
    <row r="928" spans="11:11" ht="12.75">
      <c r="K928" s="76"/>
    </row>
    <row r="929" spans="11:11" ht="12.75">
      <c r="K929" s="76"/>
    </row>
    <row r="930" spans="11:11" ht="12.75">
      <c r="K930" s="76"/>
    </row>
    <row r="931" spans="11:11" ht="12.75">
      <c r="K931" s="76"/>
    </row>
    <row r="932" spans="11:11" ht="12.75">
      <c r="K932" s="76"/>
    </row>
    <row r="933" spans="11:11" ht="12.75">
      <c r="K933" s="76"/>
    </row>
    <row r="934" spans="11:11" ht="12.75">
      <c r="K934" s="76"/>
    </row>
    <row r="935" spans="11:11" ht="12.75">
      <c r="K935" s="76"/>
    </row>
    <row r="936" spans="11:11" ht="12.75">
      <c r="K936" s="76"/>
    </row>
    <row r="937" spans="11:11" ht="12.75">
      <c r="K937" s="76"/>
    </row>
    <row r="938" spans="11:11" ht="12.75">
      <c r="K938" s="76"/>
    </row>
    <row r="939" spans="11:11" ht="12.75">
      <c r="K939" s="76"/>
    </row>
    <row r="940" spans="11:11" ht="12.75">
      <c r="K940" s="76"/>
    </row>
    <row r="941" spans="11:11" ht="12.75">
      <c r="K941" s="76"/>
    </row>
    <row r="942" spans="11:11" ht="12.75">
      <c r="K942" s="76"/>
    </row>
    <row r="943" spans="11:11" ht="12.75">
      <c r="K943" s="76"/>
    </row>
    <row r="944" spans="11:11" ht="12.75">
      <c r="K944" s="76"/>
    </row>
    <row r="945" spans="11:11" ht="12.75">
      <c r="K945" s="76"/>
    </row>
    <row r="946" spans="11:11" ht="12.75">
      <c r="K946" s="76"/>
    </row>
    <row r="947" spans="11:11" ht="12.75">
      <c r="K947" s="76"/>
    </row>
    <row r="948" spans="11:11" ht="12.75">
      <c r="K948" s="76"/>
    </row>
    <row r="949" spans="11:11" ht="12.75">
      <c r="K949" s="76"/>
    </row>
    <row r="950" spans="11:11" ht="12.75">
      <c r="K950" s="76"/>
    </row>
    <row r="951" spans="11:11" ht="12.75">
      <c r="K951" s="76"/>
    </row>
    <row r="952" spans="11:11" ht="12.75">
      <c r="K952" s="76"/>
    </row>
    <row r="953" spans="11:11" ht="12.75">
      <c r="K953" s="76"/>
    </row>
    <row r="954" spans="11:11" ht="12.75">
      <c r="K954" s="76"/>
    </row>
    <row r="955" spans="11:11" ht="12.75">
      <c r="K955" s="76"/>
    </row>
    <row r="956" spans="11:11" ht="12.75">
      <c r="K956" s="76"/>
    </row>
    <row r="957" spans="11:11" ht="12.75">
      <c r="K957" s="76"/>
    </row>
    <row r="958" spans="11:11" ht="12.75">
      <c r="K958" s="76"/>
    </row>
    <row r="959" spans="11:11" ht="12.75">
      <c r="K959" s="76"/>
    </row>
    <row r="960" spans="11:11" ht="12.75">
      <c r="K960" s="76"/>
    </row>
    <row r="961" spans="11:11" ht="12.75">
      <c r="K961" s="76"/>
    </row>
    <row r="962" spans="11:11" ht="12.75">
      <c r="K962" s="76"/>
    </row>
    <row r="963" spans="11:11" ht="12.75">
      <c r="K963" s="76"/>
    </row>
    <row r="964" spans="11:11" ht="12.75">
      <c r="K964" s="76"/>
    </row>
    <row r="965" spans="11:11" ht="12.75">
      <c r="K965" s="76"/>
    </row>
    <row r="966" spans="11:11" ht="12.75">
      <c r="K966" s="76"/>
    </row>
    <row r="967" spans="11:11" ht="12.75">
      <c r="K967" s="76"/>
    </row>
    <row r="968" spans="11:11" ht="12.75">
      <c r="K968" s="76"/>
    </row>
    <row r="969" spans="11:11" ht="12.75">
      <c r="K969" s="76"/>
    </row>
    <row r="970" spans="11:11" ht="12.75">
      <c r="K970" s="76"/>
    </row>
    <row r="971" spans="11:11" ht="12.75">
      <c r="K971" s="76"/>
    </row>
    <row r="972" spans="11:11" ht="12.75">
      <c r="K972" s="76"/>
    </row>
    <row r="973" spans="11:11" ht="12.75">
      <c r="K973" s="76"/>
    </row>
    <row r="974" spans="11:11" ht="12.75">
      <c r="K974" s="76"/>
    </row>
    <row r="975" spans="11:11" ht="12.75">
      <c r="K975" s="76"/>
    </row>
    <row r="976" spans="11:11" ht="12.75">
      <c r="K976" s="76"/>
    </row>
    <row r="977" spans="11:11" ht="12.75">
      <c r="K977" s="76"/>
    </row>
    <row r="978" spans="11:11" ht="12.75">
      <c r="K978" s="76"/>
    </row>
    <row r="979" spans="11:11" ht="12.75">
      <c r="K979" s="76"/>
    </row>
    <row r="980" spans="11:11" ht="12.75">
      <c r="K980" s="76"/>
    </row>
    <row r="981" spans="11:11" ht="12.75">
      <c r="K981" s="76"/>
    </row>
    <row r="982" spans="11:11" ht="12.75">
      <c r="K982" s="76"/>
    </row>
    <row r="983" spans="11:11" ht="12.75">
      <c r="K983" s="76"/>
    </row>
    <row r="984" spans="11:11" ht="12.75">
      <c r="K984" s="76"/>
    </row>
    <row r="985" spans="11:11" ht="12.75">
      <c r="K985" s="76"/>
    </row>
    <row r="986" spans="11:11" ht="12.75">
      <c r="K986" s="76"/>
    </row>
    <row r="987" spans="11:11" ht="12.75">
      <c r="K987" s="76"/>
    </row>
    <row r="988" spans="11:11" ht="12.75">
      <c r="K988" s="76"/>
    </row>
    <row r="989" spans="11:11" ht="12.75">
      <c r="K989" s="76"/>
    </row>
    <row r="990" spans="11:11" ht="12.75">
      <c r="K990" s="76"/>
    </row>
    <row r="991" spans="11:11" ht="12.75">
      <c r="K991" s="76"/>
    </row>
    <row r="992" spans="11:11" ht="12.75">
      <c r="K992" s="76"/>
    </row>
    <row r="993" spans="11:11" ht="12.75">
      <c r="K993" s="76"/>
    </row>
    <row r="994" spans="11:11" ht="12.75">
      <c r="K994" s="76"/>
    </row>
  </sheetData>
  <mergeCells count="1">
    <mergeCell ref="L30:M3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AA993"/>
  <sheetViews>
    <sheetView workbookViewId="0">
      <selection activeCell="O17" sqref="O17"/>
    </sheetView>
  </sheetViews>
  <sheetFormatPr defaultColWidth="12.5703125" defaultRowHeight="15.75" customHeight="1"/>
  <cols>
    <col min="1" max="1" width="14.28515625" customWidth="1"/>
    <col min="2" max="2" width="59.42578125" customWidth="1"/>
    <col min="3" max="7" width="0" hidden="1" customWidth="1"/>
    <col min="8" max="8" width="7.42578125" style="146" customWidth="1"/>
    <col min="9" max="9" width="8.7109375" style="146" bestFit="1" customWidth="1"/>
    <col min="10" max="10" width="12.5703125" style="118"/>
    <col min="11" max="11" width="12.5703125" style="146"/>
    <col min="13" max="13" width="7.42578125" customWidth="1"/>
    <col min="15" max="15" width="74.42578125" customWidth="1"/>
    <col min="17" max="17" width="1.85546875" customWidth="1"/>
  </cols>
  <sheetData>
    <row r="1" spans="1:27" ht="15.75" customHeight="1">
      <c r="A1" s="61"/>
      <c r="B1" s="61"/>
      <c r="C1" s="61"/>
      <c r="D1" s="61"/>
      <c r="E1" s="61"/>
      <c r="F1" s="61"/>
      <c r="G1" s="61"/>
      <c r="H1" s="68"/>
      <c r="I1" s="68"/>
      <c r="J1" s="80"/>
      <c r="K1" s="68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.75" customHeight="1">
      <c r="A2" s="61"/>
      <c r="B2" s="82" t="s">
        <v>256</v>
      </c>
      <c r="C2" s="83"/>
      <c r="D2" s="83"/>
      <c r="E2" s="83"/>
      <c r="F2" s="83"/>
      <c r="G2" s="83"/>
      <c r="H2" s="147"/>
      <c r="I2" s="147"/>
      <c r="J2" s="147"/>
      <c r="K2" s="68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ht="15.75" customHeight="1">
      <c r="A3" s="61"/>
      <c r="B3" s="62"/>
      <c r="C3" s="62"/>
      <c r="D3" s="62"/>
      <c r="E3" s="62"/>
      <c r="F3" s="63"/>
      <c r="G3" s="63"/>
      <c r="H3" s="71"/>
      <c r="I3" s="71"/>
      <c r="J3" s="84"/>
      <c r="K3" s="68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27" ht="15.75" customHeight="1">
      <c r="A4" s="61"/>
      <c r="B4" s="85" t="s">
        <v>220</v>
      </c>
      <c r="C4" s="83"/>
      <c r="D4" s="83"/>
      <c r="E4" s="83"/>
      <c r="F4" s="83"/>
      <c r="G4" s="63"/>
      <c r="H4" s="71"/>
      <c r="I4" s="71"/>
      <c r="J4" s="84"/>
      <c r="K4" s="68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spans="1:27" ht="15.75" customHeight="1">
      <c r="A5" s="61"/>
      <c r="B5" s="62"/>
      <c r="C5" s="62"/>
      <c r="D5" s="62"/>
      <c r="E5" s="62"/>
      <c r="F5" s="63"/>
      <c r="G5" s="63"/>
      <c r="H5" s="71"/>
      <c r="I5" s="71"/>
      <c r="J5" s="79"/>
      <c r="K5" s="68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</row>
    <row r="6" spans="1:27" ht="15.75" customHeight="1">
      <c r="A6" s="120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</row>
    <row r="7" spans="1:27" ht="15.75" customHeight="1">
      <c r="A7" s="152" t="s">
        <v>224</v>
      </c>
      <c r="B7" s="153" t="s">
        <v>290</v>
      </c>
      <c r="C7" s="154"/>
      <c r="D7" s="154"/>
      <c r="E7" s="154"/>
      <c r="F7" s="154"/>
      <c r="G7" s="154"/>
      <c r="H7" s="126">
        <v>1</v>
      </c>
      <c r="I7" s="125" t="s">
        <v>282</v>
      </c>
      <c r="J7" s="125">
        <f>VLOOKUP(B7,Tabela_preços[[DESCRIÇÃO]:[VALOR]],3,FALSE)</f>
        <v>99.99</v>
      </c>
      <c r="K7" s="125">
        <f>J7*H7</f>
        <v>99.99</v>
      </c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27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25" t="s">
        <v>282</v>
      </c>
      <c r="J8" s="125">
        <f>VLOOKUP(B8,Tabela_preços[[DESCRIÇÃO]:[VALOR]],3,FALSE)</f>
        <v>17.512</v>
      </c>
      <c r="K8" s="125">
        <f t="shared" ref="K8:K11" si="0">J8*H8</f>
        <v>17.512</v>
      </c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spans="1:27" ht="15.75" customHeight="1">
      <c r="A9" s="152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25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</row>
    <row r="10" spans="1:27" ht="15.75" customHeight="1">
      <c r="A10" s="152" t="s">
        <v>262</v>
      </c>
      <c r="B10" s="153" t="s">
        <v>291</v>
      </c>
      <c r="C10" s="154"/>
      <c r="D10" s="154"/>
      <c r="E10" s="154"/>
      <c r="F10" s="154"/>
      <c r="G10" s="154"/>
      <c r="H10" s="126">
        <v>1</v>
      </c>
      <c r="I10" s="125" t="s">
        <v>282</v>
      </c>
      <c r="J10" s="125">
        <f>VLOOKUP(B10,Tabela_preços[[DESCRIÇÃO]:[VALOR]],3,FALSE)</f>
        <v>13.6</v>
      </c>
      <c r="K10" s="125">
        <f t="shared" si="0"/>
        <v>13.6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</row>
    <row r="11" spans="1:27" ht="15.75" customHeight="1">
      <c r="A11" s="152" t="s">
        <v>257</v>
      </c>
      <c r="B11" s="150" t="s">
        <v>258</v>
      </c>
      <c r="C11" s="154"/>
      <c r="D11" s="154"/>
      <c r="E11" s="154"/>
      <c r="F11" s="154"/>
      <c r="G11" s="154"/>
      <c r="H11" s="126">
        <v>2</v>
      </c>
      <c r="I11" s="125" t="s">
        <v>282</v>
      </c>
      <c r="J11" s="125">
        <f>VLOOKUP(B11,Tabela_preços[[DESCRIÇÃO]:[VALOR]],3,FALSE)</f>
        <v>25</v>
      </c>
      <c r="K11" s="125">
        <f t="shared" si="0"/>
        <v>50</v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</row>
    <row r="12" spans="1:27" ht="15.75" customHeight="1">
      <c r="A12" s="65"/>
      <c r="B12" s="65"/>
      <c r="C12" s="65"/>
      <c r="D12" s="65"/>
      <c r="E12" s="65"/>
      <c r="F12" s="65"/>
      <c r="G12" s="65"/>
      <c r="H12" s="78"/>
      <c r="I12" s="78"/>
      <c r="J12" s="78"/>
      <c r="K12" s="78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ht="15.75" customHeight="1">
      <c r="A13" s="120"/>
      <c r="B13" s="163" t="s">
        <v>235</v>
      </c>
      <c r="C13" s="154"/>
      <c r="D13" s="154"/>
      <c r="E13" s="119"/>
      <c r="F13" s="122"/>
      <c r="G13" s="122"/>
      <c r="H13" s="165" t="s">
        <v>222</v>
      </c>
      <c r="I13" s="166" t="s">
        <v>285</v>
      </c>
      <c r="J13" s="171" t="s">
        <v>223</v>
      </c>
      <c r="K13" s="171" t="s">
        <v>281</v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ht="15.75" customHeight="1">
      <c r="A14" s="152" t="s">
        <v>236</v>
      </c>
      <c r="B14" s="153" t="s">
        <v>237</v>
      </c>
      <c r="C14" s="154"/>
      <c r="D14" s="154"/>
      <c r="E14" s="154"/>
      <c r="F14" s="154"/>
      <c r="G14" s="154"/>
      <c r="H14" s="126">
        <v>2</v>
      </c>
      <c r="I14" s="125" t="s">
        <v>282</v>
      </c>
      <c r="J14" s="125">
        <f>VLOOKUP(B14,Tabela_preços[[DESCRIÇÃO]:[VALOR]],3,FALSE)</f>
        <v>185</v>
      </c>
      <c r="K14" s="125">
        <f t="shared" ref="K14" si="1">J14*H14</f>
        <v>370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.75" customHeight="1">
      <c r="A15" s="152">
        <v>865</v>
      </c>
      <c r="B15" s="168" t="s">
        <v>305</v>
      </c>
      <c r="C15" s="154"/>
      <c r="D15" s="154"/>
      <c r="E15" s="154"/>
      <c r="F15" s="154"/>
      <c r="G15" s="154"/>
      <c r="H15" s="126">
        <v>20</v>
      </c>
      <c r="I15" s="125" t="s">
        <v>282</v>
      </c>
      <c r="J15" s="125">
        <f>VLOOKUP(B15,Tabela_preços[[DESCRIÇÃO]:[VALOR]],3,FALSE)</f>
        <v>65</v>
      </c>
      <c r="K15" s="125">
        <f t="shared" ref="K15:K24" si="2">J15*H15</f>
        <v>1300</v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ht="15.75" customHeight="1">
      <c r="A16" s="152" t="s">
        <v>240</v>
      </c>
      <c r="B16" s="153" t="s">
        <v>241</v>
      </c>
      <c r="C16" s="154"/>
      <c r="D16" s="154"/>
      <c r="E16" s="154"/>
      <c r="F16" s="154"/>
      <c r="G16" s="154"/>
      <c r="H16" s="126">
        <v>0.1</v>
      </c>
      <c r="I16" s="125" t="s">
        <v>283</v>
      </c>
      <c r="J16" s="125">
        <f>VLOOKUP(B16,Tabela_preços[[DESCRIÇÃO]:[VALOR]],3,FALSE)</f>
        <v>2900</v>
      </c>
      <c r="K16" s="125">
        <f t="shared" si="2"/>
        <v>290</v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</row>
    <row r="17" spans="1:27" ht="15.75" customHeight="1">
      <c r="A17" s="152" t="s">
        <v>243</v>
      </c>
      <c r="B17" s="153" t="s">
        <v>244</v>
      </c>
      <c r="C17" s="154"/>
      <c r="D17" s="154"/>
      <c r="E17" s="154"/>
      <c r="F17" s="154"/>
      <c r="G17" s="154"/>
      <c r="H17" s="126">
        <v>0.1</v>
      </c>
      <c r="I17" s="125" t="s">
        <v>287</v>
      </c>
      <c r="J17" s="125">
        <f>VLOOKUP(B17,Tabela_preços[[DESCRIÇÃO]:[VALOR]],3,FALSE)</f>
        <v>2900</v>
      </c>
      <c r="K17" s="125">
        <f t="shared" si="2"/>
        <v>290</v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.75" customHeight="1">
      <c r="A18" s="152" t="s">
        <v>245</v>
      </c>
      <c r="B18" s="153" t="s">
        <v>302</v>
      </c>
      <c r="C18" s="154"/>
      <c r="D18" s="154"/>
      <c r="E18" s="154"/>
      <c r="F18" s="154"/>
      <c r="G18" s="154"/>
      <c r="H18" s="126">
        <v>2</v>
      </c>
      <c r="I18" s="125" t="s">
        <v>282</v>
      </c>
      <c r="J18" s="125">
        <f>VLOOKUP(B18,Tabela_preços[[DESCRIÇÃO]:[VALOR]],3,FALSE)</f>
        <v>46.15</v>
      </c>
      <c r="K18" s="125">
        <f t="shared" si="2"/>
        <v>92.3</v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.75" customHeight="1">
      <c r="A19" s="152" t="s">
        <v>246</v>
      </c>
      <c r="B19" s="153" t="s">
        <v>297</v>
      </c>
      <c r="C19" s="154"/>
      <c r="D19" s="154"/>
      <c r="E19" s="154"/>
      <c r="F19" s="154"/>
      <c r="G19" s="154"/>
      <c r="H19" s="126">
        <v>3</v>
      </c>
      <c r="I19" s="125" t="s">
        <v>282</v>
      </c>
      <c r="J19" s="125">
        <f>VLOOKUP(B19,Tabela_preços[[DESCRIÇÃO]:[VALOR]],3,FALSE)</f>
        <v>58.65</v>
      </c>
      <c r="K19" s="125">
        <f t="shared" si="2"/>
        <v>175.95</v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.75" customHeight="1">
      <c r="A20" s="152" t="s">
        <v>247</v>
      </c>
      <c r="B20" s="150" t="s">
        <v>261</v>
      </c>
      <c r="C20" s="154"/>
      <c r="D20" s="154"/>
      <c r="E20" s="154"/>
      <c r="F20" s="154"/>
      <c r="G20" s="154"/>
      <c r="H20" s="126">
        <v>1.5</v>
      </c>
      <c r="I20" s="125" t="s">
        <v>283</v>
      </c>
      <c r="J20" s="125">
        <f>VLOOKUP(B20,Tabela_preços[[DESCRIÇÃO]:[VALOR]],3,FALSE)</f>
        <v>87.706800000000001</v>
      </c>
      <c r="K20" s="125">
        <f t="shared" si="2"/>
        <v>131.56020000000001</v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26">
        <v>1</v>
      </c>
      <c r="I21" s="125" t="s">
        <v>282</v>
      </c>
      <c r="J21" s="125">
        <f>VLOOKUP(B21,Tabela_preços[[DESCRIÇÃO]:[VALOR]],3,FALSE)</f>
        <v>33.64</v>
      </c>
      <c r="K21" s="125">
        <f t="shared" si="2"/>
        <v>33.64</v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26">
        <v>2</v>
      </c>
      <c r="I22" s="125" t="s">
        <v>282</v>
      </c>
      <c r="J22" s="125">
        <f>VLOOKUP(B22,Tabela_preços[[DESCRIÇÃO]:[VALOR]],3,FALSE)</f>
        <v>99</v>
      </c>
      <c r="K22" s="125">
        <f t="shared" si="2"/>
        <v>198</v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26">
        <v>100</v>
      </c>
      <c r="I23" s="125" t="s">
        <v>300</v>
      </c>
      <c r="J23" s="125">
        <f>VLOOKUP(B23,Tabela_preços[[DESCRIÇÃO]:[VALOR]],3,FALSE)</f>
        <v>2</v>
      </c>
      <c r="K23" s="125">
        <f t="shared" si="2"/>
        <v>200</v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26">
        <v>100</v>
      </c>
      <c r="I24" s="125" t="s">
        <v>300</v>
      </c>
      <c r="J24" s="125">
        <f>VLOOKUP(B24,Tabela_preços[[DESCRIÇÃO]:[VALOR]],3,FALSE)</f>
        <v>0.45200000000000001</v>
      </c>
      <c r="K24" s="125">
        <f t="shared" si="2"/>
        <v>45.2</v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ht="15.75" customHeight="1">
      <c r="A25" s="61"/>
      <c r="B25" s="61"/>
      <c r="C25" s="61"/>
      <c r="D25" s="61"/>
      <c r="E25" s="61"/>
      <c r="F25" s="61"/>
      <c r="G25" s="61"/>
      <c r="H25" s="68"/>
      <c r="I25" s="91"/>
      <c r="J25" s="80"/>
      <c r="K25" s="78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ht="15.75" customHeight="1">
      <c r="A26" s="120"/>
      <c r="B26" s="156" t="s">
        <v>252</v>
      </c>
      <c r="C26" s="154"/>
      <c r="D26" s="154"/>
      <c r="E26" s="119"/>
      <c r="F26" s="122"/>
      <c r="G26" s="122"/>
      <c r="H26" s="165" t="s">
        <v>222</v>
      </c>
      <c r="I26" s="166" t="s">
        <v>285</v>
      </c>
      <c r="J26" s="171" t="s">
        <v>223</v>
      </c>
      <c r="K26" s="171" t="s">
        <v>281</v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ht="15.75" customHeight="1">
      <c r="A27" s="152" t="s">
        <v>253</v>
      </c>
      <c r="B27" s="153" t="s">
        <v>306</v>
      </c>
      <c r="C27" s="154"/>
      <c r="D27" s="154"/>
      <c r="E27" s="154"/>
      <c r="F27" s="154"/>
      <c r="G27" s="154"/>
      <c r="H27" s="126">
        <v>0.2</v>
      </c>
      <c r="I27" s="125" t="s">
        <v>300</v>
      </c>
      <c r="J27" s="125">
        <f>VLOOKUP(B27,Tabela_preços[[DESCRIÇÃO]:[VALOR]],3,FALSE)</f>
        <v>28.000000000000004</v>
      </c>
      <c r="K27" s="125">
        <f t="shared" ref="K27:K28" si="3">J27*H27</f>
        <v>5.6000000000000014</v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ht="15.75" customHeight="1">
      <c r="A28" s="152" t="s">
        <v>254</v>
      </c>
      <c r="B28" s="153" t="s">
        <v>298</v>
      </c>
      <c r="C28" s="154"/>
      <c r="D28" s="154"/>
      <c r="E28" s="154"/>
      <c r="F28" s="154"/>
      <c r="G28" s="154"/>
      <c r="H28" s="126">
        <v>0.2</v>
      </c>
      <c r="I28" s="125" t="s">
        <v>300</v>
      </c>
      <c r="J28" s="125">
        <f>VLOOKUP(B28,Tabela_preços[[DESCRIÇÃO]:[VALOR]],3,FALSE)</f>
        <v>18</v>
      </c>
      <c r="K28" s="125">
        <f t="shared" si="3"/>
        <v>3.6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ht="15.75" customHeight="1">
      <c r="A29" s="81"/>
      <c r="B29" s="81"/>
      <c r="C29" s="81"/>
      <c r="D29" s="81"/>
      <c r="E29" s="81"/>
      <c r="F29" s="81"/>
      <c r="G29" s="81"/>
      <c r="H29" s="145"/>
      <c r="I29" s="145"/>
      <c r="J29" s="86"/>
      <c r="K29" s="145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ht="15">
      <c r="A30" s="81"/>
      <c r="B30" s="81"/>
      <c r="C30" s="81"/>
      <c r="D30" s="81"/>
      <c r="E30" s="81"/>
      <c r="F30" s="81"/>
      <c r="G30" s="81"/>
      <c r="H30" s="145"/>
      <c r="I30" s="145"/>
      <c r="J30" s="95" t="s">
        <v>288</v>
      </c>
      <c r="K30" s="177">
        <f>SUM(K5:K28)</f>
        <v>3388.3521999999994</v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ht="15">
      <c r="A31" s="81"/>
      <c r="B31" s="81"/>
      <c r="C31" s="81"/>
      <c r="D31" s="81"/>
      <c r="E31" s="81"/>
      <c r="F31" s="81"/>
      <c r="G31" s="81"/>
      <c r="H31" s="145"/>
      <c r="I31" s="145"/>
      <c r="J31" s="86"/>
      <c r="K31" s="145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ht="15">
      <c r="A32" s="81"/>
      <c r="B32" s="81"/>
      <c r="C32" s="81"/>
      <c r="D32" s="81"/>
      <c r="E32" s="81"/>
      <c r="F32" s="81"/>
      <c r="G32" s="81"/>
      <c r="H32" s="145"/>
      <c r="I32" s="145"/>
      <c r="J32" s="86"/>
      <c r="K32" s="145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ht="15">
      <c r="A33" s="81"/>
      <c r="B33" s="81"/>
      <c r="C33" s="81"/>
      <c r="D33" s="81"/>
      <c r="E33" s="81"/>
      <c r="F33" s="81"/>
      <c r="G33" s="81"/>
      <c r="H33" s="145"/>
      <c r="I33" s="145"/>
      <c r="J33" s="86"/>
      <c r="K33" s="145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ht="15">
      <c r="A34" s="81"/>
      <c r="B34" s="81"/>
      <c r="C34" s="81"/>
      <c r="D34" s="81"/>
      <c r="E34" s="81"/>
      <c r="F34" s="81"/>
      <c r="G34" s="81"/>
      <c r="H34" s="145"/>
      <c r="I34" s="145"/>
      <c r="J34" s="86"/>
      <c r="K34" s="145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ht="15">
      <c r="A35" s="81"/>
      <c r="B35" s="81"/>
      <c r="C35" s="81"/>
      <c r="D35" s="81"/>
      <c r="E35" s="81"/>
      <c r="F35" s="81"/>
      <c r="G35" s="81"/>
      <c r="H35" s="145"/>
      <c r="I35" s="145"/>
      <c r="J35" s="86"/>
      <c r="K35" s="145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ht="15">
      <c r="A36" s="81"/>
      <c r="B36" s="81"/>
      <c r="C36" s="81"/>
      <c r="D36" s="81"/>
      <c r="E36" s="81"/>
      <c r="F36" s="81"/>
      <c r="G36" s="81"/>
      <c r="H36" s="145"/>
      <c r="I36" s="145"/>
      <c r="J36" s="86"/>
      <c r="K36" s="145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15">
      <c r="A37" s="81"/>
      <c r="B37" s="81"/>
      <c r="C37" s="81"/>
      <c r="D37" s="81"/>
      <c r="E37" s="81"/>
      <c r="F37" s="81"/>
      <c r="G37" s="81"/>
      <c r="H37" s="145"/>
      <c r="I37" s="145"/>
      <c r="J37" s="86"/>
      <c r="K37" s="145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ht="15">
      <c r="A38" s="81"/>
      <c r="B38" s="81"/>
      <c r="C38" s="81"/>
      <c r="D38" s="81"/>
      <c r="E38" s="81"/>
      <c r="F38" s="81"/>
      <c r="G38" s="81"/>
      <c r="H38" s="145"/>
      <c r="I38" s="145"/>
      <c r="J38" s="86"/>
      <c r="K38" s="145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ht="15">
      <c r="A39" s="81"/>
      <c r="B39" s="81"/>
      <c r="C39" s="81"/>
      <c r="D39" s="81"/>
      <c r="E39" s="81"/>
      <c r="F39" s="81"/>
      <c r="G39" s="81"/>
      <c r="H39" s="145"/>
      <c r="I39" s="145"/>
      <c r="J39" s="86"/>
      <c r="K39" s="145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5">
      <c r="A40" s="81"/>
      <c r="B40" s="81"/>
      <c r="C40" s="81"/>
      <c r="D40" s="81"/>
      <c r="E40" s="81"/>
      <c r="F40" s="81"/>
      <c r="G40" s="81"/>
      <c r="H40" s="145"/>
      <c r="I40" s="145"/>
      <c r="J40" s="86"/>
      <c r="K40" s="145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ht="15">
      <c r="A41" s="81"/>
      <c r="B41" s="81"/>
      <c r="C41" s="81"/>
      <c r="D41" s="81"/>
      <c r="E41" s="81"/>
      <c r="F41" s="81"/>
      <c r="G41" s="81"/>
      <c r="H41" s="145"/>
      <c r="I41" s="145"/>
      <c r="J41" s="86"/>
      <c r="K41" s="145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ht="15">
      <c r="A42" s="81"/>
      <c r="B42" s="81"/>
      <c r="C42" s="81"/>
      <c r="D42" s="81"/>
      <c r="E42" s="81"/>
      <c r="F42" s="81"/>
      <c r="G42" s="81"/>
      <c r="H42" s="145"/>
      <c r="I42" s="145"/>
      <c r="J42" s="86"/>
      <c r="K42" s="145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ht="15">
      <c r="A43" s="81"/>
      <c r="B43" s="81"/>
      <c r="C43" s="81"/>
      <c r="D43" s="81"/>
      <c r="E43" s="81"/>
      <c r="F43" s="81"/>
      <c r="G43" s="81"/>
      <c r="H43" s="145"/>
      <c r="I43" s="145"/>
      <c r="J43" s="86"/>
      <c r="K43" s="145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ht="15">
      <c r="A44" s="81"/>
      <c r="B44" s="81"/>
      <c r="C44" s="81"/>
      <c r="D44" s="81"/>
      <c r="E44" s="81"/>
      <c r="F44" s="81"/>
      <c r="G44" s="81"/>
      <c r="H44" s="145"/>
      <c r="I44" s="145"/>
      <c r="J44" s="86"/>
      <c r="K44" s="145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ht="15">
      <c r="A45" s="81"/>
      <c r="B45" s="81"/>
      <c r="C45" s="81"/>
      <c r="D45" s="81"/>
      <c r="E45" s="81"/>
      <c r="F45" s="81"/>
      <c r="G45" s="81"/>
      <c r="H45" s="145"/>
      <c r="I45" s="145"/>
      <c r="J45" s="86"/>
      <c r="K45" s="145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ht="15">
      <c r="A46" s="81"/>
      <c r="B46" s="81"/>
      <c r="C46" s="81"/>
      <c r="D46" s="81"/>
      <c r="E46" s="81"/>
      <c r="F46" s="81"/>
      <c r="G46" s="81"/>
      <c r="H46" s="145"/>
      <c r="I46" s="145"/>
      <c r="J46" s="86"/>
      <c r="K46" s="145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ht="15">
      <c r="A47" s="81"/>
      <c r="B47" s="81"/>
      <c r="C47" s="81"/>
      <c r="D47" s="81"/>
      <c r="E47" s="81"/>
      <c r="F47" s="81"/>
      <c r="G47" s="81"/>
      <c r="H47" s="145"/>
      <c r="I47" s="145"/>
      <c r="J47" s="86"/>
      <c r="K47" s="145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ht="15">
      <c r="A48" s="81"/>
      <c r="B48" s="81"/>
      <c r="C48" s="81"/>
      <c r="D48" s="81"/>
      <c r="E48" s="81"/>
      <c r="F48" s="81"/>
      <c r="G48" s="81"/>
      <c r="H48" s="145"/>
      <c r="I48" s="145"/>
      <c r="J48" s="86"/>
      <c r="K48" s="145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ht="15">
      <c r="A49" s="81"/>
      <c r="B49" s="81"/>
      <c r="C49" s="81"/>
      <c r="D49" s="81"/>
      <c r="E49" s="81"/>
      <c r="F49" s="81"/>
      <c r="G49" s="81"/>
      <c r="H49" s="145"/>
      <c r="I49" s="145"/>
      <c r="J49" s="86"/>
      <c r="K49" s="145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ht="15">
      <c r="A50" s="81"/>
      <c r="B50" s="81"/>
      <c r="C50" s="81"/>
      <c r="D50" s="81"/>
      <c r="E50" s="81"/>
      <c r="F50" s="81"/>
      <c r="G50" s="81"/>
      <c r="H50" s="145"/>
      <c r="I50" s="145"/>
      <c r="J50" s="86"/>
      <c r="K50" s="145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ht="15">
      <c r="A51" s="81"/>
      <c r="B51" s="81"/>
      <c r="C51" s="81"/>
      <c r="D51" s="81"/>
      <c r="E51" s="81"/>
      <c r="F51" s="81"/>
      <c r="G51" s="81"/>
      <c r="H51" s="145"/>
      <c r="I51" s="145"/>
      <c r="J51" s="86"/>
      <c r="K51" s="145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ht="15">
      <c r="A52" s="81"/>
      <c r="B52" s="81"/>
      <c r="C52" s="81"/>
      <c r="D52" s="81"/>
      <c r="E52" s="81"/>
      <c r="F52" s="81"/>
      <c r="G52" s="81"/>
      <c r="H52" s="145"/>
      <c r="I52" s="145"/>
      <c r="J52" s="86"/>
      <c r="K52" s="145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ht="15">
      <c r="A53" s="81"/>
      <c r="B53" s="81"/>
      <c r="C53" s="81"/>
      <c r="D53" s="81"/>
      <c r="E53" s="81"/>
      <c r="F53" s="81"/>
      <c r="G53" s="81"/>
      <c r="H53" s="145"/>
      <c r="I53" s="145"/>
      <c r="J53" s="86"/>
      <c r="K53" s="145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ht="15">
      <c r="A54" s="81"/>
      <c r="B54" s="81"/>
      <c r="C54" s="81"/>
      <c r="D54" s="81"/>
      <c r="E54" s="81"/>
      <c r="F54" s="81"/>
      <c r="G54" s="81"/>
      <c r="H54" s="145"/>
      <c r="I54" s="145"/>
      <c r="J54" s="86"/>
      <c r="K54" s="145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ht="15">
      <c r="A55" s="81"/>
      <c r="B55" s="81"/>
      <c r="C55" s="81"/>
      <c r="D55" s="81"/>
      <c r="E55" s="81"/>
      <c r="F55" s="81"/>
      <c r="G55" s="81"/>
      <c r="H55" s="145"/>
      <c r="I55" s="145"/>
      <c r="J55" s="86"/>
      <c r="K55" s="145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ht="15">
      <c r="A56" s="81"/>
      <c r="B56" s="81"/>
      <c r="C56" s="81"/>
      <c r="D56" s="81"/>
      <c r="E56" s="81"/>
      <c r="F56" s="81"/>
      <c r="G56" s="81"/>
      <c r="H56" s="145"/>
      <c r="I56" s="145"/>
      <c r="J56" s="86"/>
      <c r="K56" s="145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ht="15">
      <c r="A57" s="81"/>
      <c r="B57" s="81"/>
      <c r="C57" s="81"/>
      <c r="D57" s="81"/>
      <c r="E57" s="81"/>
      <c r="F57" s="81"/>
      <c r="G57" s="81"/>
      <c r="H57" s="145"/>
      <c r="I57" s="145"/>
      <c r="J57" s="86"/>
      <c r="K57" s="145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ht="15">
      <c r="A58" s="81"/>
      <c r="B58" s="81"/>
      <c r="C58" s="81"/>
      <c r="D58" s="81"/>
      <c r="E58" s="81"/>
      <c r="F58" s="81"/>
      <c r="G58" s="81"/>
      <c r="H58" s="145"/>
      <c r="I58" s="145"/>
      <c r="J58" s="86"/>
      <c r="K58" s="145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ht="15">
      <c r="A59" s="81"/>
      <c r="B59" s="81"/>
      <c r="C59" s="81"/>
      <c r="D59" s="81"/>
      <c r="E59" s="81"/>
      <c r="F59" s="81"/>
      <c r="G59" s="81"/>
      <c r="H59" s="145"/>
      <c r="I59" s="145"/>
      <c r="J59" s="86"/>
      <c r="K59" s="145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ht="15">
      <c r="A60" s="81"/>
      <c r="B60" s="81"/>
      <c r="C60" s="81"/>
      <c r="D60" s="81"/>
      <c r="E60" s="81"/>
      <c r="F60" s="81"/>
      <c r="G60" s="81"/>
      <c r="H60" s="145"/>
      <c r="I60" s="145"/>
      <c r="J60" s="86"/>
      <c r="K60" s="14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ht="15">
      <c r="A61" s="81"/>
      <c r="B61" s="81"/>
      <c r="C61" s="81"/>
      <c r="D61" s="81"/>
      <c r="E61" s="81"/>
      <c r="F61" s="81"/>
      <c r="G61" s="81"/>
      <c r="H61" s="145"/>
      <c r="I61" s="145"/>
      <c r="J61" s="86"/>
      <c r="K61" s="145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ht="15">
      <c r="A62" s="81"/>
      <c r="B62" s="81"/>
      <c r="C62" s="81"/>
      <c r="D62" s="81"/>
      <c r="E62" s="81"/>
      <c r="F62" s="81"/>
      <c r="G62" s="81"/>
      <c r="H62" s="145"/>
      <c r="I62" s="145"/>
      <c r="J62" s="86"/>
      <c r="K62" s="145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ht="15">
      <c r="A63" s="81"/>
      <c r="B63" s="81"/>
      <c r="C63" s="81"/>
      <c r="D63" s="81"/>
      <c r="E63" s="81"/>
      <c r="F63" s="81"/>
      <c r="G63" s="81"/>
      <c r="H63" s="145"/>
      <c r="I63" s="145"/>
      <c r="J63" s="86"/>
      <c r="K63" s="145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ht="15">
      <c r="A64" s="81"/>
      <c r="B64" s="81"/>
      <c r="C64" s="81"/>
      <c r="D64" s="81"/>
      <c r="E64" s="81"/>
      <c r="F64" s="81"/>
      <c r="G64" s="81"/>
      <c r="H64" s="145"/>
      <c r="I64" s="145"/>
      <c r="J64" s="86"/>
      <c r="K64" s="145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ht="15">
      <c r="A65" s="81"/>
      <c r="B65" s="81"/>
      <c r="C65" s="81"/>
      <c r="D65" s="81"/>
      <c r="E65" s="81"/>
      <c r="F65" s="81"/>
      <c r="G65" s="81"/>
      <c r="H65" s="145"/>
      <c r="I65" s="145"/>
      <c r="J65" s="86"/>
      <c r="K65" s="145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ht="15">
      <c r="A66" s="81"/>
      <c r="B66" s="81"/>
      <c r="C66" s="81"/>
      <c r="D66" s="81"/>
      <c r="E66" s="81"/>
      <c r="F66" s="81"/>
      <c r="G66" s="81"/>
      <c r="H66" s="145"/>
      <c r="I66" s="145"/>
      <c r="J66" s="86"/>
      <c r="K66" s="145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ht="15">
      <c r="A67" s="81"/>
      <c r="B67" s="81"/>
      <c r="C67" s="81"/>
      <c r="D67" s="81"/>
      <c r="E67" s="81"/>
      <c r="F67" s="81"/>
      <c r="G67" s="81"/>
      <c r="H67" s="145"/>
      <c r="I67" s="145"/>
      <c r="J67" s="86"/>
      <c r="K67" s="145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ht="15">
      <c r="A68" s="81"/>
      <c r="B68" s="81"/>
      <c r="C68" s="81"/>
      <c r="D68" s="81"/>
      <c r="E68" s="81"/>
      <c r="F68" s="81"/>
      <c r="G68" s="81"/>
      <c r="H68" s="145"/>
      <c r="I68" s="145"/>
      <c r="J68" s="86"/>
      <c r="K68" s="145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ht="15">
      <c r="A69" s="81"/>
      <c r="B69" s="81"/>
      <c r="C69" s="81"/>
      <c r="D69" s="81"/>
      <c r="E69" s="81"/>
      <c r="F69" s="81"/>
      <c r="G69" s="81"/>
      <c r="H69" s="145"/>
      <c r="I69" s="145"/>
      <c r="J69" s="86"/>
      <c r="K69" s="145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ht="15">
      <c r="A70" s="81"/>
      <c r="B70" s="81"/>
      <c r="C70" s="81"/>
      <c r="D70" s="81"/>
      <c r="E70" s="81"/>
      <c r="F70" s="81"/>
      <c r="G70" s="81"/>
      <c r="H70" s="145"/>
      <c r="I70" s="145"/>
      <c r="J70" s="86"/>
      <c r="K70" s="145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ht="15">
      <c r="A71" s="81"/>
      <c r="B71" s="81"/>
      <c r="C71" s="81"/>
      <c r="D71" s="81"/>
      <c r="E71" s="81"/>
      <c r="F71" s="81"/>
      <c r="G71" s="81"/>
      <c r="H71" s="145"/>
      <c r="I71" s="145"/>
      <c r="J71" s="86"/>
      <c r="K71" s="145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ht="15">
      <c r="A72" s="81"/>
      <c r="B72" s="81"/>
      <c r="C72" s="81"/>
      <c r="D72" s="81"/>
      <c r="E72" s="81"/>
      <c r="F72" s="81"/>
      <c r="G72" s="81"/>
      <c r="H72" s="145"/>
      <c r="I72" s="145"/>
      <c r="J72" s="86"/>
      <c r="K72" s="145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ht="15">
      <c r="A73" s="81"/>
      <c r="B73" s="81"/>
      <c r="C73" s="81"/>
      <c r="D73" s="81"/>
      <c r="E73" s="81"/>
      <c r="F73" s="81"/>
      <c r="G73" s="81"/>
      <c r="H73" s="145"/>
      <c r="I73" s="145"/>
      <c r="J73" s="86"/>
      <c r="K73" s="145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ht="15">
      <c r="A74" s="81"/>
      <c r="B74" s="81"/>
      <c r="C74" s="81"/>
      <c r="D74" s="81"/>
      <c r="E74" s="81"/>
      <c r="F74" s="81"/>
      <c r="G74" s="81"/>
      <c r="H74" s="145"/>
      <c r="I74" s="145"/>
      <c r="J74" s="86"/>
      <c r="K74" s="145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ht="15">
      <c r="A75" s="81"/>
      <c r="B75" s="81"/>
      <c r="C75" s="81"/>
      <c r="D75" s="81"/>
      <c r="E75" s="81"/>
      <c r="F75" s="81"/>
      <c r="G75" s="81"/>
      <c r="H75" s="145"/>
      <c r="I75" s="145"/>
      <c r="J75" s="86"/>
      <c r="K75" s="145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ht="15">
      <c r="A76" s="81"/>
      <c r="B76" s="81"/>
      <c r="C76" s="81"/>
      <c r="D76" s="81"/>
      <c r="E76" s="81"/>
      <c r="F76" s="81"/>
      <c r="G76" s="81"/>
      <c r="H76" s="145"/>
      <c r="I76" s="145"/>
      <c r="J76" s="86"/>
      <c r="K76" s="145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ht="15">
      <c r="A77" s="81"/>
      <c r="B77" s="81"/>
      <c r="C77" s="81"/>
      <c r="D77" s="81"/>
      <c r="E77" s="81"/>
      <c r="F77" s="81"/>
      <c r="G77" s="81"/>
      <c r="H77" s="145"/>
      <c r="I77" s="145"/>
      <c r="J77" s="86"/>
      <c r="K77" s="145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ht="15">
      <c r="A78" s="81"/>
      <c r="B78" s="81"/>
      <c r="C78" s="81"/>
      <c r="D78" s="81"/>
      <c r="E78" s="81"/>
      <c r="F78" s="81"/>
      <c r="G78" s="81"/>
      <c r="H78" s="145"/>
      <c r="I78" s="145"/>
      <c r="J78" s="86"/>
      <c r="K78" s="145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ht="15">
      <c r="A79" s="81"/>
      <c r="B79" s="81"/>
      <c r="C79" s="81"/>
      <c r="D79" s="81"/>
      <c r="E79" s="81"/>
      <c r="F79" s="81"/>
      <c r="G79" s="81"/>
      <c r="H79" s="145"/>
      <c r="I79" s="145"/>
      <c r="J79" s="86"/>
      <c r="K79" s="145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ht="15">
      <c r="A80" s="81"/>
      <c r="B80" s="81"/>
      <c r="C80" s="81"/>
      <c r="D80" s="81"/>
      <c r="E80" s="81"/>
      <c r="F80" s="81"/>
      <c r="G80" s="81"/>
      <c r="H80" s="145"/>
      <c r="I80" s="145"/>
      <c r="J80" s="86"/>
      <c r="K80" s="145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ht="15">
      <c r="A81" s="81"/>
      <c r="B81" s="81"/>
      <c r="C81" s="81"/>
      <c r="D81" s="81"/>
      <c r="E81" s="81"/>
      <c r="F81" s="81"/>
      <c r="G81" s="81"/>
      <c r="H81" s="145"/>
      <c r="I81" s="145"/>
      <c r="J81" s="86"/>
      <c r="K81" s="145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ht="15">
      <c r="A82" s="81"/>
      <c r="B82" s="81"/>
      <c r="C82" s="81"/>
      <c r="D82" s="81"/>
      <c r="E82" s="81"/>
      <c r="F82" s="81"/>
      <c r="G82" s="81"/>
      <c r="H82" s="145"/>
      <c r="I82" s="145"/>
      <c r="J82" s="86"/>
      <c r="K82" s="145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ht="15">
      <c r="A83" s="81"/>
      <c r="B83" s="81"/>
      <c r="C83" s="81"/>
      <c r="D83" s="81"/>
      <c r="E83" s="81"/>
      <c r="F83" s="81"/>
      <c r="G83" s="81"/>
      <c r="H83" s="145"/>
      <c r="I83" s="145"/>
      <c r="J83" s="86"/>
      <c r="K83" s="145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ht="15">
      <c r="A84" s="81"/>
      <c r="B84" s="81"/>
      <c r="C84" s="81"/>
      <c r="D84" s="81"/>
      <c r="E84" s="81"/>
      <c r="F84" s="81"/>
      <c r="G84" s="81"/>
      <c r="H84" s="145"/>
      <c r="I84" s="145"/>
      <c r="J84" s="86"/>
      <c r="K84" s="145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ht="15">
      <c r="A85" s="81"/>
      <c r="B85" s="81"/>
      <c r="C85" s="81"/>
      <c r="D85" s="81"/>
      <c r="E85" s="81"/>
      <c r="F85" s="81"/>
      <c r="G85" s="81"/>
      <c r="H85" s="145"/>
      <c r="I85" s="145"/>
      <c r="J85" s="86"/>
      <c r="K85" s="145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ht="15">
      <c r="A86" s="81"/>
      <c r="B86" s="81"/>
      <c r="C86" s="81"/>
      <c r="D86" s="81"/>
      <c r="E86" s="81"/>
      <c r="F86" s="81"/>
      <c r="G86" s="81"/>
      <c r="H86" s="145"/>
      <c r="I86" s="145"/>
      <c r="J86" s="86"/>
      <c r="K86" s="145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ht="15">
      <c r="A87" s="81"/>
      <c r="B87" s="81"/>
      <c r="C87" s="81"/>
      <c r="D87" s="81"/>
      <c r="E87" s="81"/>
      <c r="F87" s="81"/>
      <c r="G87" s="81"/>
      <c r="H87" s="145"/>
      <c r="I87" s="145"/>
      <c r="J87" s="86"/>
      <c r="K87" s="145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ht="15">
      <c r="A88" s="81"/>
      <c r="B88" s="81"/>
      <c r="C88" s="81"/>
      <c r="D88" s="81"/>
      <c r="E88" s="81"/>
      <c r="F88" s="81"/>
      <c r="G88" s="81"/>
      <c r="H88" s="145"/>
      <c r="I88" s="145"/>
      <c r="J88" s="86"/>
      <c r="K88" s="145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ht="15">
      <c r="A89" s="81"/>
      <c r="B89" s="81"/>
      <c r="C89" s="81"/>
      <c r="D89" s="81"/>
      <c r="E89" s="81"/>
      <c r="F89" s="81"/>
      <c r="G89" s="81"/>
      <c r="H89" s="145"/>
      <c r="I89" s="145"/>
      <c r="J89" s="86"/>
      <c r="K89" s="145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ht="15">
      <c r="A90" s="81"/>
      <c r="B90" s="81"/>
      <c r="C90" s="81"/>
      <c r="D90" s="81"/>
      <c r="E90" s="81"/>
      <c r="F90" s="81"/>
      <c r="G90" s="81"/>
      <c r="H90" s="145"/>
      <c r="I90" s="145"/>
      <c r="J90" s="86"/>
      <c r="K90" s="145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ht="15">
      <c r="A91" s="81"/>
      <c r="B91" s="81"/>
      <c r="C91" s="81"/>
      <c r="D91" s="81"/>
      <c r="E91" s="81"/>
      <c r="F91" s="81"/>
      <c r="G91" s="81"/>
      <c r="H91" s="145"/>
      <c r="I91" s="145"/>
      <c r="J91" s="86"/>
      <c r="K91" s="145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ht="15">
      <c r="A92" s="81"/>
      <c r="B92" s="81"/>
      <c r="C92" s="81"/>
      <c r="D92" s="81"/>
      <c r="E92" s="81"/>
      <c r="F92" s="81"/>
      <c r="G92" s="81"/>
      <c r="H92" s="145"/>
      <c r="I92" s="145"/>
      <c r="J92" s="86"/>
      <c r="K92" s="145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ht="15">
      <c r="A93" s="81"/>
      <c r="B93" s="81"/>
      <c r="C93" s="81"/>
      <c r="D93" s="81"/>
      <c r="E93" s="81"/>
      <c r="F93" s="81"/>
      <c r="G93" s="81"/>
      <c r="H93" s="145"/>
      <c r="I93" s="145"/>
      <c r="J93" s="86"/>
      <c r="K93" s="145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ht="15">
      <c r="A94" s="81"/>
      <c r="B94" s="81"/>
      <c r="C94" s="81"/>
      <c r="D94" s="81"/>
      <c r="E94" s="81"/>
      <c r="F94" s="81"/>
      <c r="G94" s="81"/>
      <c r="H94" s="145"/>
      <c r="I94" s="145"/>
      <c r="J94" s="86"/>
      <c r="K94" s="145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ht="15">
      <c r="A95" s="81"/>
      <c r="B95" s="81"/>
      <c r="C95" s="81"/>
      <c r="D95" s="81"/>
      <c r="E95" s="81"/>
      <c r="F95" s="81"/>
      <c r="G95" s="81"/>
      <c r="H95" s="145"/>
      <c r="I95" s="145"/>
      <c r="J95" s="86"/>
      <c r="K95" s="145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ht="15">
      <c r="A96" s="81"/>
      <c r="B96" s="81"/>
      <c r="C96" s="81"/>
      <c r="D96" s="81"/>
      <c r="E96" s="81"/>
      <c r="F96" s="81"/>
      <c r="G96" s="81"/>
      <c r="H96" s="145"/>
      <c r="I96" s="145"/>
      <c r="J96" s="86"/>
      <c r="K96" s="145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ht="15">
      <c r="A97" s="81"/>
      <c r="B97" s="81"/>
      <c r="C97" s="81"/>
      <c r="D97" s="81"/>
      <c r="E97" s="81"/>
      <c r="F97" s="81"/>
      <c r="G97" s="81"/>
      <c r="H97" s="145"/>
      <c r="I97" s="145"/>
      <c r="J97" s="86"/>
      <c r="K97" s="145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ht="15">
      <c r="A98" s="81"/>
      <c r="B98" s="81"/>
      <c r="C98" s="81"/>
      <c r="D98" s="81"/>
      <c r="E98" s="81"/>
      <c r="F98" s="81"/>
      <c r="G98" s="81"/>
      <c r="H98" s="145"/>
      <c r="I98" s="145"/>
      <c r="J98" s="86"/>
      <c r="K98" s="145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ht="15">
      <c r="A99" s="81"/>
      <c r="B99" s="81"/>
      <c r="C99" s="81"/>
      <c r="D99" s="81"/>
      <c r="E99" s="81"/>
      <c r="F99" s="81"/>
      <c r="G99" s="81"/>
      <c r="H99" s="145"/>
      <c r="I99" s="145"/>
      <c r="J99" s="86"/>
      <c r="K99" s="145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ht="15">
      <c r="A100" s="81"/>
      <c r="B100" s="81"/>
      <c r="C100" s="81"/>
      <c r="D100" s="81"/>
      <c r="E100" s="81"/>
      <c r="F100" s="81"/>
      <c r="G100" s="81"/>
      <c r="H100" s="145"/>
      <c r="I100" s="145"/>
      <c r="J100" s="86"/>
      <c r="K100" s="145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ht="15">
      <c r="A101" s="81"/>
      <c r="B101" s="81"/>
      <c r="C101" s="81"/>
      <c r="D101" s="81"/>
      <c r="E101" s="81"/>
      <c r="F101" s="81"/>
      <c r="G101" s="81"/>
      <c r="H101" s="145"/>
      <c r="I101" s="145"/>
      <c r="J101" s="86"/>
      <c r="K101" s="145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ht="15">
      <c r="A102" s="81"/>
      <c r="B102" s="81"/>
      <c r="C102" s="81"/>
      <c r="D102" s="81"/>
      <c r="E102" s="81"/>
      <c r="F102" s="81"/>
      <c r="G102" s="81"/>
      <c r="H102" s="145"/>
      <c r="I102" s="145"/>
      <c r="J102" s="86"/>
      <c r="K102" s="145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ht="15">
      <c r="A103" s="81"/>
      <c r="B103" s="81"/>
      <c r="C103" s="81"/>
      <c r="D103" s="81"/>
      <c r="E103" s="81"/>
      <c r="F103" s="81"/>
      <c r="G103" s="81"/>
      <c r="H103" s="145"/>
      <c r="I103" s="145"/>
      <c r="J103" s="86"/>
      <c r="K103" s="145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ht="15">
      <c r="A104" s="81"/>
      <c r="B104" s="81"/>
      <c r="C104" s="81"/>
      <c r="D104" s="81"/>
      <c r="E104" s="81"/>
      <c r="F104" s="81"/>
      <c r="G104" s="81"/>
      <c r="H104" s="145"/>
      <c r="I104" s="145"/>
      <c r="J104" s="86"/>
      <c r="K104" s="145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ht="15">
      <c r="A105" s="81"/>
      <c r="B105" s="81"/>
      <c r="C105" s="81"/>
      <c r="D105" s="81"/>
      <c r="E105" s="81"/>
      <c r="F105" s="81"/>
      <c r="G105" s="81"/>
      <c r="H105" s="145"/>
      <c r="I105" s="145"/>
      <c r="J105" s="86"/>
      <c r="K105" s="145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ht="15">
      <c r="A106" s="81"/>
      <c r="B106" s="81"/>
      <c r="C106" s="81"/>
      <c r="D106" s="81"/>
      <c r="E106" s="81"/>
      <c r="F106" s="81"/>
      <c r="G106" s="81"/>
      <c r="H106" s="145"/>
      <c r="I106" s="145"/>
      <c r="J106" s="86"/>
      <c r="K106" s="145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ht="15">
      <c r="A107" s="81"/>
      <c r="B107" s="81"/>
      <c r="C107" s="81"/>
      <c r="D107" s="81"/>
      <c r="E107" s="81"/>
      <c r="F107" s="81"/>
      <c r="G107" s="81"/>
      <c r="H107" s="145"/>
      <c r="I107" s="145"/>
      <c r="J107" s="86"/>
      <c r="K107" s="145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ht="15">
      <c r="A108" s="81"/>
      <c r="B108" s="81"/>
      <c r="C108" s="81"/>
      <c r="D108" s="81"/>
      <c r="E108" s="81"/>
      <c r="F108" s="81"/>
      <c r="G108" s="81"/>
      <c r="H108" s="145"/>
      <c r="I108" s="145"/>
      <c r="J108" s="86"/>
      <c r="K108" s="145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ht="15">
      <c r="A109" s="81"/>
      <c r="B109" s="81"/>
      <c r="C109" s="81"/>
      <c r="D109" s="81"/>
      <c r="E109" s="81"/>
      <c r="F109" s="81"/>
      <c r="G109" s="81"/>
      <c r="H109" s="145"/>
      <c r="I109" s="145"/>
      <c r="J109" s="86"/>
      <c r="K109" s="145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ht="15">
      <c r="A110" s="81"/>
      <c r="B110" s="81"/>
      <c r="C110" s="81"/>
      <c r="D110" s="81"/>
      <c r="E110" s="81"/>
      <c r="F110" s="81"/>
      <c r="G110" s="81"/>
      <c r="H110" s="145"/>
      <c r="I110" s="145"/>
      <c r="J110" s="86"/>
      <c r="K110" s="145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ht="15">
      <c r="A111" s="81"/>
      <c r="B111" s="81"/>
      <c r="C111" s="81"/>
      <c r="D111" s="81"/>
      <c r="E111" s="81"/>
      <c r="F111" s="81"/>
      <c r="G111" s="81"/>
      <c r="H111" s="145"/>
      <c r="I111" s="145"/>
      <c r="J111" s="86"/>
      <c r="K111" s="145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ht="15">
      <c r="A112" s="81"/>
      <c r="B112" s="81"/>
      <c r="C112" s="81"/>
      <c r="D112" s="81"/>
      <c r="E112" s="81"/>
      <c r="F112" s="81"/>
      <c r="G112" s="81"/>
      <c r="H112" s="145"/>
      <c r="I112" s="145"/>
      <c r="J112" s="86"/>
      <c r="K112" s="145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ht="15">
      <c r="A113" s="81"/>
      <c r="B113" s="81"/>
      <c r="C113" s="81"/>
      <c r="D113" s="81"/>
      <c r="E113" s="81"/>
      <c r="F113" s="81"/>
      <c r="G113" s="81"/>
      <c r="H113" s="145"/>
      <c r="I113" s="145"/>
      <c r="J113" s="86"/>
      <c r="K113" s="145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ht="15">
      <c r="A114" s="81"/>
      <c r="B114" s="81"/>
      <c r="C114" s="81"/>
      <c r="D114" s="81"/>
      <c r="E114" s="81"/>
      <c r="F114" s="81"/>
      <c r="G114" s="81"/>
      <c r="H114" s="145"/>
      <c r="I114" s="145"/>
      <c r="J114" s="86"/>
      <c r="K114" s="145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ht="15">
      <c r="A115" s="81"/>
      <c r="B115" s="81"/>
      <c r="C115" s="81"/>
      <c r="D115" s="81"/>
      <c r="E115" s="81"/>
      <c r="F115" s="81"/>
      <c r="G115" s="81"/>
      <c r="H115" s="145"/>
      <c r="I115" s="145"/>
      <c r="J115" s="86"/>
      <c r="K115" s="145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ht="15">
      <c r="A116" s="81"/>
      <c r="B116" s="81"/>
      <c r="C116" s="81"/>
      <c r="D116" s="81"/>
      <c r="E116" s="81"/>
      <c r="F116" s="81"/>
      <c r="G116" s="81"/>
      <c r="H116" s="145"/>
      <c r="I116" s="145"/>
      <c r="J116" s="86"/>
      <c r="K116" s="145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ht="15">
      <c r="A117" s="81"/>
      <c r="B117" s="81"/>
      <c r="C117" s="81"/>
      <c r="D117" s="81"/>
      <c r="E117" s="81"/>
      <c r="F117" s="81"/>
      <c r="G117" s="81"/>
      <c r="H117" s="145"/>
      <c r="I117" s="145"/>
      <c r="J117" s="86"/>
      <c r="K117" s="145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ht="15">
      <c r="A118" s="81"/>
      <c r="B118" s="81"/>
      <c r="C118" s="81"/>
      <c r="D118" s="81"/>
      <c r="E118" s="81"/>
      <c r="F118" s="81"/>
      <c r="G118" s="81"/>
      <c r="H118" s="145"/>
      <c r="I118" s="145"/>
      <c r="J118" s="86"/>
      <c r="K118" s="145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ht="15">
      <c r="A119" s="81"/>
      <c r="B119" s="81"/>
      <c r="C119" s="81"/>
      <c r="D119" s="81"/>
      <c r="E119" s="81"/>
      <c r="F119" s="81"/>
      <c r="G119" s="81"/>
      <c r="H119" s="145"/>
      <c r="I119" s="145"/>
      <c r="J119" s="86"/>
      <c r="K119" s="145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ht="15">
      <c r="A120" s="81"/>
      <c r="B120" s="81"/>
      <c r="C120" s="81"/>
      <c r="D120" s="81"/>
      <c r="E120" s="81"/>
      <c r="F120" s="81"/>
      <c r="G120" s="81"/>
      <c r="H120" s="145"/>
      <c r="I120" s="145"/>
      <c r="J120" s="86"/>
      <c r="K120" s="145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ht="15">
      <c r="A121" s="81"/>
      <c r="B121" s="81"/>
      <c r="C121" s="81"/>
      <c r="D121" s="81"/>
      <c r="E121" s="81"/>
      <c r="F121" s="81"/>
      <c r="G121" s="81"/>
      <c r="H121" s="145"/>
      <c r="I121" s="145"/>
      <c r="J121" s="86"/>
      <c r="K121" s="145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ht="15">
      <c r="A122" s="81"/>
      <c r="B122" s="81"/>
      <c r="C122" s="81"/>
      <c r="D122" s="81"/>
      <c r="E122" s="81"/>
      <c r="F122" s="81"/>
      <c r="G122" s="81"/>
      <c r="H122" s="145"/>
      <c r="I122" s="145"/>
      <c r="J122" s="86"/>
      <c r="K122" s="145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ht="15">
      <c r="A123" s="81"/>
      <c r="B123" s="81"/>
      <c r="C123" s="81"/>
      <c r="D123" s="81"/>
      <c r="E123" s="81"/>
      <c r="F123" s="81"/>
      <c r="G123" s="81"/>
      <c r="H123" s="145"/>
      <c r="I123" s="145"/>
      <c r="J123" s="86"/>
      <c r="K123" s="145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ht="15">
      <c r="A124" s="81"/>
      <c r="B124" s="81"/>
      <c r="C124" s="81"/>
      <c r="D124" s="81"/>
      <c r="E124" s="81"/>
      <c r="F124" s="81"/>
      <c r="G124" s="81"/>
      <c r="H124" s="145"/>
      <c r="I124" s="145"/>
      <c r="J124" s="86"/>
      <c r="K124" s="145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ht="15">
      <c r="A125" s="81"/>
      <c r="B125" s="81"/>
      <c r="C125" s="81"/>
      <c r="D125" s="81"/>
      <c r="E125" s="81"/>
      <c r="F125" s="81"/>
      <c r="G125" s="81"/>
      <c r="H125" s="145"/>
      <c r="I125" s="145"/>
      <c r="J125" s="86"/>
      <c r="K125" s="145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ht="15">
      <c r="A126" s="81"/>
      <c r="B126" s="81"/>
      <c r="C126" s="81"/>
      <c r="D126" s="81"/>
      <c r="E126" s="81"/>
      <c r="F126" s="81"/>
      <c r="G126" s="81"/>
      <c r="H126" s="145"/>
      <c r="I126" s="145"/>
      <c r="J126" s="86"/>
      <c r="K126" s="145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ht="15">
      <c r="A127" s="81"/>
      <c r="B127" s="81"/>
      <c r="C127" s="81"/>
      <c r="D127" s="81"/>
      <c r="E127" s="81"/>
      <c r="F127" s="81"/>
      <c r="G127" s="81"/>
      <c r="H127" s="145"/>
      <c r="I127" s="145"/>
      <c r="J127" s="86"/>
      <c r="K127" s="145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ht="15">
      <c r="A128" s="81"/>
      <c r="B128" s="81"/>
      <c r="C128" s="81"/>
      <c r="D128" s="81"/>
      <c r="E128" s="81"/>
      <c r="F128" s="81"/>
      <c r="G128" s="81"/>
      <c r="H128" s="145"/>
      <c r="I128" s="145"/>
      <c r="J128" s="86"/>
      <c r="K128" s="145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ht="15">
      <c r="A129" s="81"/>
      <c r="B129" s="81"/>
      <c r="C129" s="81"/>
      <c r="D129" s="81"/>
      <c r="E129" s="81"/>
      <c r="F129" s="81"/>
      <c r="G129" s="81"/>
      <c r="H129" s="145"/>
      <c r="I129" s="145"/>
      <c r="J129" s="86"/>
      <c r="K129" s="145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ht="15">
      <c r="A130" s="81"/>
      <c r="B130" s="81"/>
      <c r="C130" s="81"/>
      <c r="D130" s="81"/>
      <c r="E130" s="81"/>
      <c r="F130" s="81"/>
      <c r="G130" s="81"/>
      <c r="H130" s="145"/>
      <c r="I130" s="145"/>
      <c r="J130" s="86"/>
      <c r="K130" s="145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ht="15">
      <c r="A131" s="81"/>
      <c r="B131" s="81"/>
      <c r="C131" s="81"/>
      <c r="D131" s="81"/>
      <c r="E131" s="81"/>
      <c r="F131" s="81"/>
      <c r="G131" s="81"/>
      <c r="H131" s="145"/>
      <c r="I131" s="145"/>
      <c r="J131" s="86"/>
      <c r="K131" s="145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ht="15">
      <c r="A132" s="81"/>
      <c r="B132" s="81"/>
      <c r="C132" s="81"/>
      <c r="D132" s="81"/>
      <c r="E132" s="81"/>
      <c r="F132" s="81"/>
      <c r="G132" s="81"/>
      <c r="H132" s="145"/>
      <c r="I132" s="145"/>
      <c r="J132" s="86"/>
      <c r="K132" s="145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ht="15">
      <c r="A133" s="81"/>
      <c r="B133" s="81"/>
      <c r="C133" s="81"/>
      <c r="D133" s="81"/>
      <c r="E133" s="81"/>
      <c r="F133" s="81"/>
      <c r="G133" s="81"/>
      <c r="H133" s="145"/>
      <c r="I133" s="145"/>
      <c r="J133" s="86"/>
      <c r="K133" s="145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ht="15">
      <c r="A134" s="81"/>
      <c r="B134" s="81"/>
      <c r="C134" s="81"/>
      <c r="D134" s="81"/>
      <c r="E134" s="81"/>
      <c r="F134" s="81"/>
      <c r="G134" s="81"/>
      <c r="H134" s="145"/>
      <c r="I134" s="145"/>
      <c r="J134" s="86"/>
      <c r="K134" s="145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ht="15">
      <c r="A135" s="81"/>
      <c r="B135" s="81"/>
      <c r="C135" s="81"/>
      <c r="D135" s="81"/>
      <c r="E135" s="81"/>
      <c r="F135" s="81"/>
      <c r="G135" s="81"/>
      <c r="H135" s="145"/>
      <c r="I135" s="145"/>
      <c r="J135" s="86"/>
      <c r="K135" s="145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ht="15">
      <c r="A136" s="81"/>
      <c r="B136" s="81"/>
      <c r="C136" s="81"/>
      <c r="D136" s="81"/>
      <c r="E136" s="81"/>
      <c r="F136" s="81"/>
      <c r="G136" s="81"/>
      <c r="H136" s="145"/>
      <c r="I136" s="145"/>
      <c r="J136" s="86"/>
      <c r="K136" s="145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ht="15">
      <c r="A137" s="81"/>
      <c r="B137" s="81"/>
      <c r="C137" s="81"/>
      <c r="D137" s="81"/>
      <c r="E137" s="81"/>
      <c r="F137" s="81"/>
      <c r="G137" s="81"/>
      <c r="H137" s="145"/>
      <c r="I137" s="145"/>
      <c r="J137" s="86"/>
      <c r="K137" s="145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ht="15">
      <c r="A138" s="81"/>
      <c r="B138" s="81"/>
      <c r="C138" s="81"/>
      <c r="D138" s="81"/>
      <c r="E138" s="81"/>
      <c r="F138" s="81"/>
      <c r="G138" s="81"/>
      <c r="H138" s="145"/>
      <c r="I138" s="145"/>
      <c r="J138" s="86"/>
      <c r="K138" s="145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ht="15">
      <c r="A139" s="81"/>
      <c r="B139" s="81"/>
      <c r="C139" s="81"/>
      <c r="D139" s="81"/>
      <c r="E139" s="81"/>
      <c r="F139" s="81"/>
      <c r="G139" s="81"/>
      <c r="H139" s="145"/>
      <c r="I139" s="145"/>
      <c r="J139" s="86"/>
      <c r="K139" s="145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ht="15">
      <c r="A140" s="81"/>
      <c r="B140" s="81"/>
      <c r="C140" s="81"/>
      <c r="D140" s="81"/>
      <c r="E140" s="81"/>
      <c r="F140" s="81"/>
      <c r="G140" s="81"/>
      <c r="H140" s="145"/>
      <c r="I140" s="145"/>
      <c r="J140" s="86"/>
      <c r="K140" s="145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ht="15">
      <c r="A141" s="81"/>
      <c r="B141" s="81"/>
      <c r="C141" s="81"/>
      <c r="D141" s="81"/>
      <c r="E141" s="81"/>
      <c r="F141" s="81"/>
      <c r="G141" s="81"/>
      <c r="H141" s="145"/>
      <c r="I141" s="145"/>
      <c r="J141" s="86"/>
      <c r="K141" s="145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ht="15">
      <c r="A142" s="81"/>
      <c r="B142" s="81"/>
      <c r="C142" s="81"/>
      <c r="D142" s="81"/>
      <c r="E142" s="81"/>
      <c r="F142" s="81"/>
      <c r="G142" s="81"/>
      <c r="H142" s="145"/>
      <c r="I142" s="145"/>
      <c r="J142" s="86"/>
      <c r="K142" s="145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ht="15">
      <c r="A143" s="81"/>
      <c r="B143" s="81"/>
      <c r="C143" s="81"/>
      <c r="D143" s="81"/>
      <c r="E143" s="81"/>
      <c r="F143" s="81"/>
      <c r="G143" s="81"/>
      <c r="H143" s="145"/>
      <c r="I143" s="145"/>
      <c r="J143" s="86"/>
      <c r="K143" s="145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ht="15">
      <c r="A144" s="81"/>
      <c r="B144" s="81"/>
      <c r="C144" s="81"/>
      <c r="D144" s="81"/>
      <c r="E144" s="81"/>
      <c r="F144" s="81"/>
      <c r="G144" s="81"/>
      <c r="H144" s="145"/>
      <c r="I144" s="145"/>
      <c r="J144" s="86"/>
      <c r="K144" s="145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ht="15">
      <c r="A145" s="81"/>
      <c r="B145" s="81"/>
      <c r="C145" s="81"/>
      <c r="D145" s="81"/>
      <c r="E145" s="81"/>
      <c r="F145" s="81"/>
      <c r="G145" s="81"/>
      <c r="H145" s="145"/>
      <c r="I145" s="145"/>
      <c r="J145" s="86"/>
      <c r="K145" s="145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ht="15">
      <c r="A146" s="81"/>
      <c r="B146" s="81"/>
      <c r="C146" s="81"/>
      <c r="D146" s="81"/>
      <c r="E146" s="81"/>
      <c r="F146" s="81"/>
      <c r="G146" s="81"/>
      <c r="H146" s="145"/>
      <c r="I146" s="145"/>
      <c r="J146" s="86"/>
      <c r="K146" s="145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ht="15">
      <c r="A147" s="81"/>
      <c r="B147" s="81"/>
      <c r="C147" s="81"/>
      <c r="D147" s="81"/>
      <c r="E147" s="81"/>
      <c r="F147" s="81"/>
      <c r="G147" s="81"/>
      <c r="H147" s="145"/>
      <c r="I147" s="145"/>
      <c r="J147" s="86"/>
      <c r="K147" s="145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ht="15">
      <c r="A148" s="81"/>
      <c r="B148" s="81"/>
      <c r="C148" s="81"/>
      <c r="D148" s="81"/>
      <c r="E148" s="81"/>
      <c r="F148" s="81"/>
      <c r="G148" s="81"/>
      <c r="H148" s="145"/>
      <c r="I148" s="145"/>
      <c r="J148" s="86"/>
      <c r="K148" s="145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ht="15">
      <c r="A149" s="81"/>
      <c r="B149" s="81"/>
      <c r="C149" s="81"/>
      <c r="D149" s="81"/>
      <c r="E149" s="81"/>
      <c r="F149" s="81"/>
      <c r="G149" s="81"/>
      <c r="H149" s="145"/>
      <c r="I149" s="145"/>
      <c r="J149" s="86"/>
      <c r="K149" s="145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ht="15">
      <c r="A150" s="81"/>
      <c r="B150" s="81"/>
      <c r="C150" s="81"/>
      <c r="D150" s="81"/>
      <c r="E150" s="81"/>
      <c r="F150" s="81"/>
      <c r="G150" s="81"/>
      <c r="H150" s="145"/>
      <c r="I150" s="145"/>
      <c r="J150" s="86"/>
      <c r="K150" s="145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ht="15">
      <c r="A151" s="81"/>
      <c r="B151" s="81"/>
      <c r="C151" s="81"/>
      <c r="D151" s="81"/>
      <c r="E151" s="81"/>
      <c r="F151" s="81"/>
      <c r="G151" s="81"/>
      <c r="H151" s="145"/>
      <c r="I151" s="145"/>
      <c r="J151" s="86"/>
      <c r="K151" s="145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ht="15">
      <c r="A152" s="81"/>
      <c r="B152" s="81"/>
      <c r="C152" s="81"/>
      <c r="D152" s="81"/>
      <c r="E152" s="81"/>
      <c r="F152" s="81"/>
      <c r="G152" s="81"/>
      <c r="H152" s="145"/>
      <c r="I152" s="145"/>
      <c r="J152" s="86"/>
      <c r="K152" s="145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ht="15">
      <c r="A153" s="81"/>
      <c r="B153" s="81"/>
      <c r="C153" s="81"/>
      <c r="D153" s="81"/>
      <c r="E153" s="81"/>
      <c r="F153" s="81"/>
      <c r="G153" s="81"/>
      <c r="H153" s="145"/>
      <c r="I153" s="145"/>
      <c r="J153" s="86"/>
      <c r="K153" s="145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ht="15">
      <c r="A154" s="81"/>
      <c r="B154" s="81"/>
      <c r="C154" s="81"/>
      <c r="D154" s="81"/>
      <c r="E154" s="81"/>
      <c r="F154" s="81"/>
      <c r="G154" s="81"/>
      <c r="H154" s="145"/>
      <c r="I154" s="145"/>
      <c r="J154" s="86"/>
      <c r="K154" s="145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ht="15">
      <c r="A155" s="81"/>
      <c r="B155" s="81"/>
      <c r="C155" s="81"/>
      <c r="D155" s="81"/>
      <c r="E155" s="81"/>
      <c r="F155" s="81"/>
      <c r="G155" s="81"/>
      <c r="H155" s="145"/>
      <c r="I155" s="145"/>
      <c r="J155" s="86"/>
      <c r="K155" s="145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ht="15">
      <c r="A156" s="81"/>
      <c r="B156" s="81"/>
      <c r="C156" s="81"/>
      <c r="D156" s="81"/>
      <c r="E156" s="81"/>
      <c r="F156" s="81"/>
      <c r="G156" s="81"/>
      <c r="H156" s="145"/>
      <c r="I156" s="145"/>
      <c r="J156" s="86"/>
      <c r="K156" s="145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ht="15">
      <c r="A157" s="81"/>
      <c r="B157" s="81"/>
      <c r="C157" s="81"/>
      <c r="D157" s="81"/>
      <c r="E157" s="81"/>
      <c r="F157" s="81"/>
      <c r="G157" s="81"/>
      <c r="H157" s="145"/>
      <c r="I157" s="145"/>
      <c r="J157" s="86"/>
      <c r="K157" s="145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ht="15">
      <c r="A158" s="81"/>
      <c r="B158" s="81"/>
      <c r="C158" s="81"/>
      <c r="D158" s="81"/>
      <c r="E158" s="81"/>
      <c r="F158" s="81"/>
      <c r="G158" s="81"/>
      <c r="H158" s="145"/>
      <c r="I158" s="145"/>
      <c r="J158" s="86"/>
      <c r="K158" s="145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ht="15">
      <c r="A159" s="81"/>
      <c r="B159" s="81"/>
      <c r="C159" s="81"/>
      <c r="D159" s="81"/>
      <c r="E159" s="81"/>
      <c r="F159" s="81"/>
      <c r="G159" s="81"/>
      <c r="H159" s="145"/>
      <c r="I159" s="145"/>
      <c r="J159" s="86"/>
      <c r="K159" s="145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ht="15">
      <c r="A160" s="81"/>
      <c r="B160" s="81"/>
      <c r="C160" s="81"/>
      <c r="D160" s="81"/>
      <c r="E160" s="81"/>
      <c r="F160" s="81"/>
      <c r="G160" s="81"/>
      <c r="H160" s="145"/>
      <c r="I160" s="145"/>
      <c r="J160" s="86"/>
      <c r="K160" s="145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ht="15">
      <c r="A161" s="81"/>
      <c r="B161" s="81"/>
      <c r="C161" s="81"/>
      <c r="D161" s="81"/>
      <c r="E161" s="81"/>
      <c r="F161" s="81"/>
      <c r="G161" s="81"/>
      <c r="H161" s="145"/>
      <c r="I161" s="145"/>
      <c r="J161" s="86"/>
      <c r="K161" s="145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ht="15">
      <c r="A162" s="81"/>
      <c r="B162" s="81"/>
      <c r="C162" s="81"/>
      <c r="D162" s="81"/>
      <c r="E162" s="81"/>
      <c r="F162" s="81"/>
      <c r="G162" s="81"/>
      <c r="H162" s="145"/>
      <c r="I162" s="145"/>
      <c r="J162" s="86"/>
      <c r="K162" s="145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ht="15">
      <c r="A163" s="81"/>
      <c r="B163" s="81"/>
      <c r="C163" s="81"/>
      <c r="D163" s="81"/>
      <c r="E163" s="81"/>
      <c r="F163" s="81"/>
      <c r="G163" s="81"/>
      <c r="H163" s="145"/>
      <c r="I163" s="145"/>
      <c r="J163" s="86"/>
      <c r="K163" s="145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ht="15">
      <c r="A164" s="81"/>
      <c r="B164" s="81"/>
      <c r="C164" s="81"/>
      <c r="D164" s="81"/>
      <c r="E164" s="81"/>
      <c r="F164" s="81"/>
      <c r="G164" s="81"/>
      <c r="H164" s="145"/>
      <c r="I164" s="145"/>
      <c r="J164" s="86"/>
      <c r="K164" s="145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ht="15">
      <c r="A165" s="81"/>
      <c r="B165" s="81"/>
      <c r="C165" s="81"/>
      <c r="D165" s="81"/>
      <c r="E165" s="81"/>
      <c r="F165" s="81"/>
      <c r="G165" s="81"/>
      <c r="H165" s="145"/>
      <c r="I165" s="145"/>
      <c r="J165" s="86"/>
      <c r="K165" s="145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ht="15">
      <c r="A166" s="81"/>
      <c r="B166" s="81"/>
      <c r="C166" s="81"/>
      <c r="D166" s="81"/>
      <c r="E166" s="81"/>
      <c r="F166" s="81"/>
      <c r="G166" s="81"/>
      <c r="H166" s="145"/>
      <c r="I166" s="145"/>
      <c r="J166" s="86"/>
      <c r="K166" s="145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ht="15">
      <c r="A167" s="81"/>
      <c r="B167" s="81"/>
      <c r="C167" s="81"/>
      <c r="D167" s="81"/>
      <c r="E167" s="81"/>
      <c r="F167" s="81"/>
      <c r="G167" s="81"/>
      <c r="H167" s="145"/>
      <c r="I167" s="145"/>
      <c r="J167" s="86"/>
      <c r="K167" s="145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ht="15">
      <c r="A168" s="81"/>
      <c r="B168" s="81"/>
      <c r="C168" s="81"/>
      <c r="D168" s="81"/>
      <c r="E168" s="81"/>
      <c r="F168" s="81"/>
      <c r="G168" s="81"/>
      <c r="H168" s="145"/>
      <c r="I168" s="145"/>
      <c r="J168" s="86"/>
      <c r="K168" s="145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ht="15">
      <c r="A169" s="81"/>
      <c r="B169" s="81"/>
      <c r="C169" s="81"/>
      <c r="D169" s="81"/>
      <c r="E169" s="81"/>
      <c r="F169" s="81"/>
      <c r="G169" s="81"/>
      <c r="H169" s="145"/>
      <c r="I169" s="145"/>
      <c r="J169" s="86"/>
      <c r="K169" s="145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ht="15">
      <c r="A170" s="81"/>
      <c r="B170" s="81"/>
      <c r="C170" s="81"/>
      <c r="D170" s="81"/>
      <c r="E170" s="81"/>
      <c r="F170" s="81"/>
      <c r="G170" s="81"/>
      <c r="H170" s="145"/>
      <c r="I170" s="145"/>
      <c r="J170" s="86"/>
      <c r="K170" s="145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ht="15">
      <c r="A171" s="81"/>
      <c r="B171" s="81"/>
      <c r="C171" s="81"/>
      <c r="D171" s="81"/>
      <c r="E171" s="81"/>
      <c r="F171" s="81"/>
      <c r="G171" s="81"/>
      <c r="H171" s="145"/>
      <c r="I171" s="145"/>
      <c r="J171" s="86"/>
      <c r="K171" s="145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ht="15">
      <c r="A172" s="81"/>
      <c r="B172" s="81"/>
      <c r="C172" s="81"/>
      <c r="D172" s="81"/>
      <c r="E172" s="81"/>
      <c r="F172" s="81"/>
      <c r="G172" s="81"/>
      <c r="H172" s="145"/>
      <c r="I172" s="145"/>
      <c r="J172" s="86"/>
      <c r="K172" s="145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ht="15">
      <c r="A173" s="81"/>
      <c r="B173" s="81"/>
      <c r="C173" s="81"/>
      <c r="D173" s="81"/>
      <c r="E173" s="81"/>
      <c r="F173" s="81"/>
      <c r="G173" s="81"/>
      <c r="H173" s="145"/>
      <c r="I173" s="145"/>
      <c r="J173" s="86"/>
      <c r="K173" s="145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ht="15">
      <c r="A174" s="81"/>
      <c r="B174" s="81"/>
      <c r="C174" s="81"/>
      <c r="D174" s="81"/>
      <c r="E174" s="81"/>
      <c r="F174" s="81"/>
      <c r="G174" s="81"/>
      <c r="H174" s="145"/>
      <c r="I174" s="145"/>
      <c r="J174" s="86"/>
      <c r="K174" s="145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ht="15">
      <c r="A175" s="81"/>
      <c r="B175" s="81"/>
      <c r="C175" s="81"/>
      <c r="D175" s="81"/>
      <c r="E175" s="81"/>
      <c r="F175" s="81"/>
      <c r="G175" s="81"/>
      <c r="H175" s="145"/>
      <c r="I175" s="145"/>
      <c r="J175" s="86"/>
      <c r="K175" s="145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ht="15">
      <c r="A176" s="81"/>
      <c r="B176" s="81"/>
      <c r="C176" s="81"/>
      <c r="D176" s="81"/>
      <c r="E176" s="81"/>
      <c r="F176" s="81"/>
      <c r="G176" s="81"/>
      <c r="H176" s="145"/>
      <c r="I176" s="145"/>
      <c r="J176" s="86"/>
      <c r="K176" s="145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ht="15">
      <c r="A177" s="81"/>
      <c r="B177" s="81"/>
      <c r="C177" s="81"/>
      <c r="D177" s="81"/>
      <c r="E177" s="81"/>
      <c r="F177" s="81"/>
      <c r="G177" s="81"/>
      <c r="H177" s="145"/>
      <c r="I177" s="145"/>
      <c r="J177" s="86"/>
      <c r="K177" s="145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ht="15">
      <c r="A178" s="81"/>
      <c r="B178" s="81"/>
      <c r="C178" s="81"/>
      <c r="D178" s="81"/>
      <c r="E178" s="81"/>
      <c r="F178" s="81"/>
      <c r="G178" s="81"/>
      <c r="H178" s="145"/>
      <c r="I178" s="145"/>
      <c r="J178" s="86"/>
      <c r="K178" s="145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ht="15">
      <c r="A179" s="81"/>
      <c r="B179" s="81"/>
      <c r="C179" s="81"/>
      <c r="D179" s="81"/>
      <c r="E179" s="81"/>
      <c r="F179" s="81"/>
      <c r="G179" s="81"/>
      <c r="H179" s="145"/>
      <c r="I179" s="145"/>
      <c r="J179" s="86"/>
      <c r="K179" s="145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ht="15">
      <c r="A180" s="81"/>
      <c r="B180" s="81"/>
      <c r="C180" s="81"/>
      <c r="D180" s="81"/>
      <c r="E180" s="81"/>
      <c r="F180" s="81"/>
      <c r="G180" s="81"/>
      <c r="H180" s="145"/>
      <c r="I180" s="145"/>
      <c r="J180" s="86"/>
      <c r="K180" s="145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ht="15">
      <c r="A181" s="81"/>
      <c r="B181" s="81"/>
      <c r="C181" s="81"/>
      <c r="D181" s="81"/>
      <c r="E181" s="81"/>
      <c r="F181" s="81"/>
      <c r="G181" s="81"/>
      <c r="H181" s="145"/>
      <c r="I181" s="145"/>
      <c r="J181" s="86"/>
      <c r="K181" s="145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ht="15">
      <c r="A182" s="81"/>
      <c r="B182" s="81"/>
      <c r="C182" s="81"/>
      <c r="D182" s="81"/>
      <c r="E182" s="81"/>
      <c r="F182" s="81"/>
      <c r="G182" s="81"/>
      <c r="H182" s="145"/>
      <c r="I182" s="145"/>
      <c r="J182" s="86"/>
      <c r="K182" s="145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ht="15">
      <c r="A183" s="81"/>
      <c r="B183" s="81"/>
      <c r="C183" s="81"/>
      <c r="D183" s="81"/>
      <c r="E183" s="81"/>
      <c r="F183" s="81"/>
      <c r="G183" s="81"/>
      <c r="H183" s="145"/>
      <c r="I183" s="145"/>
      <c r="J183" s="86"/>
      <c r="K183" s="145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ht="15">
      <c r="A184" s="81"/>
      <c r="B184" s="81"/>
      <c r="C184" s="81"/>
      <c r="D184" s="81"/>
      <c r="E184" s="81"/>
      <c r="F184" s="81"/>
      <c r="G184" s="81"/>
      <c r="H184" s="145"/>
      <c r="I184" s="145"/>
      <c r="J184" s="86"/>
      <c r="K184" s="145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ht="15">
      <c r="A185" s="81"/>
      <c r="B185" s="81"/>
      <c r="C185" s="81"/>
      <c r="D185" s="81"/>
      <c r="E185" s="81"/>
      <c r="F185" s="81"/>
      <c r="G185" s="81"/>
      <c r="H185" s="145"/>
      <c r="I185" s="145"/>
      <c r="J185" s="86"/>
      <c r="K185" s="145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ht="15">
      <c r="A186" s="81"/>
      <c r="B186" s="81"/>
      <c r="C186" s="81"/>
      <c r="D186" s="81"/>
      <c r="E186" s="81"/>
      <c r="F186" s="81"/>
      <c r="G186" s="81"/>
      <c r="H186" s="145"/>
      <c r="I186" s="145"/>
      <c r="J186" s="86"/>
      <c r="K186" s="145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ht="15">
      <c r="A187" s="81"/>
      <c r="B187" s="81"/>
      <c r="C187" s="81"/>
      <c r="D187" s="81"/>
      <c r="E187" s="81"/>
      <c r="F187" s="81"/>
      <c r="G187" s="81"/>
      <c r="H187" s="145"/>
      <c r="I187" s="145"/>
      <c r="J187" s="86"/>
      <c r="K187" s="145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ht="15">
      <c r="A188" s="81"/>
      <c r="B188" s="81"/>
      <c r="C188" s="81"/>
      <c r="D188" s="81"/>
      <c r="E188" s="81"/>
      <c r="F188" s="81"/>
      <c r="G188" s="81"/>
      <c r="H188" s="145"/>
      <c r="I188" s="145"/>
      <c r="J188" s="86"/>
      <c r="K188" s="145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ht="15">
      <c r="A189" s="81"/>
      <c r="B189" s="81"/>
      <c r="C189" s="81"/>
      <c r="D189" s="81"/>
      <c r="E189" s="81"/>
      <c r="F189" s="81"/>
      <c r="G189" s="81"/>
      <c r="H189" s="145"/>
      <c r="I189" s="145"/>
      <c r="J189" s="86"/>
      <c r="K189" s="145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ht="15">
      <c r="A190" s="81"/>
      <c r="B190" s="81"/>
      <c r="C190" s="81"/>
      <c r="D190" s="81"/>
      <c r="E190" s="81"/>
      <c r="F190" s="81"/>
      <c r="G190" s="81"/>
      <c r="H190" s="145"/>
      <c r="I190" s="145"/>
      <c r="J190" s="86"/>
      <c r="K190" s="145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ht="15">
      <c r="A191" s="81"/>
      <c r="B191" s="81"/>
      <c r="C191" s="81"/>
      <c r="D191" s="81"/>
      <c r="E191" s="81"/>
      <c r="F191" s="81"/>
      <c r="G191" s="81"/>
      <c r="H191" s="145"/>
      <c r="I191" s="145"/>
      <c r="J191" s="86"/>
      <c r="K191" s="145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ht="15">
      <c r="A192" s="81"/>
      <c r="B192" s="81"/>
      <c r="C192" s="81"/>
      <c r="D192" s="81"/>
      <c r="E192" s="81"/>
      <c r="F192" s="81"/>
      <c r="G192" s="81"/>
      <c r="H192" s="145"/>
      <c r="I192" s="145"/>
      <c r="J192" s="86"/>
      <c r="K192" s="145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ht="15">
      <c r="A193" s="81"/>
      <c r="B193" s="81"/>
      <c r="C193" s="81"/>
      <c r="D193" s="81"/>
      <c r="E193" s="81"/>
      <c r="F193" s="81"/>
      <c r="G193" s="81"/>
      <c r="H193" s="145"/>
      <c r="I193" s="145"/>
      <c r="J193" s="86"/>
      <c r="K193" s="145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ht="15">
      <c r="A194" s="81"/>
      <c r="B194" s="81"/>
      <c r="C194" s="81"/>
      <c r="D194" s="81"/>
      <c r="E194" s="81"/>
      <c r="F194" s="81"/>
      <c r="G194" s="81"/>
      <c r="H194" s="145"/>
      <c r="I194" s="145"/>
      <c r="J194" s="86"/>
      <c r="K194" s="145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ht="15">
      <c r="A195" s="81"/>
      <c r="B195" s="81"/>
      <c r="C195" s="81"/>
      <c r="D195" s="81"/>
      <c r="E195" s="81"/>
      <c r="F195" s="81"/>
      <c r="G195" s="81"/>
      <c r="H195" s="145"/>
      <c r="I195" s="145"/>
      <c r="J195" s="86"/>
      <c r="K195" s="145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ht="15">
      <c r="A196" s="81"/>
      <c r="B196" s="81"/>
      <c r="C196" s="81"/>
      <c r="D196" s="81"/>
      <c r="E196" s="81"/>
      <c r="F196" s="81"/>
      <c r="G196" s="81"/>
      <c r="H196" s="145"/>
      <c r="I196" s="145"/>
      <c r="J196" s="86"/>
      <c r="K196" s="145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ht="15">
      <c r="A197" s="81"/>
      <c r="B197" s="81"/>
      <c r="C197" s="81"/>
      <c r="D197" s="81"/>
      <c r="E197" s="81"/>
      <c r="F197" s="81"/>
      <c r="G197" s="81"/>
      <c r="H197" s="145"/>
      <c r="I197" s="145"/>
      <c r="J197" s="86"/>
      <c r="K197" s="145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ht="15">
      <c r="A198" s="81"/>
      <c r="B198" s="81"/>
      <c r="C198" s="81"/>
      <c r="D198" s="81"/>
      <c r="E198" s="81"/>
      <c r="F198" s="81"/>
      <c r="G198" s="81"/>
      <c r="H198" s="145"/>
      <c r="I198" s="145"/>
      <c r="J198" s="86"/>
      <c r="K198" s="145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ht="15">
      <c r="A199" s="81"/>
      <c r="B199" s="81"/>
      <c r="C199" s="81"/>
      <c r="D199" s="81"/>
      <c r="E199" s="81"/>
      <c r="F199" s="81"/>
      <c r="G199" s="81"/>
      <c r="H199" s="145"/>
      <c r="I199" s="145"/>
      <c r="J199" s="86"/>
      <c r="K199" s="145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ht="15">
      <c r="A200" s="81"/>
      <c r="B200" s="81"/>
      <c r="C200" s="81"/>
      <c r="D200" s="81"/>
      <c r="E200" s="81"/>
      <c r="F200" s="81"/>
      <c r="G200" s="81"/>
      <c r="H200" s="145"/>
      <c r="I200" s="145"/>
      <c r="J200" s="86"/>
      <c r="K200" s="145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ht="15">
      <c r="A201" s="81"/>
      <c r="B201" s="81"/>
      <c r="C201" s="81"/>
      <c r="D201" s="81"/>
      <c r="E201" s="81"/>
      <c r="F201" s="81"/>
      <c r="G201" s="81"/>
      <c r="H201" s="145"/>
      <c r="I201" s="145"/>
      <c r="J201" s="86"/>
      <c r="K201" s="145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ht="15">
      <c r="A202" s="81"/>
      <c r="B202" s="81"/>
      <c r="C202" s="81"/>
      <c r="D202" s="81"/>
      <c r="E202" s="81"/>
      <c r="F202" s="81"/>
      <c r="G202" s="81"/>
      <c r="H202" s="145"/>
      <c r="I202" s="145"/>
      <c r="J202" s="86"/>
      <c r="K202" s="145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ht="15">
      <c r="A203" s="81"/>
      <c r="B203" s="81"/>
      <c r="C203" s="81"/>
      <c r="D203" s="81"/>
      <c r="E203" s="81"/>
      <c r="F203" s="81"/>
      <c r="G203" s="81"/>
      <c r="H203" s="145"/>
      <c r="I203" s="145"/>
      <c r="J203" s="86"/>
      <c r="K203" s="145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ht="15">
      <c r="A204" s="81"/>
      <c r="B204" s="81"/>
      <c r="C204" s="81"/>
      <c r="D204" s="81"/>
      <c r="E204" s="81"/>
      <c r="F204" s="81"/>
      <c r="G204" s="81"/>
      <c r="H204" s="145"/>
      <c r="I204" s="145"/>
      <c r="J204" s="86"/>
      <c r="K204" s="145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ht="15">
      <c r="A205" s="81"/>
      <c r="B205" s="81"/>
      <c r="C205" s="81"/>
      <c r="D205" s="81"/>
      <c r="E205" s="81"/>
      <c r="F205" s="81"/>
      <c r="G205" s="81"/>
      <c r="H205" s="145"/>
      <c r="I205" s="145"/>
      <c r="J205" s="86"/>
      <c r="K205" s="145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ht="15">
      <c r="A206" s="81"/>
      <c r="B206" s="81"/>
      <c r="C206" s="81"/>
      <c r="D206" s="81"/>
      <c r="E206" s="81"/>
      <c r="F206" s="81"/>
      <c r="G206" s="81"/>
      <c r="H206" s="145"/>
      <c r="I206" s="145"/>
      <c r="J206" s="86"/>
      <c r="K206" s="145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ht="15">
      <c r="A207" s="81"/>
      <c r="B207" s="81"/>
      <c r="C207" s="81"/>
      <c r="D207" s="81"/>
      <c r="E207" s="81"/>
      <c r="F207" s="81"/>
      <c r="G207" s="81"/>
      <c r="H207" s="145"/>
      <c r="I207" s="145"/>
      <c r="J207" s="86"/>
      <c r="K207" s="145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ht="15">
      <c r="A208" s="81"/>
      <c r="B208" s="81"/>
      <c r="C208" s="81"/>
      <c r="D208" s="81"/>
      <c r="E208" s="81"/>
      <c r="F208" s="81"/>
      <c r="G208" s="81"/>
      <c r="H208" s="145"/>
      <c r="I208" s="145"/>
      <c r="J208" s="86"/>
      <c r="K208" s="145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ht="15">
      <c r="A209" s="81"/>
      <c r="B209" s="81"/>
      <c r="C209" s="81"/>
      <c r="D209" s="81"/>
      <c r="E209" s="81"/>
      <c r="F209" s="81"/>
      <c r="G209" s="81"/>
      <c r="H209" s="145"/>
      <c r="I209" s="145"/>
      <c r="J209" s="86"/>
      <c r="K209" s="145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ht="15">
      <c r="A210" s="81"/>
      <c r="B210" s="81"/>
      <c r="C210" s="81"/>
      <c r="D210" s="81"/>
      <c r="E210" s="81"/>
      <c r="F210" s="81"/>
      <c r="G210" s="81"/>
      <c r="H210" s="145"/>
      <c r="I210" s="145"/>
      <c r="J210" s="86"/>
      <c r="K210" s="145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ht="15">
      <c r="A211" s="81"/>
      <c r="B211" s="81"/>
      <c r="C211" s="81"/>
      <c r="D211" s="81"/>
      <c r="E211" s="81"/>
      <c r="F211" s="81"/>
      <c r="G211" s="81"/>
      <c r="H211" s="145"/>
      <c r="I211" s="145"/>
      <c r="J211" s="86"/>
      <c r="K211" s="145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ht="15">
      <c r="A212" s="81"/>
      <c r="B212" s="81"/>
      <c r="C212" s="81"/>
      <c r="D212" s="81"/>
      <c r="E212" s="81"/>
      <c r="F212" s="81"/>
      <c r="G212" s="81"/>
      <c r="H212" s="145"/>
      <c r="I212" s="145"/>
      <c r="J212" s="86"/>
      <c r="K212" s="145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ht="15">
      <c r="A213" s="81"/>
      <c r="B213" s="81"/>
      <c r="C213" s="81"/>
      <c r="D213" s="81"/>
      <c r="E213" s="81"/>
      <c r="F213" s="81"/>
      <c r="G213" s="81"/>
      <c r="H213" s="145"/>
      <c r="I213" s="145"/>
      <c r="J213" s="86"/>
      <c r="K213" s="145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ht="15">
      <c r="A214" s="81"/>
      <c r="B214" s="81"/>
      <c r="C214" s="81"/>
      <c r="D214" s="81"/>
      <c r="E214" s="81"/>
      <c r="F214" s="81"/>
      <c r="G214" s="81"/>
      <c r="H214" s="145"/>
      <c r="I214" s="145"/>
      <c r="J214" s="86"/>
      <c r="K214" s="145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ht="15">
      <c r="A215" s="81"/>
      <c r="B215" s="81"/>
      <c r="C215" s="81"/>
      <c r="D215" s="81"/>
      <c r="E215" s="81"/>
      <c r="F215" s="81"/>
      <c r="G215" s="81"/>
      <c r="H215" s="145"/>
      <c r="I215" s="145"/>
      <c r="J215" s="86"/>
      <c r="K215" s="145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ht="15">
      <c r="A216" s="81"/>
      <c r="B216" s="81"/>
      <c r="C216" s="81"/>
      <c r="D216" s="81"/>
      <c r="E216" s="81"/>
      <c r="F216" s="81"/>
      <c r="G216" s="81"/>
      <c r="H216" s="145"/>
      <c r="I216" s="145"/>
      <c r="J216" s="86"/>
      <c r="K216" s="145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ht="15">
      <c r="A217" s="81"/>
      <c r="B217" s="81"/>
      <c r="C217" s="81"/>
      <c r="D217" s="81"/>
      <c r="E217" s="81"/>
      <c r="F217" s="81"/>
      <c r="G217" s="81"/>
      <c r="H217" s="145"/>
      <c r="I217" s="145"/>
      <c r="J217" s="86"/>
      <c r="K217" s="145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ht="15">
      <c r="A218" s="81"/>
      <c r="B218" s="81"/>
      <c r="C218" s="81"/>
      <c r="D218" s="81"/>
      <c r="E218" s="81"/>
      <c r="F218" s="81"/>
      <c r="G218" s="81"/>
      <c r="H218" s="145"/>
      <c r="I218" s="145"/>
      <c r="J218" s="86"/>
      <c r="K218" s="145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ht="15">
      <c r="A219" s="81"/>
      <c r="B219" s="81"/>
      <c r="C219" s="81"/>
      <c r="D219" s="81"/>
      <c r="E219" s="81"/>
      <c r="F219" s="81"/>
      <c r="G219" s="81"/>
      <c r="H219" s="145"/>
      <c r="I219" s="145"/>
      <c r="J219" s="86"/>
      <c r="K219" s="145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ht="15">
      <c r="A220" s="81"/>
      <c r="B220" s="81"/>
      <c r="C220" s="81"/>
      <c r="D220" s="81"/>
      <c r="E220" s="81"/>
      <c r="F220" s="81"/>
      <c r="G220" s="81"/>
      <c r="H220" s="145"/>
      <c r="I220" s="145"/>
      <c r="J220" s="86"/>
      <c r="K220" s="145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ht="15">
      <c r="A221" s="81"/>
      <c r="B221" s="81"/>
      <c r="C221" s="81"/>
      <c r="D221" s="81"/>
      <c r="E221" s="81"/>
      <c r="F221" s="81"/>
      <c r="G221" s="81"/>
      <c r="H221" s="145"/>
      <c r="I221" s="145"/>
      <c r="J221" s="86"/>
      <c r="K221" s="145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ht="15">
      <c r="A222" s="81"/>
      <c r="B222" s="81"/>
      <c r="C222" s="81"/>
      <c r="D222" s="81"/>
      <c r="E222" s="81"/>
      <c r="F222" s="81"/>
      <c r="G222" s="81"/>
      <c r="H222" s="145"/>
      <c r="I222" s="145"/>
      <c r="J222" s="86"/>
      <c r="K222" s="145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ht="15">
      <c r="A223" s="81"/>
      <c r="B223" s="81"/>
      <c r="C223" s="81"/>
      <c r="D223" s="81"/>
      <c r="E223" s="81"/>
      <c r="F223" s="81"/>
      <c r="G223" s="81"/>
      <c r="H223" s="145"/>
      <c r="I223" s="145"/>
      <c r="J223" s="86"/>
      <c r="K223" s="145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ht="15">
      <c r="A224" s="81"/>
      <c r="B224" s="81"/>
      <c r="C224" s="81"/>
      <c r="D224" s="81"/>
      <c r="E224" s="81"/>
      <c r="F224" s="81"/>
      <c r="G224" s="81"/>
      <c r="H224" s="145"/>
      <c r="I224" s="145"/>
      <c r="J224" s="86"/>
      <c r="K224" s="145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ht="15">
      <c r="A225" s="81"/>
      <c r="B225" s="81"/>
      <c r="C225" s="81"/>
      <c r="D225" s="81"/>
      <c r="E225" s="81"/>
      <c r="F225" s="81"/>
      <c r="G225" s="81"/>
      <c r="H225" s="145"/>
      <c r="I225" s="145"/>
      <c r="J225" s="86"/>
      <c r="K225" s="145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ht="15">
      <c r="A226" s="81"/>
      <c r="B226" s="81"/>
      <c r="C226" s="81"/>
      <c r="D226" s="81"/>
      <c r="E226" s="81"/>
      <c r="F226" s="81"/>
      <c r="G226" s="81"/>
      <c r="H226" s="145"/>
      <c r="I226" s="145"/>
      <c r="J226" s="86"/>
      <c r="K226" s="145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ht="15">
      <c r="A227" s="81"/>
      <c r="B227" s="81"/>
      <c r="C227" s="81"/>
      <c r="D227" s="81"/>
      <c r="E227" s="81"/>
      <c r="F227" s="81"/>
      <c r="G227" s="81"/>
      <c r="H227" s="145"/>
      <c r="I227" s="145"/>
      <c r="J227" s="86"/>
      <c r="K227" s="145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ht="15">
      <c r="A228" s="81"/>
      <c r="B228" s="81"/>
      <c r="C228" s="81"/>
      <c r="D228" s="81"/>
      <c r="E228" s="81"/>
      <c r="F228" s="81"/>
      <c r="G228" s="81"/>
      <c r="H228" s="145"/>
      <c r="I228" s="145"/>
      <c r="J228" s="86"/>
      <c r="K228" s="145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ht="15">
      <c r="A229" s="81"/>
      <c r="B229" s="81"/>
      <c r="C229" s="81"/>
      <c r="D229" s="81"/>
      <c r="E229" s="81"/>
      <c r="F229" s="81"/>
      <c r="G229" s="81"/>
      <c r="H229" s="145"/>
      <c r="I229" s="145"/>
      <c r="J229" s="86"/>
      <c r="K229" s="145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ht="15">
      <c r="A230" s="81"/>
      <c r="B230" s="81"/>
      <c r="C230" s="81"/>
      <c r="D230" s="81"/>
      <c r="E230" s="81"/>
      <c r="F230" s="81"/>
      <c r="G230" s="81"/>
      <c r="H230" s="145"/>
      <c r="I230" s="145"/>
      <c r="J230" s="86"/>
      <c r="K230" s="145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ht="15">
      <c r="A231" s="81"/>
      <c r="B231" s="81"/>
      <c r="C231" s="81"/>
      <c r="D231" s="81"/>
      <c r="E231" s="81"/>
      <c r="F231" s="81"/>
      <c r="G231" s="81"/>
      <c r="H231" s="145"/>
      <c r="I231" s="145"/>
      <c r="J231" s="86"/>
      <c r="K231" s="145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ht="15">
      <c r="A232" s="81"/>
      <c r="B232" s="81"/>
      <c r="C232" s="81"/>
      <c r="D232" s="81"/>
      <c r="E232" s="81"/>
      <c r="F232" s="81"/>
      <c r="G232" s="81"/>
      <c r="H232" s="145"/>
      <c r="I232" s="145"/>
      <c r="J232" s="86"/>
      <c r="K232" s="145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ht="15">
      <c r="A233" s="81"/>
      <c r="B233" s="81"/>
      <c r="C233" s="81"/>
      <c r="D233" s="81"/>
      <c r="E233" s="81"/>
      <c r="F233" s="81"/>
      <c r="G233" s="81"/>
      <c r="H233" s="145"/>
      <c r="I233" s="145"/>
      <c r="J233" s="86"/>
      <c r="K233" s="145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ht="15">
      <c r="A234" s="81"/>
      <c r="B234" s="81"/>
      <c r="C234" s="81"/>
      <c r="D234" s="81"/>
      <c r="E234" s="81"/>
      <c r="F234" s="81"/>
      <c r="G234" s="81"/>
      <c r="H234" s="145"/>
      <c r="I234" s="145"/>
      <c r="J234" s="86"/>
      <c r="K234" s="145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ht="15">
      <c r="A235" s="81"/>
      <c r="B235" s="81"/>
      <c r="C235" s="81"/>
      <c r="D235" s="81"/>
      <c r="E235" s="81"/>
      <c r="F235" s="81"/>
      <c r="G235" s="81"/>
      <c r="H235" s="145"/>
      <c r="I235" s="145"/>
      <c r="J235" s="86"/>
      <c r="K235" s="145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ht="15">
      <c r="A236" s="81"/>
      <c r="B236" s="81"/>
      <c r="C236" s="81"/>
      <c r="D236" s="81"/>
      <c r="E236" s="81"/>
      <c r="F236" s="81"/>
      <c r="G236" s="81"/>
      <c r="H236" s="145"/>
      <c r="I236" s="145"/>
      <c r="J236" s="86"/>
      <c r="K236" s="145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ht="15">
      <c r="A237" s="81"/>
      <c r="B237" s="81"/>
      <c r="C237" s="81"/>
      <c r="D237" s="81"/>
      <c r="E237" s="81"/>
      <c r="F237" s="81"/>
      <c r="G237" s="81"/>
      <c r="H237" s="145"/>
      <c r="I237" s="145"/>
      <c r="J237" s="86"/>
      <c r="K237" s="145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ht="15">
      <c r="A238" s="81"/>
      <c r="B238" s="81"/>
      <c r="C238" s="81"/>
      <c r="D238" s="81"/>
      <c r="E238" s="81"/>
      <c r="F238" s="81"/>
      <c r="G238" s="81"/>
      <c r="H238" s="145"/>
      <c r="I238" s="145"/>
      <c r="J238" s="86"/>
      <c r="K238" s="145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ht="15">
      <c r="A239" s="81"/>
      <c r="B239" s="81"/>
      <c r="C239" s="81"/>
      <c r="D239" s="81"/>
      <c r="E239" s="81"/>
      <c r="F239" s="81"/>
      <c r="G239" s="81"/>
      <c r="H239" s="145"/>
      <c r="I239" s="145"/>
      <c r="J239" s="86"/>
      <c r="K239" s="145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ht="15">
      <c r="A240" s="81"/>
      <c r="B240" s="81"/>
      <c r="C240" s="81"/>
      <c r="D240" s="81"/>
      <c r="E240" s="81"/>
      <c r="F240" s="81"/>
      <c r="G240" s="81"/>
      <c r="H240" s="145"/>
      <c r="I240" s="145"/>
      <c r="J240" s="86"/>
      <c r="K240" s="145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ht="15">
      <c r="A241" s="81"/>
      <c r="B241" s="81"/>
      <c r="C241" s="81"/>
      <c r="D241" s="81"/>
      <c r="E241" s="81"/>
      <c r="F241" s="81"/>
      <c r="G241" s="81"/>
      <c r="H241" s="145"/>
      <c r="I241" s="145"/>
      <c r="J241" s="86"/>
      <c r="K241" s="145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ht="15">
      <c r="A242" s="81"/>
      <c r="B242" s="81"/>
      <c r="C242" s="81"/>
      <c r="D242" s="81"/>
      <c r="E242" s="81"/>
      <c r="F242" s="81"/>
      <c r="G242" s="81"/>
      <c r="H242" s="145"/>
      <c r="I242" s="145"/>
      <c r="J242" s="86"/>
      <c r="K242" s="145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ht="15">
      <c r="A243" s="81"/>
      <c r="B243" s="81"/>
      <c r="C243" s="81"/>
      <c r="D243" s="81"/>
      <c r="E243" s="81"/>
      <c r="F243" s="81"/>
      <c r="G243" s="81"/>
      <c r="H243" s="145"/>
      <c r="I243" s="145"/>
      <c r="J243" s="86"/>
      <c r="K243" s="145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ht="15">
      <c r="A244" s="81"/>
      <c r="B244" s="81"/>
      <c r="C244" s="81"/>
      <c r="D244" s="81"/>
      <c r="E244" s="81"/>
      <c r="F244" s="81"/>
      <c r="G244" s="81"/>
      <c r="H244" s="145"/>
      <c r="I244" s="145"/>
      <c r="J244" s="86"/>
      <c r="K244" s="145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ht="15">
      <c r="A245" s="81"/>
      <c r="B245" s="81"/>
      <c r="C245" s="81"/>
      <c r="D245" s="81"/>
      <c r="E245" s="81"/>
      <c r="F245" s="81"/>
      <c r="G245" s="81"/>
      <c r="H245" s="145"/>
      <c r="I245" s="145"/>
      <c r="J245" s="86"/>
      <c r="K245" s="145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ht="15">
      <c r="A246" s="81"/>
      <c r="B246" s="81"/>
      <c r="C246" s="81"/>
      <c r="D246" s="81"/>
      <c r="E246" s="81"/>
      <c r="F246" s="81"/>
      <c r="G246" s="81"/>
      <c r="H246" s="145"/>
      <c r="I246" s="145"/>
      <c r="J246" s="86"/>
      <c r="K246" s="145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ht="15">
      <c r="A247" s="81"/>
      <c r="B247" s="81"/>
      <c r="C247" s="81"/>
      <c r="D247" s="81"/>
      <c r="E247" s="81"/>
      <c r="F247" s="81"/>
      <c r="G247" s="81"/>
      <c r="H247" s="145"/>
      <c r="I247" s="145"/>
      <c r="J247" s="86"/>
      <c r="K247" s="145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ht="15">
      <c r="A248" s="81"/>
      <c r="B248" s="81"/>
      <c r="C248" s="81"/>
      <c r="D248" s="81"/>
      <c r="E248" s="81"/>
      <c r="F248" s="81"/>
      <c r="G248" s="81"/>
      <c r="H248" s="145"/>
      <c r="I248" s="145"/>
      <c r="J248" s="86"/>
      <c r="K248" s="145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ht="15">
      <c r="A249" s="81"/>
      <c r="B249" s="81"/>
      <c r="C249" s="81"/>
      <c r="D249" s="81"/>
      <c r="E249" s="81"/>
      <c r="F249" s="81"/>
      <c r="G249" s="81"/>
      <c r="H249" s="145"/>
      <c r="I249" s="145"/>
      <c r="J249" s="86"/>
      <c r="K249" s="145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ht="15">
      <c r="A250" s="81"/>
      <c r="B250" s="81"/>
      <c r="C250" s="81"/>
      <c r="D250" s="81"/>
      <c r="E250" s="81"/>
      <c r="F250" s="81"/>
      <c r="G250" s="81"/>
      <c r="H250" s="145"/>
      <c r="I250" s="145"/>
      <c r="J250" s="86"/>
      <c r="K250" s="145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ht="15">
      <c r="A251" s="81"/>
      <c r="B251" s="81"/>
      <c r="C251" s="81"/>
      <c r="D251" s="81"/>
      <c r="E251" s="81"/>
      <c r="F251" s="81"/>
      <c r="G251" s="81"/>
      <c r="H251" s="145"/>
      <c r="I251" s="145"/>
      <c r="J251" s="86"/>
      <c r="K251" s="145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ht="15">
      <c r="A252" s="81"/>
      <c r="B252" s="81"/>
      <c r="C252" s="81"/>
      <c r="D252" s="81"/>
      <c r="E252" s="81"/>
      <c r="F252" s="81"/>
      <c r="G252" s="81"/>
      <c r="H252" s="145"/>
      <c r="I252" s="145"/>
      <c r="J252" s="86"/>
      <c r="K252" s="145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ht="15">
      <c r="A253" s="81"/>
      <c r="B253" s="81"/>
      <c r="C253" s="81"/>
      <c r="D253" s="81"/>
      <c r="E253" s="81"/>
      <c r="F253" s="81"/>
      <c r="G253" s="81"/>
      <c r="H253" s="145"/>
      <c r="I253" s="145"/>
      <c r="J253" s="86"/>
      <c r="K253" s="145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ht="15">
      <c r="A254" s="81"/>
      <c r="B254" s="81"/>
      <c r="C254" s="81"/>
      <c r="D254" s="81"/>
      <c r="E254" s="81"/>
      <c r="F254" s="81"/>
      <c r="G254" s="81"/>
      <c r="H254" s="145"/>
      <c r="I254" s="145"/>
      <c r="J254" s="86"/>
      <c r="K254" s="145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ht="15">
      <c r="A255" s="81"/>
      <c r="B255" s="81"/>
      <c r="C255" s="81"/>
      <c r="D255" s="81"/>
      <c r="E255" s="81"/>
      <c r="F255" s="81"/>
      <c r="G255" s="81"/>
      <c r="H255" s="145"/>
      <c r="I255" s="145"/>
      <c r="J255" s="86"/>
      <c r="K255" s="145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ht="15">
      <c r="A256" s="81"/>
      <c r="B256" s="81"/>
      <c r="C256" s="81"/>
      <c r="D256" s="81"/>
      <c r="E256" s="81"/>
      <c r="F256" s="81"/>
      <c r="G256" s="81"/>
      <c r="H256" s="145"/>
      <c r="I256" s="145"/>
      <c r="J256" s="86"/>
      <c r="K256" s="145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ht="15">
      <c r="A257" s="81"/>
      <c r="B257" s="81"/>
      <c r="C257" s="81"/>
      <c r="D257" s="81"/>
      <c r="E257" s="81"/>
      <c r="F257" s="81"/>
      <c r="G257" s="81"/>
      <c r="H257" s="145"/>
      <c r="I257" s="145"/>
      <c r="J257" s="86"/>
      <c r="K257" s="145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ht="15">
      <c r="A258" s="81"/>
      <c r="B258" s="81"/>
      <c r="C258" s="81"/>
      <c r="D258" s="81"/>
      <c r="E258" s="81"/>
      <c r="F258" s="81"/>
      <c r="G258" s="81"/>
      <c r="H258" s="145"/>
      <c r="I258" s="145"/>
      <c r="J258" s="86"/>
      <c r="K258" s="145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ht="15">
      <c r="A259" s="81"/>
      <c r="B259" s="81"/>
      <c r="C259" s="81"/>
      <c r="D259" s="81"/>
      <c r="E259" s="81"/>
      <c r="F259" s="81"/>
      <c r="G259" s="81"/>
      <c r="H259" s="145"/>
      <c r="I259" s="145"/>
      <c r="J259" s="86"/>
      <c r="K259" s="145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ht="15">
      <c r="A260" s="81"/>
      <c r="B260" s="81"/>
      <c r="C260" s="81"/>
      <c r="D260" s="81"/>
      <c r="E260" s="81"/>
      <c r="F260" s="81"/>
      <c r="G260" s="81"/>
      <c r="H260" s="145"/>
      <c r="I260" s="145"/>
      <c r="J260" s="86"/>
      <c r="K260" s="145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ht="15">
      <c r="A261" s="81"/>
      <c r="B261" s="81"/>
      <c r="C261" s="81"/>
      <c r="D261" s="81"/>
      <c r="E261" s="81"/>
      <c r="F261" s="81"/>
      <c r="G261" s="81"/>
      <c r="H261" s="145"/>
      <c r="I261" s="145"/>
      <c r="J261" s="86"/>
      <c r="K261" s="145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ht="15">
      <c r="A262" s="81"/>
      <c r="B262" s="81"/>
      <c r="C262" s="81"/>
      <c r="D262" s="81"/>
      <c r="E262" s="81"/>
      <c r="F262" s="81"/>
      <c r="G262" s="81"/>
      <c r="H262" s="145"/>
      <c r="I262" s="145"/>
      <c r="J262" s="86"/>
      <c r="K262" s="145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ht="15">
      <c r="A263" s="81"/>
      <c r="B263" s="81"/>
      <c r="C263" s="81"/>
      <c r="D263" s="81"/>
      <c r="E263" s="81"/>
      <c r="F263" s="81"/>
      <c r="G263" s="81"/>
      <c r="H263" s="145"/>
      <c r="I263" s="145"/>
      <c r="J263" s="86"/>
      <c r="K263" s="145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ht="15">
      <c r="A264" s="81"/>
      <c r="B264" s="81"/>
      <c r="C264" s="81"/>
      <c r="D264" s="81"/>
      <c r="E264" s="81"/>
      <c r="F264" s="81"/>
      <c r="G264" s="81"/>
      <c r="H264" s="145"/>
      <c r="I264" s="145"/>
      <c r="J264" s="86"/>
      <c r="K264" s="145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ht="15">
      <c r="A265" s="81"/>
      <c r="B265" s="81"/>
      <c r="C265" s="81"/>
      <c r="D265" s="81"/>
      <c r="E265" s="81"/>
      <c r="F265" s="81"/>
      <c r="G265" s="81"/>
      <c r="H265" s="145"/>
      <c r="I265" s="145"/>
      <c r="J265" s="86"/>
      <c r="K265" s="145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ht="15">
      <c r="A266" s="81"/>
      <c r="B266" s="81"/>
      <c r="C266" s="81"/>
      <c r="D266" s="81"/>
      <c r="E266" s="81"/>
      <c r="F266" s="81"/>
      <c r="G266" s="81"/>
      <c r="H266" s="145"/>
      <c r="I266" s="145"/>
      <c r="J266" s="86"/>
      <c r="K266" s="145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ht="15">
      <c r="A267" s="81"/>
      <c r="B267" s="81"/>
      <c r="C267" s="81"/>
      <c r="D267" s="81"/>
      <c r="E267" s="81"/>
      <c r="F267" s="81"/>
      <c r="G267" s="81"/>
      <c r="H267" s="145"/>
      <c r="I267" s="145"/>
      <c r="J267" s="86"/>
      <c r="K267" s="145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ht="15">
      <c r="A268" s="81"/>
      <c r="B268" s="81"/>
      <c r="C268" s="81"/>
      <c r="D268" s="81"/>
      <c r="E268" s="81"/>
      <c r="F268" s="81"/>
      <c r="G268" s="81"/>
      <c r="H268" s="145"/>
      <c r="I268" s="145"/>
      <c r="J268" s="86"/>
      <c r="K268" s="145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ht="15">
      <c r="A269" s="81"/>
      <c r="B269" s="81"/>
      <c r="C269" s="81"/>
      <c r="D269" s="81"/>
      <c r="E269" s="81"/>
      <c r="F269" s="81"/>
      <c r="G269" s="81"/>
      <c r="H269" s="145"/>
      <c r="I269" s="145"/>
      <c r="J269" s="86"/>
      <c r="K269" s="145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ht="15">
      <c r="A270" s="81"/>
      <c r="B270" s="81"/>
      <c r="C270" s="81"/>
      <c r="D270" s="81"/>
      <c r="E270" s="81"/>
      <c r="F270" s="81"/>
      <c r="G270" s="81"/>
      <c r="H270" s="145"/>
      <c r="I270" s="145"/>
      <c r="J270" s="86"/>
      <c r="K270" s="145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ht="15">
      <c r="A271" s="81"/>
      <c r="B271" s="81"/>
      <c r="C271" s="81"/>
      <c r="D271" s="81"/>
      <c r="E271" s="81"/>
      <c r="F271" s="81"/>
      <c r="G271" s="81"/>
      <c r="H271" s="145"/>
      <c r="I271" s="145"/>
      <c r="J271" s="86"/>
      <c r="K271" s="145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ht="15">
      <c r="A272" s="81"/>
      <c r="B272" s="81"/>
      <c r="C272" s="81"/>
      <c r="D272" s="81"/>
      <c r="E272" s="81"/>
      <c r="F272" s="81"/>
      <c r="G272" s="81"/>
      <c r="H272" s="145"/>
      <c r="I272" s="145"/>
      <c r="J272" s="86"/>
      <c r="K272" s="145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ht="15">
      <c r="A273" s="81"/>
      <c r="B273" s="81"/>
      <c r="C273" s="81"/>
      <c r="D273" s="81"/>
      <c r="E273" s="81"/>
      <c r="F273" s="81"/>
      <c r="G273" s="81"/>
      <c r="H273" s="145"/>
      <c r="I273" s="145"/>
      <c r="J273" s="86"/>
      <c r="K273" s="145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ht="15">
      <c r="A274" s="81"/>
      <c r="B274" s="81"/>
      <c r="C274" s="81"/>
      <c r="D274" s="81"/>
      <c r="E274" s="81"/>
      <c r="F274" s="81"/>
      <c r="G274" s="81"/>
      <c r="H274" s="145"/>
      <c r="I274" s="145"/>
      <c r="J274" s="86"/>
      <c r="K274" s="145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ht="15">
      <c r="A275" s="81"/>
      <c r="B275" s="81"/>
      <c r="C275" s="81"/>
      <c r="D275" s="81"/>
      <c r="E275" s="81"/>
      <c r="F275" s="81"/>
      <c r="G275" s="81"/>
      <c r="H275" s="145"/>
      <c r="I275" s="145"/>
      <c r="J275" s="86"/>
      <c r="K275" s="145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ht="15">
      <c r="A276" s="81"/>
      <c r="B276" s="81"/>
      <c r="C276" s="81"/>
      <c r="D276" s="81"/>
      <c r="E276" s="81"/>
      <c r="F276" s="81"/>
      <c r="G276" s="81"/>
      <c r="H276" s="145"/>
      <c r="I276" s="145"/>
      <c r="J276" s="86"/>
      <c r="K276" s="145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ht="15">
      <c r="A277" s="81"/>
      <c r="B277" s="81"/>
      <c r="C277" s="81"/>
      <c r="D277" s="81"/>
      <c r="E277" s="81"/>
      <c r="F277" s="81"/>
      <c r="G277" s="81"/>
      <c r="H277" s="145"/>
      <c r="I277" s="145"/>
      <c r="J277" s="86"/>
      <c r="K277" s="145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ht="15">
      <c r="A278" s="81"/>
      <c r="B278" s="81"/>
      <c r="C278" s="81"/>
      <c r="D278" s="81"/>
      <c r="E278" s="81"/>
      <c r="F278" s="81"/>
      <c r="G278" s="81"/>
      <c r="H278" s="145"/>
      <c r="I278" s="145"/>
      <c r="J278" s="86"/>
      <c r="K278" s="145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ht="15">
      <c r="A279" s="81"/>
      <c r="B279" s="81"/>
      <c r="C279" s="81"/>
      <c r="D279" s="81"/>
      <c r="E279" s="81"/>
      <c r="F279" s="81"/>
      <c r="G279" s="81"/>
      <c r="H279" s="145"/>
      <c r="I279" s="145"/>
      <c r="J279" s="86"/>
      <c r="K279" s="145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ht="15">
      <c r="A280" s="81"/>
      <c r="B280" s="81"/>
      <c r="C280" s="81"/>
      <c r="D280" s="81"/>
      <c r="E280" s="81"/>
      <c r="F280" s="81"/>
      <c r="G280" s="81"/>
      <c r="H280" s="145"/>
      <c r="I280" s="145"/>
      <c r="J280" s="86"/>
      <c r="K280" s="145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ht="15">
      <c r="A281" s="81"/>
      <c r="B281" s="81"/>
      <c r="C281" s="81"/>
      <c r="D281" s="81"/>
      <c r="E281" s="81"/>
      <c r="F281" s="81"/>
      <c r="G281" s="81"/>
      <c r="H281" s="145"/>
      <c r="I281" s="145"/>
      <c r="J281" s="86"/>
      <c r="K281" s="145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ht="15">
      <c r="A282" s="81"/>
      <c r="B282" s="81"/>
      <c r="C282" s="81"/>
      <c r="D282" s="81"/>
      <c r="E282" s="81"/>
      <c r="F282" s="81"/>
      <c r="G282" s="81"/>
      <c r="H282" s="145"/>
      <c r="I282" s="145"/>
      <c r="J282" s="86"/>
      <c r="K282" s="145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ht="15">
      <c r="A283" s="81"/>
      <c r="B283" s="81"/>
      <c r="C283" s="81"/>
      <c r="D283" s="81"/>
      <c r="E283" s="81"/>
      <c r="F283" s="81"/>
      <c r="G283" s="81"/>
      <c r="H283" s="145"/>
      <c r="I283" s="145"/>
      <c r="J283" s="86"/>
      <c r="K283" s="145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ht="15">
      <c r="A284" s="81"/>
      <c r="B284" s="81"/>
      <c r="C284" s="81"/>
      <c r="D284" s="81"/>
      <c r="E284" s="81"/>
      <c r="F284" s="81"/>
      <c r="G284" s="81"/>
      <c r="H284" s="145"/>
      <c r="I284" s="145"/>
      <c r="J284" s="86"/>
      <c r="K284" s="145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ht="15">
      <c r="A285" s="81"/>
      <c r="B285" s="81"/>
      <c r="C285" s="81"/>
      <c r="D285" s="81"/>
      <c r="E285" s="81"/>
      <c r="F285" s="81"/>
      <c r="G285" s="81"/>
      <c r="H285" s="145"/>
      <c r="I285" s="145"/>
      <c r="J285" s="86"/>
      <c r="K285" s="145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ht="15">
      <c r="A286" s="81"/>
      <c r="B286" s="81"/>
      <c r="C286" s="81"/>
      <c r="D286" s="81"/>
      <c r="E286" s="81"/>
      <c r="F286" s="81"/>
      <c r="G286" s="81"/>
      <c r="H286" s="145"/>
      <c r="I286" s="145"/>
      <c r="J286" s="86"/>
      <c r="K286" s="145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ht="15">
      <c r="A287" s="81"/>
      <c r="B287" s="81"/>
      <c r="C287" s="81"/>
      <c r="D287" s="81"/>
      <c r="E287" s="81"/>
      <c r="F287" s="81"/>
      <c r="G287" s="81"/>
      <c r="H287" s="145"/>
      <c r="I287" s="145"/>
      <c r="J287" s="86"/>
      <c r="K287" s="145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ht="15">
      <c r="A288" s="81"/>
      <c r="B288" s="81"/>
      <c r="C288" s="81"/>
      <c r="D288" s="81"/>
      <c r="E288" s="81"/>
      <c r="F288" s="81"/>
      <c r="G288" s="81"/>
      <c r="H288" s="145"/>
      <c r="I288" s="145"/>
      <c r="J288" s="86"/>
      <c r="K288" s="145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ht="15">
      <c r="A289" s="81"/>
      <c r="B289" s="81"/>
      <c r="C289" s="81"/>
      <c r="D289" s="81"/>
      <c r="E289" s="81"/>
      <c r="F289" s="81"/>
      <c r="G289" s="81"/>
      <c r="H289" s="145"/>
      <c r="I289" s="145"/>
      <c r="J289" s="86"/>
      <c r="K289" s="145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ht="15">
      <c r="A290" s="81"/>
      <c r="B290" s="81"/>
      <c r="C290" s="81"/>
      <c r="D290" s="81"/>
      <c r="E290" s="81"/>
      <c r="F290" s="81"/>
      <c r="G290" s="81"/>
      <c r="H290" s="145"/>
      <c r="I290" s="145"/>
      <c r="J290" s="86"/>
      <c r="K290" s="145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ht="15">
      <c r="A291" s="81"/>
      <c r="B291" s="81"/>
      <c r="C291" s="81"/>
      <c r="D291" s="81"/>
      <c r="E291" s="81"/>
      <c r="F291" s="81"/>
      <c r="G291" s="81"/>
      <c r="H291" s="145"/>
      <c r="I291" s="145"/>
      <c r="J291" s="86"/>
      <c r="K291" s="145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ht="15">
      <c r="A292" s="81"/>
      <c r="B292" s="81"/>
      <c r="C292" s="81"/>
      <c r="D292" s="81"/>
      <c r="E292" s="81"/>
      <c r="F292" s="81"/>
      <c r="G292" s="81"/>
      <c r="H292" s="145"/>
      <c r="I292" s="145"/>
      <c r="J292" s="86"/>
      <c r="K292" s="145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ht="15">
      <c r="A293" s="81"/>
      <c r="B293" s="81"/>
      <c r="C293" s="81"/>
      <c r="D293" s="81"/>
      <c r="E293" s="81"/>
      <c r="F293" s="81"/>
      <c r="G293" s="81"/>
      <c r="H293" s="145"/>
      <c r="I293" s="145"/>
      <c r="J293" s="86"/>
      <c r="K293" s="145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ht="15">
      <c r="A294" s="81"/>
      <c r="B294" s="81"/>
      <c r="C294" s="81"/>
      <c r="D294" s="81"/>
      <c r="E294" s="81"/>
      <c r="F294" s="81"/>
      <c r="G294" s="81"/>
      <c r="H294" s="145"/>
      <c r="I294" s="145"/>
      <c r="J294" s="86"/>
      <c r="K294" s="145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ht="15">
      <c r="A295" s="81"/>
      <c r="B295" s="81"/>
      <c r="C295" s="81"/>
      <c r="D295" s="81"/>
      <c r="E295" s="81"/>
      <c r="F295" s="81"/>
      <c r="G295" s="81"/>
      <c r="H295" s="145"/>
      <c r="I295" s="145"/>
      <c r="J295" s="86"/>
      <c r="K295" s="145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ht="15">
      <c r="A296" s="81"/>
      <c r="B296" s="81"/>
      <c r="C296" s="81"/>
      <c r="D296" s="81"/>
      <c r="E296" s="81"/>
      <c r="F296" s="81"/>
      <c r="G296" s="81"/>
      <c r="H296" s="145"/>
      <c r="I296" s="145"/>
      <c r="J296" s="86"/>
      <c r="K296" s="145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ht="15">
      <c r="A297" s="81"/>
      <c r="B297" s="81"/>
      <c r="C297" s="81"/>
      <c r="D297" s="81"/>
      <c r="E297" s="81"/>
      <c r="F297" s="81"/>
      <c r="G297" s="81"/>
      <c r="H297" s="145"/>
      <c r="I297" s="145"/>
      <c r="J297" s="86"/>
      <c r="K297" s="145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ht="15">
      <c r="A298" s="81"/>
      <c r="B298" s="81"/>
      <c r="C298" s="81"/>
      <c r="D298" s="81"/>
      <c r="E298" s="81"/>
      <c r="F298" s="81"/>
      <c r="G298" s="81"/>
      <c r="H298" s="145"/>
      <c r="I298" s="145"/>
      <c r="J298" s="86"/>
      <c r="K298" s="145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ht="15">
      <c r="A299" s="81"/>
      <c r="B299" s="81"/>
      <c r="C299" s="81"/>
      <c r="D299" s="81"/>
      <c r="E299" s="81"/>
      <c r="F299" s="81"/>
      <c r="G299" s="81"/>
      <c r="H299" s="145"/>
      <c r="I299" s="145"/>
      <c r="J299" s="86"/>
      <c r="K299" s="145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ht="15">
      <c r="A300" s="81"/>
      <c r="B300" s="81"/>
      <c r="C300" s="81"/>
      <c r="D300" s="81"/>
      <c r="E300" s="81"/>
      <c r="F300" s="81"/>
      <c r="G300" s="81"/>
      <c r="H300" s="145"/>
      <c r="I300" s="145"/>
      <c r="J300" s="86"/>
      <c r="K300" s="145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ht="15">
      <c r="A301" s="81"/>
      <c r="B301" s="81"/>
      <c r="C301" s="81"/>
      <c r="D301" s="81"/>
      <c r="E301" s="81"/>
      <c r="F301" s="81"/>
      <c r="G301" s="81"/>
      <c r="H301" s="145"/>
      <c r="I301" s="145"/>
      <c r="J301" s="86"/>
      <c r="K301" s="145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ht="15">
      <c r="A302" s="81"/>
      <c r="B302" s="81"/>
      <c r="C302" s="81"/>
      <c r="D302" s="81"/>
      <c r="E302" s="81"/>
      <c r="F302" s="81"/>
      <c r="G302" s="81"/>
      <c r="H302" s="145"/>
      <c r="I302" s="145"/>
      <c r="J302" s="86"/>
      <c r="K302" s="145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ht="15">
      <c r="A303" s="81"/>
      <c r="B303" s="81"/>
      <c r="C303" s="81"/>
      <c r="D303" s="81"/>
      <c r="E303" s="81"/>
      <c r="F303" s="81"/>
      <c r="G303" s="81"/>
      <c r="H303" s="145"/>
      <c r="I303" s="145"/>
      <c r="J303" s="86"/>
      <c r="K303" s="145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ht="15">
      <c r="A304" s="81"/>
      <c r="B304" s="81"/>
      <c r="C304" s="81"/>
      <c r="D304" s="81"/>
      <c r="E304" s="81"/>
      <c r="F304" s="81"/>
      <c r="G304" s="81"/>
      <c r="H304" s="145"/>
      <c r="I304" s="145"/>
      <c r="J304" s="86"/>
      <c r="K304" s="145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ht="15">
      <c r="A305" s="81"/>
      <c r="B305" s="81"/>
      <c r="C305" s="81"/>
      <c r="D305" s="81"/>
      <c r="E305" s="81"/>
      <c r="F305" s="81"/>
      <c r="G305" s="81"/>
      <c r="H305" s="145"/>
      <c r="I305" s="145"/>
      <c r="J305" s="86"/>
      <c r="K305" s="145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ht="15">
      <c r="A306" s="81"/>
      <c r="B306" s="81"/>
      <c r="C306" s="81"/>
      <c r="D306" s="81"/>
      <c r="E306" s="81"/>
      <c r="F306" s="81"/>
      <c r="G306" s="81"/>
      <c r="H306" s="145"/>
      <c r="I306" s="145"/>
      <c r="J306" s="86"/>
      <c r="K306" s="145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ht="15">
      <c r="A307" s="81"/>
      <c r="B307" s="81"/>
      <c r="C307" s="81"/>
      <c r="D307" s="81"/>
      <c r="E307" s="81"/>
      <c r="F307" s="81"/>
      <c r="G307" s="81"/>
      <c r="H307" s="145"/>
      <c r="I307" s="145"/>
      <c r="J307" s="86"/>
      <c r="K307" s="145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ht="15">
      <c r="A308" s="81"/>
      <c r="B308" s="81"/>
      <c r="C308" s="81"/>
      <c r="D308" s="81"/>
      <c r="E308" s="81"/>
      <c r="F308" s="81"/>
      <c r="G308" s="81"/>
      <c r="H308" s="145"/>
      <c r="I308" s="145"/>
      <c r="J308" s="86"/>
      <c r="K308" s="145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ht="15">
      <c r="A309" s="81"/>
      <c r="B309" s="81"/>
      <c r="C309" s="81"/>
      <c r="D309" s="81"/>
      <c r="E309" s="81"/>
      <c r="F309" s="81"/>
      <c r="G309" s="81"/>
      <c r="H309" s="145"/>
      <c r="I309" s="145"/>
      <c r="J309" s="86"/>
      <c r="K309" s="145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ht="15">
      <c r="A310" s="81"/>
      <c r="B310" s="81"/>
      <c r="C310" s="81"/>
      <c r="D310" s="81"/>
      <c r="E310" s="81"/>
      <c r="F310" s="81"/>
      <c r="G310" s="81"/>
      <c r="H310" s="145"/>
      <c r="I310" s="145"/>
      <c r="J310" s="86"/>
      <c r="K310" s="145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ht="15">
      <c r="A311" s="81"/>
      <c r="B311" s="81"/>
      <c r="C311" s="81"/>
      <c r="D311" s="81"/>
      <c r="E311" s="81"/>
      <c r="F311" s="81"/>
      <c r="G311" s="81"/>
      <c r="H311" s="145"/>
      <c r="I311" s="145"/>
      <c r="J311" s="86"/>
      <c r="K311" s="145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ht="15">
      <c r="A312" s="81"/>
      <c r="B312" s="81"/>
      <c r="C312" s="81"/>
      <c r="D312" s="81"/>
      <c r="E312" s="81"/>
      <c r="F312" s="81"/>
      <c r="G312" s="81"/>
      <c r="H312" s="145"/>
      <c r="I312" s="145"/>
      <c r="J312" s="86"/>
      <c r="K312" s="145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ht="15">
      <c r="A313" s="81"/>
      <c r="B313" s="81"/>
      <c r="C313" s="81"/>
      <c r="D313" s="81"/>
      <c r="E313" s="81"/>
      <c r="F313" s="81"/>
      <c r="G313" s="81"/>
      <c r="H313" s="145"/>
      <c r="I313" s="145"/>
      <c r="J313" s="86"/>
      <c r="K313" s="145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ht="15">
      <c r="A314" s="81"/>
      <c r="B314" s="81"/>
      <c r="C314" s="81"/>
      <c r="D314" s="81"/>
      <c r="E314" s="81"/>
      <c r="F314" s="81"/>
      <c r="G314" s="81"/>
      <c r="H314" s="145"/>
      <c r="I314" s="145"/>
      <c r="J314" s="86"/>
      <c r="K314" s="145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ht="15">
      <c r="A315" s="81"/>
      <c r="B315" s="81"/>
      <c r="C315" s="81"/>
      <c r="D315" s="81"/>
      <c r="E315" s="81"/>
      <c r="F315" s="81"/>
      <c r="G315" s="81"/>
      <c r="H315" s="145"/>
      <c r="I315" s="145"/>
      <c r="J315" s="86"/>
      <c r="K315" s="145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ht="15">
      <c r="A316" s="81"/>
      <c r="B316" s="81"/>
      <c r="C316" s="81"/>
      <c r="D316" s="81"/>
      <c r="E316" s="81"/>
      <c r="F316" s="81"/>
      <c r="G316" s="81"/>
      <c r="H316" s="145"/>
      <c r="I316" s="145"/>
      <c r="J316" s="86"/>
      <c r="K316" s="145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ht="15">
      <c r="A317" s="81"/>
      <c r="B317" s="81"/>
      <c r="C317" s="81"/>
      <c r="D317" s="81"/>
      <c r="E317" s="81"/>
      <c r="F317" s="81"/>
      <c r="G317" s="81"/>
      <c r="H317" s="145"/>
      <c r="I317" s="145"/>
      <c r="J317" s="86"/>
      <c r="K317" s="145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ht="15">
      <c r="A318" s="81"/>
      <c r="B318" s="81"/>
      <c r="C318" s="81"/>
      <c r="D318" s="81"/>
      <c r="E318" s="81"/>
      <c r="F318" s="81"/>
      <c r="G318" s="81"/>
      <c r="H318" s="145"/>
      <c r="I318" s="145"/>
      <c r="J318" s="86"/>
      <c r="K318" s="145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ht="15">
      <c r="A319" s="81"/>
      <c r="B319" s="81"/>
      <c r="C319" s="81"/>
      <c r="D319" s="81"/>
      <c r="E319" s="81"/>
      <c r="F319" s="81"/>
      <c r="G319" s="81"/>
      <c r="H319" s="145"/>
      <c r="I319" s="145"/>
      <c r="J319" s="86"/>
      <c r="K319" s="145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ht="15">
      <c r="A320" s="81"/>
      <c r="B320" s="81"/>
      <c r="C320" s="81"/>
      <c r="D320" s="81"/>
      <c r="E320" s="81"/>
      <c r="F320" s="81"/>
      <c r="G320" s="81"/>
      <c r="H320" s="145"/>
      <c r="I320" s="145"/>
      <c r="J320" s="86"/>
      <c r="K320" s="145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ht="15">
      <c r="A321" s="81"/>
      <c r="B321" s="81"/>
      <c r="C321" s="81"/>
      <c r="D321" s="81"/>
      <c r="E321" s="81"/>
      <c r="F321" s="81"/>
      <c r="G321" s="81"/>
      <c r="H321" s="145"/>
      <c r="I321" s="145"/>
      <c r="J321" s="86"/>
      <c r="K321" s="145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ht="15">
      <c r="A322" s="81"/>
      <c r="B322" s="81"/>
      <c r="C322" s="81"/>
      <c r="D322" s="81"/>
      <c r="E322" s="81"/>
      <c r="F322" s="81"/>
      <c r="G322" s="81"/>
      <c r="H322" s="145"/>
      <c r="I322" s="145"/>
      <c r="J322" s="86"/>
      <c r="K322" s="145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ht="15">
      <c r="A323" s="81"/>
      <c r="B323" s="81"/>
      <c r="C323" s="81"/>
      <c r="D323" s="81"/>
      <c r="E323" s="81"/>
      <c r="F323" s="81"/>
      <c r="G323" s="81"/>
      <c r="H323" s="145"/>
      <c r="I323" s="145"/>
      <c r="J323" s="86"/>
      <c r="K323" s="145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ht="15">
      <c r="A324" s="81"/>
      <c r="B324" s="81"/>
      <c r="C324" s="81"/>
      <c r="D324" s="81"/>
      <c r="E324" s="81"/>
      <c r="F324" s="81"/>
      <c r="G324" s="81"/>
      <c r="H324" s="145"/>
      <c r="I324" s="145"/>
      <c r="J324" s="86"/>
      <c r="K324" s="145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ht="15">
      <c r="A325" s="81"/>
      <c r="B325" s="81"/>
      <c r="C325" s="81"/>
      <c r="D325" s="81"/>
      <c r="E325" s="81"/>
      <c r="F325" s="81"/>
      <c r="G325" s="81"/>
      <c r="H325" s="145"/>
      <c r="I325" s="145"/>
      <c r="J325" s="86"/>
      <c r="K325" s="145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ht="15">
      <c r="A326" s="81"/>
      <c r="B326" s="81"/>
      <c r="C326" s="81"/>
      <c r="D326" s="81"/>
      <c r="E326" s="81"/>
      <c r="F326" s="81"/>
      <c r="G326" s="81"/>
      <c r="H326" s="145"/>
      <c r="I326" s="145"/>
      <c r="J326" s="86"/>
      <c r="K326" s="145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ht="15">
      <c r="A327" s="81"/>
      <c r="B327" s="81"/>
      <c r="C327" s="81"/>
      <c r="D327" s="81"/>
      <c r="E327" s="81"/>
      <c r="F327" s="81"/>
      <c r="G327" s="81"/>
      <c r="H327" s="145"/>
      <c r="I327" s="145"/>
      <c r="J327" s="86"/>
      <c r="K327" s="145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ht="15">
      <c r="A328" s="81"/>
      <c r="B328" s="81"/>
      <c r="C328" s="81"/>
      <c r="D328" s="81"/>
      <c r="E328" s="81"/>
      <c r="F328" s="81"/>
      <c r="G328" s="81"/>
      <c r="H328" s="145"/>
      <c r="I328" s="145"/>
      <c r="J328" s="86"/>
      <c r="K328" s="145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ht="15">
      <c r="A329" s="81"/>
      <c r="B329" s="81"/>
      <c r="C329" s="81"/>
      <c r="D329" s="81"/>
      <c r="E329" s="81"/>
      <c r="F329" s="81"/>
      <c r="G329" s="81"/>
      <c r="H329" s="145"/>
      <c r="I329" s="145"/>
      <c r="J329" s="86"/>
      <c r="K329" s="145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ht="15">
      <c r="A330" s="81"/>
      <c r="B330" s="81"/>
      <c r="C330" s="81"/>
      <c r="D330" s="81"/>
      <c r="E330" s="81"/>
      <c r="F330" s="81"/>
      <c r="G330" s="81"/>
      <c r="H330" s="145"/>
      <c r="I330" s="145"/>
      <c r="J330" s="86"/>
      <c r="K330" s="145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ht="15">
      <c r="A331" s="81"/>
      <c r="B331" s="81"/>
      <c r="C331" s="81"/>
      <c r="D331" s="81"/>
      <c r="E331" s="81"/>
      <c r="F331" s="81"/>
      <c r="G331" s="81"/>
      <c r="H331" s="145"/>
      <c r="I331" s="145"/>
      <c r="J331" s="86"/>
      <c r="K331" s="145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ht="15">
      <c r="A332" s="81"/>
      <c r="B332" s="81"/>
      <c r="C332" s="81"/>
      <c r="D332" s="81"/>
      <c r="E332" s="81"/>
      <c r="F332" s="81"/>
      <c r="G332" s="81"/>
      <c r="H332" s="145"/>
      <c r="I332" s="145"/>
      <c r="J332" s="86"/>
      <c r="K332" s="145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ht="15">
      <c r="A333" s="81"/>
      <c r="B333" s="81"/>
      <c r="C333" s="81"/>
      <c r="D333" s="81"/>
      <c r="E333" s="81"/>
      <c r="F333" s="81"/>
      <c r="G333" s="81"/>
      <c r="H333" s="145"/>
      <c r="I333" s="145"/>
      <c r="J333" s="86"/>
      <c r="K333" s="145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ht="15">
      <c r="A334" s="81"/>
      <c r="B334" s="81"/>
      <c r="C334" s="81"/>
      <c r="D334" s="81"/>
      <c r="E334" s="81"/>
      <c r="F334" s="81"/>
      <c r="G334" s="81"/>
      <c r="H334" s="145"/>
      <c r="I334" s="145"/>
      <c r="J334" s="86"/>
      <c r="K334" s="145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ht="15">
      <c r="A335" s="81"/>
      <c r="B335" s="81"/>
      <c r="C335" s="81"/>
      <c r="D335" s="81"/>
      <c r="E335" s="81"/>
      <c r="F335" s="81"/>
      <c r="G335" s="81"/>
      <c r="H335" s="145"/>
      <c r="I335" s="145"/>
      <c r="J335" s="86"/>
      <c r="K335" s="145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ht="15">
      <c r="A336" s="81"/>
      <c r="B336" s="81"/>
      <c r="C336" s="81"/>
      <c r="D336" s="81"/>
      <c r="E336" s="81"/>
      <c r="F336" s="81"/>
      <c r="G336" s="81"/>
      <c r="H336" s="145"/>
      <c r="I336" s="145"/>
      <c r="J336" s="86"/>
      <c r="K336" s="145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ht="15">
      <c r="A337" s="81"/>
      <c r="B337" s="81"/>
      <c r="C337" s="81"/>
      <c r="D337" s="81"/>
      <c r="E337" s="81"/>
      <c r="F337" s="81"/>
      <c r="G337" s="81"/>
      <c r="H337" s="145"/>
      <c r="I337" s="145"/>
      <c r="J337" s="86"/>
      <c r="K337" s="145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ht="15">
      <c r="A338" s="81"/>
      <c r="B338" s="81"/>
      <c r="C338" s="81"/>
      <c r="D338" s="81"/>
      <c r="E338" s="81"/>
      <c r="F338" s="81"/>
      <c r="G338" s="81"/>
      <c r="H338" s="145"/>
      <c r="I338" s="145"/>
      <c r="J338" s="86"/>
      <c r="K338" s="145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ht="15">
      <c r="A339" s="81"/>
      <c r="B339" s="81"/>
      <c r="C339" s="81"/>
      <c r="D339" s="81"/>
      <c r="E339" s="81"/>
      <c r="F339" s="81"/>
      <c r="G339" s="81"/>
      <c r="H339" s="145"/>
      <c r="I339" s="145"/>
      <c r="J339" s="86"/>
      <c r="K339" s="145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ht="15">
      <c r="A340" s="81"/>
      <c r="B340" s="81"/>
      <c r="C340" s="81"/>
      <c r="D340" s="81"/>
      <c r="E340" s="81"/>
      <c r="F340" s="81"/>
      <c r="G340" s="81"/>
      <c r="H340" s="145"/>
      <c r="I340" s="145"/>
      <c r="J340" s="86"/>
      <c r="K340" s="145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ht="15">
      <c r="A341" s="81"/>
      <c r="B341" s="81"/>
      <c r="C341" s="81"/>
      <c r="D341" s="81"/>
      <c r="E341" s="81"/>
      <c r="F341" s="81"/>
      <c r="G341" s="81"/>
      <c r="H341" s="145"/>
      <c r="I341" s="145"/>
      <c r="J341" s="86"/>
      <c r="K341" s="145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ht="15">
      <c r="A342" s="81"/>
      <c r="B342" s="81"/>
      <c r="C342" s="81"/>
      <c r="D342" s="81"/>
      <c r="E342" s="81"/>
      <c r="F342" s="81"/>
      <c r="G342" s="81"/>
      <c r="H342" s="145"/>
      <c r="I342" s="145"/>
      <c r="J342" s="86"/>
      <c r="K342" s="145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ht="15">
      <c r="A343" s="81"/>
      <c r="B343" s="81"/>
      <c r="C343" s="81"/>
      <c r="D343" s="81"/>
      <c r="E343" s="81"/>
      <c r="F343" s="81"/>
      <c r="G343" s="81"/>
      <c r="H343" s="145"/>
      <c r="I343" s="145"/>
      <c r="J343" s="86"/>
      <c r="K343" s="145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ht="15">
      <c r="A344" s="81"/>
      <c r="B344" s="81"/>
      <c r="C344" s="81"/>
      <c r="D344" s="81"/>
      <c r="E344" s="81"/>
      <c r="F344" s="81"/>
      <c r="G344" s="81"/>
      <c r="H344" s="145"/>
      <c r="I344" s="145"/>
      <c r="J344" s="86"/>
      <c r="K344" s="145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ht="15">
      <c r="A345" s="81"/>
      <c r="B345" s="81"/>
      <c r="C345" s="81"/>
      <c r="D345" s="81"/>
      <c r="E345" s="81"/>
      <c r="F345" s="81"/>
      <c r="G345" s="81"/>
      <c r="H345" s="145"/>
      <c r="I345" s="145"/>
      <c r="J345" s="86"/>
      <c r="K345" s="145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ht="15">
      <c r="A346" s="81"/>
      <c r="B346" s="81"/>
      <c r="C346" s="81"/>
      <c r="D346" s="81"/>
      <c r="E346" s="81"/>
      <c r="F346" s="81"/>
      <c r="G346" s="81"/>
      <c r="H346" s="145"/>
      <c r="I346" s="145"/>
      <c r="J346" s="86"/>
      <c r="K346" s="145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ht="15">
      <c r="A347" s="81"/>
      <c r="B347" s="81"/>
      <c r="C347" s="81"/>
      <c r="D347" s="81"/>
      <c r="E347" s="81"/>
      <c r="F347" s="81"/>
      <c r="G347" s="81"/>
      <c r="H347" s="145"/>
      <c r="I347" s="145"/>
      <c r="J347" s="86"/>
      <c r="K347" s="145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ht="15">
      <c r="A348" s="81"/>
      <c r="B348" s="81"/>
      <c r="C348" s="81"/>
      <c r="D348" s="81"/>
      <c r="E348" s="81"/>
      <c r="F348" s="81"/>
      <c r="G348" s="81"/>
      <c r="H348" s="145"/>
      <c r="I348" s="145"/>
      <c r="J348" s="86"/>
      <c r="K348" s="145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ht="15">
      <c r="A349" s="81"/>
      <c r="B349" s="81"/>
      <c r="C349" s="81"/>
      <c r="D349" s="81"/>
      <c r="E349" s="81"/>
      <c r="F349" s="81"/>
      <c r="G349" s="81"/>
      <c r="H349" s="145"/>
      <c r="I349" s="145"/>
      <c r="J349" s="86"/>
      <c r="K349" s="145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ht="15">
      <c r="A350" s="81"/>
      <c r="B350" s="81"/>
      <c r="C350" s="81"/>
      <c r="D350" s="81"/>
      <c r="E350" s="81"/>
      <c r="F350" s="81"/>
      <c r="G350" s="81"/>
      <c r="H350" s="145"/>
      <c r="I350" s="145"/>
      <c r="J350" s="86"/>
      <c r="K350" s="145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ht="15">
      <c r="A351" s="81"/>
      <c r="B351" s="81"/>
      <c r="C351" s="81"/>
      <c r="D351" s="81"/>
      <c r="E351" s="81"/>
      <c r="F351" s="81"/>
      <c r="G351" s="81"/>
      <c r="H351" s="145"/>
      <c r="I351" s="145"/>
      <c r="J351" s="86"/>
      <c r="K351" s="145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ht="15">
      <c r="A352" s="81"/>
      <c r="B352" s="81"/>
      <c r="C352" s="81"/>
      <c r="D352" s="81"/>
      <c r="E352" s="81"/>
      <c r="F352" s="81"/>
      <c r="G352" s="81"/>
      <c r="H352" s="145"/>
      <c r="I352" s="145"/>
      <c r="J352" s="86"/>
      <c r="K352" s="145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ht="15">
      <c r="A353" s="81"/>
      <c r="B353" s="81"/>
      <c r="C353" s="81"/>
      <c r="D353" s="81"/>
      <c r="E353" s="81"/>
      <c r="F353" s="81"/>
      <c r="G353" s="81"/>
      <c r="H353" s="145"/>
      <c r="I353" s="145"/>
      <c r="J353" s="86"/>
      <c r="K353" s="145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ht="15">
      <c r="A354" s="81"/>
      <c r="B354" s="81"/>
      <c r="C354" s="81"/>
      <c r="D354" s="81"/>
      <c r="E354" s="81"/>
      <c r="F354" s="81"/>
      <c r="G354" s="81"/>
      <c r="H354" s="145"/>
      <c r="I354" s="145"/>
      <c r="J354" s="86"/>
      <c r="K354" s="145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ht="15">
      <c r="A355" s="81"/>
      <c r="B355" s="81"/>
      <c r="C355" s="81"/>
      <c r="D355" s="81"/>
      <c r="E355" s="81"/>
      <c r="F355" s="81"/>
      <c r="G355" s="81"/>
      <c r="H355" s="145"/>
      <c r="I355" s="145"/>
      <c r="J355" s="86"/>
      <c r="K355" s="145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ht="15">
      <c r="A356" s="81"/>
      <c r="B356" s="81"/>
      <c r="C356" s="81"/>
      <c r="D356" s="81"/>
      <c r="E356" s="81"/>
      <c r="F356" s="81"/>
      <c r="G356" s="81"/>
      <c r="H356" s="145"/>
      <c r="I356" s="145"/>
      <c r="J356" s="86"/>
      <c r="K356" s="145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ht="15">
      <c r="A357" s="81"/>
      <c r="B357" s="81"/>
      <c r="C357" s="81"/>
      <c r="D357" s="81"/>
      <c r="E357" s="81"/>
      <c r="F357" s="81"/>
      <c r="G357" s="81"/>
      <c r="H357" s="145"/>
      <c r="I357" s="145"/>
      <c r="J357" s="86"/>
      <c r="K357" s="145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ht="15">
      <c r="A358" s="81"/>
      <c r="B358" s="81"/>
      <c r="C358" s="81"/>
      <c r="D358" s="81"/>
      <c r="E358" s="81"/>
      <c r="F358" s="81"/>
      <c r="G358" s="81"/>
      <c r="H358" s="145"/>
      <c r="I358" s="145"/>
      <c r="J358" s="86"/>
      <c r="K358" s="145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ht="15">
      <c r="A359" s="81"/>
      <c r="B359" s="81"/>
      <c r="C359" s="81"/>
      <c r="D359" s="81"/>
      <c r="E359" s="81"/>
      <c r="F359" s="81"/>
      <c r="G359" s="81"/>
      <c r="H359" s="145"/>
      <c r="I359" s="145"/>
      <c r="J359" s="86"/>
      <c r="K359" s="145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ht="15">
      <c r="A360" s="81"/>
      <c r="B360" s="81"/>
      <c r="C360" s="81"/>
      <c r="D360" s="81"/>
      <c r="E360" s="81"/>
      <c r="F360" s="81"/>
      <c r="G360" s="81"/>
      <c r="H360" s="145"/>
      <c r="I360" s="145"/>
      <c r="J360" s="86"/>
      <c r="K360" s="145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ht="15">
      <c r="A361" s="81"/>
      <c r="B361" s="81"/>
      <c r="C361" s="81"/>
      <c r="D361" s="81"/>
      <c r="E361" s="81"/>
      <c r="F361" s="81"/>
      <c r="G361" s="81"/>
      <c r="H361" s="145"/>
      <c r="I361" s="145"/>
      <c r="J361" s="86"/>
      <c r="K361" s="145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ht="15">
      <c r="A362" s="81"/>
      <c r="B362" s="81"/>
      <c r="C362" s="81"/>
      <c r="D362" s="81"/>
      <c r="E362" s="81"/>
      <c r="F362" s="81"/>
      <c r="G362" s="81"/>
      <c r="H362" s="145"/>
      <c r="I362" s="145"/>
      <c r="J362" s="86"/>
      <c r="K362" s="145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ht="15">
      <c r="A363" s="81"/>
      <c r="B363" s="81"/>
      <c r="C363" s="81"/>
      <c r="D363" s="81"/>
      <c r="E363" s="81"/>
      <c r="F363" s="81"/>
      <c r="G363" s="81"/>
      <c r="H363" s="145"/>
      <c r="I363" s="145"/>
      <c r="J363" s="86"/>
      <c r="K363" s="145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ht="15">
      <c r="A364" s="81"/>
      <c r="B364" s="81"/>
      <c r="C364" s="81"/>
      <c r="D364" s="81"/>
      <c r="E364" s="81"/>
      <c r="F364" s="81"/>
      <c r="G364" s="81"/>
      <c r="H364" s="145"/>
      <c r="I364" s="145"/>
      <c r="J364" s="86"/>
      <c r="K364" s="145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ht="15">
      <c r="A365" s="81"/>
      <c r="B365" s="81"/>
      <c r="C365" s="81"/>
      <c r="D365" s="81"/>
      <c r="E365" s="81"/>
      <c r="F365" s="81"/>
      <c r="G365" s="81"/>
      <c r="H365" s="145"/>
      <c r="I365" s="145"/>
      <c r="J365" s="86"/>
      <c r="K365" s="145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ht="15">
      <c r="A366" s="81"/>
      <c r="B366" s="81"/>
      <c r="C366" s="81"/>
      <c r="D366" s="81"/>
      <c r="E366" s="81"/>
      <c r="F366" s="81"/>
      <c r="G366" s="81"/>
      <c r="H366" s="145"/>
      <c r="I366" s="145"/>
      <c r="J366" s="86"/>
      <c r="K366" s="145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ht="15">
      <c r="A367" s="81"/>
      <c r="B367" s="81"/>
      <c r="C367" s="81"/>
      <c r="D367" s="81"/>
      <c r="E367" s="81"/>
      <c r="F367" s="81"/>
      <c r="G367" s="81"/>
      <c r="H367" s="145"/>
      <c r="I367" s="145"/>
      <c r="J367" s="86"/>
      <c r="K367" s="145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ht="15">
      <c r="A368" s="81"/>
      <c r="B368" s="81"/>
      <c r="C368" s="81"/>
      <c r="D368" s="81"/>
      <c r="E368" s="81"/>
      <c r="F368" s="81"/>
      <c r="G368" s="81"/>
      <c r="H368" s="145"/>
      <c r="I368" s="145"/>
      <c r="J368" s="86"/>
      <c r="K368" s="145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ht="15">
      <c r="A369" s="81"/>
      <c r="B369" s="81"/>
      <c r="C369" s="81"/>
      <c r="D369" s="81"/>
      <c r="E369" s="81"/>
      <c r="F369" s="81"/>
      <c r="G369" s="81"/>
      <c r="H369" s="145"/>
      <c r="I369" s="145"/>
      <c r="J369" s="86"/>
      <c r="K369" s="145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ht="15">
      <c r="A370" s="81"/>
      <c r="B370" s="81"/>
      <c r="C370" s="81"/>
      <c r="D370" s="81"/>
      <c r="E370" s="81"/>
      <c r="F370" s="81"/>
      <c r="G370" s="81"/>
      <c r="H370" s="145"/>
      <c r="I370" s="145"/>
      <c r="J370" s="86"/>
      <c r="K370" s="145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ht="15">
      <c r="A371" s="81"/>
      <c r="B371" s="81"/>
      <c r="C371" s="81"/>
      <c r="D371" s="81"/>
      <c r="E371" s="81"/>
      <c r="F371" s="81"/>
      <c r="G371" s="81"/>
      <c r="H371" s="145"/>
      <c r="I371" s="145"/>
      <c r="J371" s="86"/>
      <c r="K371" s="145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ht="15">
      <c r="A372" s="81"/>
      <c r="B372" s="81"/>
      <c r="C372" s="81"/>
      <c r="D372" s="81"/>
      <c r="E372" s="81"/>
      <c r="F372" s="81"/>
      <c r="G372" s="81"/>
      <c r="H372" s="145"/>
      <c r="I372" s="145"/>
      <c r="J372" s="86"/>
      <c r="K372" s="145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ht="15">
      <c r="A373" s="81"/>
      <c r="B373" s="81"/>
      <c r="C373" s="81"/>
      <c r="D373" s="81"/>
      <c r="E373" s="81"/>
      <c r="F373" s="81"/>
      <c r="G373" s="81"/>
      <c r="H373" s="145"/>
      <c r="I373" s="145"/>
      <c r="J373" s="86"/>
      <c r="K373" s="145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ht="15">
      <c r="A374" s="81"/>
      <c r="B374" s="81"/>
      <c r="C374" s="81"/>
      <c r="D374" s="81"/>
      <c r="E374" s="81"/>
      <c r="F374" s="81"/>
      <c r="G374" s="81"/>
      <c r="H374" s="145"/>
      <c r="I374" s="145"/>
      <c r="J374" s="86"/>
      <c r="K374" s="145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ht="15">
      <c r="A375" s="81"/>
      <c r="B375" s="81"/>
      <c r="C375" s="81"/>
      <c r="D375" s="81"/>
      <c r="E375" s="81"/>
      <c r="F375" s="81"/>
      <c r="G375" s="81"/>
      <c r="H375" s="145"/>
      <c r="I375" s="145"/>
      <c r="J375" s="86"/>
      <c r="K375" s="145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ht="15">
      <c r="A376" s="81"/>
      <c r="B376" s="81"/>
      <c r="C376" s="81"/>
      <c r="D376" s="81"/>
      <c r="E376" s="81"/>
      <c r="F376" s="81"/>
      <c r="G376" s="81"/>
      <c r="H376" s="145"/>
      <c r="I376" s="145"/>
      <c r="J376" s="86"/>
      <c r="K376" s="145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ht="15">
      <c r="A377" s="81"/>
      <c r="B377" s="81"/>
      <c r="C377" s="81"/>
      <c r="D377" s="81"/>
      <c r="E377" s="81"/>
      <c r="F377" s="81"/>
      <c r="G377" s="81"/>
      <c r="H377" s="145"/>
      <c r="I377" s="145"/>
      <c r="J377" s="86"/>
      <c r="K377" s="145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ht="15">
      <c r="A378" s="81"/>
      <c r="B378" s="81"/>
      <c r="C378" s="81"/>
      <c r="D378" s="81"/>
      <c r="E378" s="81"/>
      <c r="F378" s="81"/>
      <c r="G378" s="81"/>
      <c r="H378" s="145"/>
      <c r="I378" s="145"/>
      <c r="J378" s="86"/>
      <c r="K378" s="145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ht="15">
      <c r="A379" s="81"/>
      <c r="B379" s="81"/>
      <c r="C379" s="81"/>
      <c r="D379" s="81"/>
      <c r="E379" s="81"/>
      <c r="F379" s="81"/>
      <c r="G379" s="81"/>
      <c r="H379" s="145"/>
      <c r="I379" s="145"/>
      <c r="J379" s="86"/>
      <c r="K379" s="145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ht="15">
      <c r="A380" s="81"/>
      <c r="B380" s="81"/>
      <c r="C380" s="81"/>
      <c r="D380" s="81"/>
      <c r="E380" s="81"/>
      <c r="F380" s="81"/>
      <c r="G380" s="81"/>
      <c r="H380" s="145"/>
      <c r="I380" s="145"/>
      <c r="J380" s="86"/>
      <c r="K380" s="145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ht="15">
      <c r="A381" s="81"/>
      <c r="B381" s="81"/>
      <c r="C381" s="81"/>
      <c r="D381" s="81"/>
      <c r="E381" s="81"/>
      <c r="F381" s="81"/>
      <c r="G381" s="81"/>
      <c r="H381" s="145"/>
      <c r="I381" s="145"/>
      <c r="J381" s="86"/>
      <c r="K381" s="145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ht="15">
      <c r="A382" s="81"/>
      <c r="B382" s="81"/>
      <c r="C382" s="81"/>
      <c r="D382" s="81"/>
      <c r="E382" s="81"/>
      <c r="F382" s="81"/>
      <c r="G382" s="81"/>
      <c r="H382" s="145"/>
      <c r="I382" s="145"/>
      <c r="J382" s="86"/>
      <c r="K382" s="145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ht="15">
      <c r="A383" s="81"/>
      <c r="B383" s="81"/>
      <c r="C383" s="81"/>
      <c r="D383" s="81"/>
      <c r="E383" s="81"/>
      <c r="F383" s="81"/>
      <c r="G383" s="81"/>
      <c r="H383" s="145"/>
      <c r="I383" s="145"/>
      <c r="J383" s="86"/>
      <c r="K383" s="145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ht="15">
      <c r="A384" s="81"/>
      <c r="B384" s="81"/>
      <c r="C384" s="81"/>
      <c r="D384" s="81"/>
      <c r="E384" s="81"/>
      <c r="F384" s="81"/>
      <c r="G384" s="81"/>
      <c r="H384" s="145"/>
      <c r="I384" s="145"/>
      <c r="J384" s="86"/>
      <c r="K384" s="145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ht="15">
      <c r="A385" s="81"/>
      <c r="B385" s="81"/>
      <c r="C385" s="81"/>
      <c r="D385" s="81"/>
      <c r="E385" s="81"/>
      <c r="F385" s="81"/>
      <c r="G385" s="81"/>
      <c r="H385" s="145"/>
      <c r="I385" s="145"/>
      <c r="J385" s="86"/>
      <c r="K385" s="145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ht="15">
      <c r="A386" s="81"/>
      <c r="B386" s="81"/>
      <c r="C386" s="81"/>
      <c r="D386" s="81"/>
      <c r="E386" s="81"/>
      <c r="F386" s="81"/>
      <c r="G386" s="81"/>
      <c r="H386" s="145"/>
      <c r="I386" s="145"/>
      <c r="J386" s="86"/>
      <c r="K386" s="145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ht="15">
      <c r="A387" s="81"/>
      <c r="B387" s="81"/>
      <c r="C387" s="81"/>
      <c r="D387" s="81"/>
      <c r="E387" s="81"/>
      <c r="F387" s="81"/>
      <c r="G387" s="81"/>
      <c r="H387" s="145"/>
      <c r="I387" s="145"/>
      <c r="J387" s="86"/>
      <c r="K387" s="145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ht="15">
      <c r="A388" s="81"/>
      <c r="B388" s="81"/>
      <c r="C388" s="81"/>
      <c r="D388" s="81"/>
      <c r="E388" s="81"/>
      <c r="F388" s="81"/>
      <c r="G388" s="81"/>
      <c r="H388" s="145"/>
      <c r="I388" s="145"/>
      <c r="J388" s="86"/>
      <c r="K388" s="145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ht="15">
      <c r="A389" s="81"/>
      <c r="B389" s="81"/>
      <c r="C389" s="81"/>
      <c r="D389" s="81"/>
      <c r="E389" s="81"/>
      <c r="F389" s="81"/>
      <c r="G389" s="81"/>
      <c r="H389" s="145"/>
      <c r="I389" s="145"/>
      <c r="J389" s="86"/>
      <c r="K389" s="145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ht="15">
      <c r="A390" s="81"/>
      <c r="B390" s="81"/>
      <c r="C390" s="81"/>
      <c r="D390" s="81"/>
      <c r="E390" s="81"/>
      <c r="F390" s="81"/>
      <c r="G390" s="81"/>
      <c r="H390" s="145"/>
      <c r="I390" s="145"/>
      <c r="J390" s="86"/>
      <c r="K390" s="145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ht="15">
      <c r="A391" s="81"/>
      <c r="B391" s="81"/>
      <c r="C391" s="81"/>
      <c r="D391" s="81"/>
      <c r="E391" s="81"/>
      <c r="F391" s="81"/>
      <c r="G391" s="81"/>
      <c r="H391" s="145"/>
      <c r="I391" s="145"/>
      <c r="J391" s="86"/>
      <c r="K391" s="145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ht="15">
      <c r="A392" s="81"/>
      <c r="B392" s="81"/>
      <c r="C392" s="81"/>
      <c r="D392" s="81"/>
      <c r="E392" s="81"/>
      <c r="F392" s="81"/>
      <c r="G392" s="81"/>
      <c r="H392" s="145"/>
      <c r="I392" s="145"/>
      <c r="J392" s="86"/>
      <c r="K392" s="145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ht="15">
      <c r="A393" s="81"/>
      <c r="B393" s="81"/>
      <c r="C393" s="81"/>
      <c r="D393" s="81"/>
      <c r="E393" s="81"/>
      <c r="F393" s="81"/>
      <c r="G393" s="81"/>
      <c r="H393" s="145"/>
      <c r="I393" s="145"/>
      <c r="J393" s="86"/>
      <c r="K393" s="145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ht="15">
      <c r="A394" s="81"/>
      <c r="B394" s="81"/>
      <c r="C394" s="81"/>
      <c r="D394" s="81"/>
      <c r="E394" s="81"/>
      <c r="F394" s="81"/>
      <c r="G394" s="81"/>
      <c r="H394" s="145"/>
      <c r="I394" s="145"/>
      <c r="J394" s="86"/>
      <c r="K394" s="145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ht="15">
      <c r="A395" s="81"/>
      <c r="B395" s="81"/>
      <c r="C395" s="81"/>
      <c r="D395" s="81"/>
      <c r="E395" s="81"/>
      <c r="F395" s="81"/>
      <c r="G395" s="81"/>
      <c r="H395" s="145"/>
      <c r="I395" s="145"/>
      <c r="J395" s="86"/>
      <c r="K395" s="145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ht="15">
      <c r="A396" s="81"/>
      <c r="B396" s="81"/>
      <c r="C396" s="81"/>
      <c r="D396" s="81"/>
      <c r="E396" s="81"/>
      <c r="F396" s="81"/>
      <c r="G396" s="81"/>
      <c r="H396" s="145"/>
      <c r="I396" s="145"/>
      <c r="J396" s="86"/>
      <c r="K396" s="145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ht="15">
      <c r="A397" s="81"/>
      <c r="B397" s="81"/>
      <c r="C397" s="81"/>
      <c r="D397" s="81"/>
      <c r="E397" s="81"/>
      <c r="F397" s="81"/>
      <c r="G397" s="81"/>
      <c r="H397" s="145"/>
      <c r="I397" s="145"/>
      <c r="J397" s="86"/>
      <c r="K397" s="145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ht="15">
      <c r="A398" s="81"/>
      <c r="B398" s="81"/>
      <c r="C398" s="81"/>
      <c r="D398" s="81"/>
      <c r="E398" s="81"/>
      <c r="F398" s="81"/>
      <c r="G398" s="81"/>
      <c r="H398" s="145"/>
      <c r="I398" s="145"/>
      <c r="J398" s="86"/>
      <c r="K398" s="145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ht="15">
      <c r="A399" s="81"/>
      <c r="B399" s="81"/>
      <c r="C399" s="81"/>
      <c r="D399" s="81"/>
      <c r="E399" s="81"/>
      <c r="F399" s="81"/>
      <c r="G399" s="81"/>
      <c r="H399" s="145"/>
      <c r="I399" s="145"/>
      <c r="J399" s="86"/>
      <c r="K399" s="145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ht="15">
      <c r="A400" s="81"/>
      <c r="B400" s="81"/>
      <c r="C400" s="81"/>
      <c r="D400" s="81"/>
      <c r="E400" s="81"/>
      <c r="F400" s="81"/>
      <c r="G400" s="81"/>
      <c r="H400" s="145"/>
      <c r="I400" s="145"/>
      <c r="J400" s="86"/>
      <c r="K400" s="145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ht="15">
      <c r="A401" s="81"/>
      <c r="B401" s="81"/>
      <c r="C401" s="81"/>
      <c r="D401" s="81"/>
      <c r="E401" s="81"/>
      <c r="F401" s="81"/>
      <c r="G401" s="81"/>
      <c r="H401" s="145"/>
      <c r="I401" s="145"/>
      <c r="J401" s="86"/>
      <c r="K401" s="145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ht="15">
      <c r="A402" s="81"/>
      <c r="B402" s="81"/>
      <c r="C402" s="81"/>
      <c r="D402" s="81"/>
      <c r="E402" s="81"/>
      <c r="F402" s="81"/>
      <c r="G402" s="81"/>
      <c r="H402" s="145"/>
      <c r="I402" s="145"/>
      <c r="J402" s="86"/>
      <c r="K402" s="145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ht="15">
      <c r="A403" s="81"/>
      <c r="B403" s="81"/>
      <c r="C403" s="81"/>
      <c r="D403" s="81"/>
      <c r="E403" s="81"/>
      <c r="F403" s="81"/>
      <c r="G403" s="81"/>
      <c r="H403" s="145"/>
      <c r="I403" s="145"/>
      <c r="J403" s="86"/>
      <c r="K403" s="145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ht="15">
      <c r="A404" s="81"/>
      <c r="B404" s="81"/>
      <c r="C404" s="81"/>
      <c r="D404" s="81"/>
      <c r="E404" s="81"/>
      <c r="F404" s="81"/>
      <c r="G404" s="81"/>
      <c r="H404" s="145"/>
      <c r="I404" s="145"/>
      <c r="J404" s="86"/>
      <c r="K404" s="145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ht="15">
      <c r="A405" s="81"/>
      <c r="B405" s="81"/>
      <c r="C405" s="81"/>
      <c r="D405" s="81"/>
      <c r="E405" s="81"/>
      <c r="F405" s="81"/>
      <c r="G405" s="81"/>
      <c r="H405" s="145"/>
      <c r="I405" s="145"/>
      <c r="J405" s="86"/>
      <c r="K405" s="145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ht="15">
      <c r="A406" s="81"/>
      <c r="B406" s="81"/>
      <c r="C406" s="81"/>
      <c r="D406" s="81"/>
      <c r="E406" s="81"/>
      <c r="F406" s="81"/>
      <c r="G406" s="81"/>
      <c r="H406" s="145"/>
      <c r="I406" s="145"/>
      <c r="J406" s="86"/>
      <c r="K406" s="145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ht="15">
      <c r="A407" s="81"/>
      <c r="B407" s="81"/>
      <c r="C407" s="81"/>
      <c r="D407" s="81"/>
      <c r="E407" s="81"/>
      <c r="F407" s="81"/>
      <c r="G407" s="81"/>
      <c r="H407" s="145"/>
      <c r="I407" s="145"/>
      <c r="J407" s="86"/>
      <c r="K407" s="145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ht="15">
      <c r="A408" s="81"/>
      <c r="B408" s="81"/>
      <c r="C408" s="81"/>
      <c r="D408" s="81"/>
      <c r="E408" s="81"/>
      <c r="F408" s="81"/>
      <c r="G408" s="81"/>
      <c r="H408" s="145"/>
      <c r="I408" s="145"/>
      <c r="J408" s="86"/>
      <c r="K408" s="145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ht="15">
      <c r="A409" s="81"/>
      <c r="B409" s="81"/>
      <c r="C409" s="81"/>
      <c r="D409" s="81"/>
      <c r="E409" s="81"/>
      <c r="F409" s="81"/>
      <c r="G409" s="81"/>
      <c r="H409" s="145"/>
      <c r="I409" s="145"/>
      <c r="J409" s="86"/>
      <c r="K409" s="145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ht="15">
      <c r="A410" s="81"/>
      <c r="B410" s="81"/>
      <c r="C410" s="81"/>
      <c r="D410" s="81"/>
      <c r="E410" s="81"/>
      <c r="F410" s="81"/>
      <c r="G410" s="81"/>
      <c r="H410" s="145"/>
      <c r="I410" s="145"/>
      <c r="J410" s="86"/>
      <c r="K410" s="145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ht="15">
      <c r="A411" s="81"/>
      <c r="B411" s="81"/>
      <c r="C411" s="81"/>
      <c r="D411" s="81"/>
      <c r="E411" s="81"/>
      <c r="F411" s="81"/>
      <c r="G411" s="81"/>
      <c r="H411" s="145"/>
      <c r="I411" s="145"/>
      <c r="J411" s="86"/>
      <c r="K411" s="145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ht="15">
      <c r="A412" s="81"/>
      <c r="B412" s="81"/>
      <c r="C412" s="81"/>
      <c r="D412" s="81"/>
      <c r="E412" s="81"/>
      <c r="F412" s="81"/>
      <c r="G412" s="81"/>
      <c r="H412" s="145"/>
      <c r="I412" s="145"/>
      <c r="J412" s="86"/>
      <c r="K412" s="145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ht="15">
      <c r="A413" s="81"/>
      <c r="B413" s="81"/>
      <c r="C413" s="81"/>
      <c r="D413" s="81"/>
      <c r="E413" s="81"/>
      <c r="F413" s="81"/>
      <c r="G413" s="81"/>
      <c r="H413" s="145"/>
      <c r="I413" s="145"/>
      <c r="J413" s="86"/>
      <c r="K413" s="145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ht="15">
      <c r="A414" s="81"/>
      <c r="B414" s="81"/>
      <c r="C414" s="81"/>
      <c r="D414" s="81"/>
      <c r="E414" s="81"/>
      <c r="F414" s="81"/>
      <c r="G414" s="81"/>
      <c r="H414" s="145"/>
      <c r="I414" s="145"/>
      <c r="J414" s="86"/>
      <c r="K414" s="145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ht="15">
      <c r="A415" s="81"/>
      <c r="B415" s="81"/>
      <c r="C415" s="81"/>
      <c r="D415" s="81"/>
      <c r="E415" s="81"/>
      <c r="F415" s="81"/>
      <c r="G415" s="81"/>
      <c r="H415" s="145"/>
      <c r="I415" s="145"/>
      <c r="J415" s="86"/>
      <c r="K415" s="145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ht="15">
      <c r="A416" s="81"/>
      <c r="B416" s="81"/>
      <c r="C416" s="81"/>
      <c r="D416" s="81"/>
      <c r="E416" s="81"/>
      <c r="F416" s="81"/>
      <c r="G416" s="81"/>
      <c r="H416" s="145"/>
      <c r="I416" s="145"/>
      <c r="J416" s="86"/>
      <c r="K416" s="145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ht="15">
      <c r="A417" s="81"/>
      <c r="B417" s="81"/>
      <c r="C417" s="81"/>
      <c r="D417" s="81"/>
      <c r="E417" s="81"/>
      <c r="F417" s="81"/>
      <c r="G417" s="81"/>
      <c r="H417" s="145"/>
      <c r="I417" s="145"/>
      <c r="J417" s="86"/>
      <c r="K417" s="145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ht="15">
      <c r="A418" s="81"/>
      <c r="B418" s="81"/>
      <c r="C418" s="81"/>
      <c r="D418" s="81"/>
      <c r="E418" s="81"/>
      <c r="F418" s="81"/>
      <c r="G418" s="81"/>
      <c r="H418" s="145"/>
      <c r="I418" s="145"/>
      <c r="J418" s="86"/>
      <c r="K418" s="145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ht="15">
      <c r="A419" s="81"/>
      <c r="B419" s="81"/>
      <c r="C419" s="81"/>
      <c r="D419" s="81"/>
      <c r="E419" s="81"/>
      <c r="F419" s="81"/>
      <c r="G419" s="81"/>
      <c r="H419" s="145"/>
      <c r="I419" s="145"/>
      <c r="J419" s="86"/>
      <c r="K419" s="145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ht="15">
      <c r="A420" s="81"/>
      <c r="B420" s="81"/>
      <c r="C420" s="81"/>
      <c r="D420" s="81"/>
      <c r="E420" s="81"/>
      <c r="F420" s="81"/>
      <c r="G420" s="81"/>
      <c r="H420" s="145"/>
      <c r="I420" s="145"/>
      <c r="J420" s="86"/>
      <c r="K420" s="145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ht="15">
      <c r="A421" s="81"/>
      <c r="B421" s="81"/>
      <c r="C421" s="81"/>
      <c r="D421" s="81"/>
      <c r="E421" s="81"/>
      <c r="F421" s="81"/>
      <c r="G421" s="81"/>
      <c r="H421" s="145"/>
      <c r="I421" s="145"/>
      <c r="J421" s="86"/>
      <c r="K421" s="145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ht="15">
      <c r="A422" s="81"/>
      <c r="B422" s="81"/>
      <c r="C422" s="81"/>
      <c r="D422" s="81"/>
      <c r="E422" s="81"/>
      <c r="F422" s="81"/>
      <c r="G422" s="81"/>
      <c r="H422" s="145"/>
      <c r="I422" s="145"/>
      <c r="J422" s="86"/>
      <c r="K422" s="145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ht="15">
      <c r="A423" s="81"/>
      <c r="B423" s="81"/>
      <c r="C423" s="81"/>
      <c r="D423" s="81"/>
      <c r="E423" s="81"/>
      <c r="F423" s="81"/>
      <c r="G423" s="81"/>
      <c r="H423" s="145"/>
      <c r="I423" s="145"/>
      <c r="J423" s="86"/>
      <c r="K423" s="145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ht="15">
      <c r="A424" s="81"/>
      <c r="B424" s="81"/>
      <c r="C424" s="81"/>
      <c r="D424" s="81"/>
      <c r="E424" s="81"/>
      <c r="F424" s="81"/>
      <c r="G424" s="81"/>
      <c r="H424" s="145"/>
      <c r="I424" s="145"/>
      <c r="J424" s="86"/>
      <c r="K424" s="145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ht="15">
      <c r="A425" s="81"/>
      <c r="B425" s="81"/>
      <c r="C425" s="81"/>
      <c r="D425" s="81"/>
      <c r="E425" s="81"/>
      <c r="F425" s="81"/>
      <c r="G425" s="81"/>
      <c r="H425" s="145"/>
      <c r="I425" s="145"/>
      <c r="J425" s="86"/>
      <c r="K425" s="145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ht="15">
      <c r="A426" s="81"/>
      <c r="B426" s="81"/>
      <c r="C426" s="81"/>
      <c r="D426" s="81"/>
      <c r="E426" s="81"/>
      <c r="F426" s="81"/>
      <c r="G426" s="81"/>
      <c r="H426" s="145"/>
      <c r="I426" s="145"/>
      <c r="J426" s="86"/>
      <c r="K426" s="145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ht="15">
      <c r="A427" s="81"/>
      <c r="B427" s="81"/>
      <c r="C427" s="81"/>
      <c r="D427" s="81"/>
      <c r="E427" s="81"/>
      <c r="F427" s="81"/>
      <c r="G427" s="81"/>
      <c r="H427" s="145"/>
      <c r="I427" s="145"/>
      <c r="J427" s="86"/>
      <c r="K427" s="145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ht="15">
      <c r="A428" s="81"/>
      <c r="B428" s="81"/>
      <c r="C428" s="81"/>
      <c r="D428" s="81"/>
      <c r="E428" s="81"/>
      <c r="F428" s="81"/>
      <c r="G428" s="81"/>
      <c r="H428" s="145"/>
      <c r="I428" s="145"/>
      <c r="J428" s="86"/>
      <c r="K428" s="145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ht="15">
      <c r="A429" s="81"/>
      <c r="B429" s="81"/>
      <c r="C429" s="81"/>
      <c r="D429" s="81"/>
      <c r="E429" s="81"/>
      <c r="F429" s="81"/>
      <c r="G429" s="81"/>
      <c r="H429" s="145"/>
      <c r="I429" s="145"/>
      <c r="J429" s="86"/>
      <c r="K429" s="145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ht="15">
      <c r="A430" s="81"/>
      <c r="B430" s="81"/>
      <c r="C430" s="81"/>
      <c r="D430" s="81"/>
      <c r="E430" s="81"/>
      <c r="F430" s="81"/>
      <c r="G430" s="81"/>
      <c r="H430" s="145"/>
      <c r="I430" s="145"/>
      <c r="J430" s="86"/>
      <c r="K430" s="145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ht="15">
      <c r="A431" s="81"/>
      <c r="B431" s="81"/>
      <c r="C431" s="81"/>
      <c r="D431" s="81"/>
      <c r="E431" s="81"/>
      <c r="F431" s="81"/>
      <c r="G431" s="81"/>
      <c r="H431" s="145"/>
      <c r="I431" s="145"/>
      <c r="J431" s="86"/>
      <c r="K431" s="145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ht="15">
      <c r="A432" s="81"/>
      <c r="B432" s="81"/>
      <c r="C432" s="81"/>
      <c r="D432" s="81"/>
      <c r="E432" s="81"/>
      <c r="F432" s="81"/>
      <c r="G432" s="81"/>
      <c r="H432" s="145"/>
      <c r="I432" s="145"/>
      <c r="J432" s="86"/>
      <c r="K432" s="145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ht="15">
      <c r="A433" s="81"/>
      <c r="B433" s="81"/>
      <c r="C433" s="81"/>
      <c r="D433" s="81"/>
      <c r="E433" s="81"/>
      <c r="F433" s="81"/>
      <c r="G433" s="81"/>
      <c r="H433" s="145"/>
      <c r="I433" s="145"/>
      <c r="J433" s="86"/>
      <c r="K433" s="145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ht="15">
      <c r="A434" s="81"/>
      <c r="B434" s="81"/>
      <c r="C434" s="81"/>
      <c r="D434" s="81"/>
      <c r="E434" s="81"/>
      <c r="F434" s="81"/>
      <c r="G434" s="81"/>
      <c r="H434" s="145"/>
      <c r="I434" s="145"/>
      <c r="J434" s="86"/>
      <c r="K434" s="145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ht="15">
      <c r="A435" s="81"/>
      <c r="B435" s="81"/>
      <c r="C435" s="81"/>
      <c r="D435" s="81"/>
      <c r="E435" s="81"/>
      <c r="F435" s="81"/>
      <c r="G435" s="81"/>
      <c r="H435" s="145"/>
      <c r="I435" s="145"/>
      <c r="J435" s="86"/>
      <c r="K435" s="145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ht="15">
      <c r="A436" s="81"/>
      <c r="B436" s="81"/>
      <c r="C436" s="81"/>
      <c r="D436" s="81"/>
      <c r="E436" s="81"/>
      <c r="F436" s="81"/>
      <c r="G436" s="81"/>
      <c r="H436" s="145"/>
      <c r="I436" s="145"/>
      <c r="J436" s="86"/>
      <c r="K436" s="145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ht="15">
      <c r="A437" s="81"/>
      <c r="B437" s="81"/>
      <c r="C437" s="81"/>
      <c r="D437" s="81"/>
      <c r="E437" s="81"/>
      <c r="F437" s="81"/>
      <c r="G437" s="81"/>
      <c r="H437" s="145"/>
      <c r="I437" s="145"/>
      <c r="J437" s="86"/>
      <c r="K437" s="145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ht="15">
      <c r="A438" s="81"/>
      <c r="B438" s="81"/>
      <c r="C438" s="81"/>
      <c r="D438" s="81"/>
      <c r="E438" s="81"/>
      <c r="F438" s="81"/>
      <c r="G438" s="81"/>
      <c r="H438" s="145"/>
      <c r="I438" s="145"/>
      <c r="J438" s="86"/>
      <c r="K438" s="145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ht="15">
      <c r="A439" s="81"/>
      <c r="B439" s="81"/>
      <c r="C439" s="81"/>
      <c r="D439" s="81"/>
      <c r="E439" s="81"/>
      <c r="F439" s="81"/>
      <c r="G439" s="81"/>
      <c r="H439" s="145"/>
      <c r="I439" s="145"/>
      <c r="J439" s="86"/>
      <c r="K439" s="145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ht="15">
      <c r="A440" s="81"/>
      <c r="B440" s="81"/>
      <c r="C440" s="81"/>
      <c r="D440" s="81"/>
      <c r="E440" s="81"/>
      <c r="F440" s="81"/>
      <c r="G440" s="81"/>
      <c r="H440" s="145"/>
      <c r="I440" s="145"/>
      <c r="J440" s="86"/>
      <c r="K440" s="145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ht="15">
      <c r="A441" s="81"/>
      <c r="B441" s="81"/>
      <c r="C441" s="81"/>
      <c r="D441" s="81"/>
      <c r="E441" s="81"/>
      <c r="F441" s="81"/>
      <c r="G441" s="81"/>
      <c r="H441" s="145"/>
      <c r="I441" s="145"/>
      <c r="J441" s="86"/>
      <c r="K441" s="145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ht="15">
      <c r="A442" s="81"/>
      <c r="B442" s="81"/>
      <c r="C442" s="81"/>
      <c r="D442" s="81"/>
      <c r="E442" s="81"/>
      <c r="F442" s="81"/>
      <c r="G442" s="81"/>
      <c r="H442" s="145"/>
      <c r="I442" s="145"/>
      <c r="J442" s="86"/>
      <c r="K442" s="145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ht="15">
      <c r="A443" s="81"/>
      <c r="B443" s="81"/>
      <c r="C443" s="81"/>
      <c r="D443" s="81"/>
      <c r="E443" s="81"/>
      <c r="F443" s="81"/>
      <c r="G443" s="81"/>
      <c r="H443" s="145"/>
      <c r="I443" s="145"/>
      <c r="J443" s="86"/>
      <c r="K443" s="145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ht="15">
      <c r="A444" s="81"/>
      <c r="B444" s="81"/>
      <c r="C444" s="81"/>
      <c r="D444" s="81"/>
      <c r="E444" s="81"/>
      <c r="F444" s="81"/>
      <c r="G444" s="81"/>
      <c r="H444" s="145"/>
      <c r="I444" s="145"/>
      <c r="J444" s="86"/>
      <c r="K444" s="145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ht="15">
      <c r="A445" s="81"/>
      <c r="B445" s="81"/>
      <c r="C445" s="81"/>
      <c r="D445" s="81"/>
      <c r="E445" s="81"/>
      <c r="F445" s="81"/>
      <c r="G445" s="81"/>
      <c r="H445" s="145"/>
      <c r="I445" s="145"/>
      <c r="J445" s="86"/>
      <c r="K445" s="145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ht="15">
      <c r="A446" s="81"/>
      <c r="B446" s="81"/>
      <c r="C446" s="81"/>
      <c r="D446" s="81"/>
      <c r="E446" s="81"/>
      <c r="F446" s="81"/>
      <c r="G446" s="81"/>
      <c r="H446" s="145"/>
      <c r="I446" s="145"/>
      <c r="J446" s="86"/>
      <c r="K446" s="145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ht="15">
      <c r="A447" s="81"/>
      <c r="B447" s="81"/>
      <c r="C447" s="81"/>
      <c r="D447" s="81"/>
      <c r="E447" s="81"/>
      <c r="F447" s="81"/>
      <c r="G447" s="81"/>
      <c r="H447" s="145"/>
      <c r="I447" s="145"/>
      <c r="J447" s="86"/>
      <c r="K447" s="145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ht="15">
      <c r="A448" s="81"/>
      <c r="B448" s="81"/>
      <c r="C448" s="81"/>
      <c r="D448" s="81"/>
      <c r="E448" s="81"/>
      <c r="F448" s="81"/>
      <c r="G448" s="81"/>
      <c r="H448" s="145"/>
      <c r="I448" s="145"/>
      <c r="J448" s="86"/>
      <c r="K448" s="145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ht="15">
      <c r="A449" s="81"/>
      <c r="B449" s="81"/>
      <c r="C449" s="81"/>
      <c r="D449" s="81"/>
      <c r="E449" s="81"/>
      <c r="F449" s="81"/>
      <c r="G449" s="81"/>
      <c r="H449" s="145"/>
      <c r="I449" s="145"/>
      <c r="J449" s="86"/>
      <c r="K449" s="145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ht="15">
      <c r="A450" s="81"/>
      <c r="B450" s="81"/>
      <c r="C450" s="81"/>
      <c r="D450" s="81"/>
      <c r="E450" s="81"/>
      <c r="F450" s="81"/>
      <c r="G450" s="81"/>
      <c r="H450" s="145"/>
      <c r="I450" s="145"/>
      <c r="J450" s="86"/>
      <c r="K450" s="145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ht="15">
      <c r="A451" s="81"/>
      <c r="B451" s="81"/>
      <c r="C451" s="81"/>
      <c r="D451" s="81"/>
      <c r="E451" s="81"/>
      <c r="F451" s="81"/>
      <c r="G451" s="81"/>
      <c r="H451" s="145"/>
      <c r="I451" s="145"/>
      <c r="J451" s="86"/>
      <c r="K451" s="145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ht="15">
      <c r="A452" s="81"/>
      <c r="B452" s="81"/>
      <c r="C452" s="81"/>
      <c r="D452" s="81"/>
      <c r="E452" s="81"/>
      <c r="F452" s="81"/>
      <c r="G452" s="81"/>
      <c r="H452" s="145"/>
      <c r="I452" s="145"/>
      <c r="J452" s="86"/>
      <c r="K452" s="145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ht="15">
      <c r="A453" s="81"/>
      <c r="B453" s="81"/>
      <c r="C453" s="81"/>
      <c r="D453" s="81"/>
      <c r="E453" s="81"/>
      <c r="F453" s="81"/>
      <c r="G453" s="81"/>
      <c r="H453" s="145"/>
      <c r="I453" s="145"/>
      <c r="J453" s="86"/>
      <c r="K453" s="145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ht="15">
      <c r="A454" s="81"/>
      <c r="B454" s="81"/>
      <c r="C454" s="81"/>
      <c r="D454" s="81"/>
      <c r="E454" s="81"/>
      <c r="F454" s="81"/>
      <c r="G454" s="81"/>
      <c r="H454" s="145"/>
      <c r="I454" s="145"/>
      <c r="J454" s="86"/>
      <c r="K454" s="145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ht="15">
      <c r="A455" s="81"/>
      <c r="B455" s="81"/>
      <c r="C455" s="81"/>
      <c r="D455" s="81"/>
      <c r="E455" s="81"/>
      <c r="F455" s="81"/>
      <c r="G455" s="81"/>
      <c r="H455" s="145"/>
      <c r="I455" s="145"/>
      <c r="J455" s="86"/>
      <c r="K455" s="145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ht="15">
      <c r="A456" s="81"/>
      <c r="B456" s="81"/>
      <c r="C456" s="81"/>
      <c r="D456" s="81"/>
      <c r="E456" s="81"/>
      <c r="F456" s="81"/>
      <c r="G456" s="81"/>
      <c r="H456" s="145"/>
      <c r="I456" s="145"/>
      <c r="J456" s="86"/>
      <c r="K456" s="145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ht="15">
      <c r="A457" s="81"/>
      <c r="B457" s="81"/>
      <c r="C457" s="81"/>
      <c r="D457" s="81"/>
      <c r="E457" s="81"/>
      <c r="F457" s="81"/>
      <c r="G457" s="81"/>
      <c r="H457" s="145"/>
      <c r="I457" s="145"/>
      <c r="J457" s="86"/>
      <c r="K457" s="145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ht="15">
      <c r="A458" s="81"/>
      <c r="B458" s="81"/>
      <c r="C458" s="81"/>
      <c r="D458" s="81"/>
      <c r="E458" s="81"/>
      <c r="F458" s="81"/>
      <c r="G458" s="81"/>
      <c r="H458" s="145"/>
      <c r="I458" s="145"/>
      <c r="J458" s="86"/>
      <c r="K458" s="145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ht="15">
      <c r="A459" s="81"/>
      <c r="B459" s="81"/>
      <c r="C459" s="81"/>
      <c r="D459" s="81"/>
      <c r="E459" s="81"/>
      <c r="F459" s="81"/>
      <c r="G459" s="81"/>
      <c r="H459" s="145"/>
      <c r="I459" s="145"/>
      <c r="J459" s="86"/>
      <c r="K459" s="145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ht="15">
      <c r="A460" s="81"/>
      <c r="B460" s="81"/>
      <c r="C460" s="81"/>
      <c r="D460" s="81"/>
      <c r="E460" s="81"/>
      <c r="F460" s="81"/>
      <c r="G460" s="81"/>
      <c r="H460" s="145"/>
      <c r="I460" s="145"/>
      <c r="J460" s="86"/>
      <c r="K460" s="145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ht="15">
      <c r="A461" s="81"/>
      <c r="B461" s="81"/>
      <c r="C461" s="81"/>
      <c r="D461" s="81"/>
      <c r="E461" s="81"/>
      <c r="F461" s="81"/>
      <c r="G461" s="81"/>
      <c r="H461" s="145"/>
      <c r="I461" s="145"/>
      <c r="J461" s="86"/>
      <c r="K461" s="145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ht="15">
      <c r="A462" s="81"/>
      <c r="B462" s="81"/>
      <c r="C462" s="81"/>
      <c r="D462" s="81"/>
      <c r="E462" s="81"/>
      <c r="F462" s="81"/>
      <c r="G462" s="81"/>
      <c r="H462" s="145"/>
      <c r="I462" s="145"/>
      <c r="J462" s="86"/>
      <c r="K462" s="145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ht="15">
      <c r="A463" s="81"/>
      <c r="B463" s="81"/>
      <c r="C463" s="81"/>
      <c r="D463" s="81"/>
      <c r="E463" s="81"/>
      <c r="F463" s="81"/>
      <c r="G463" s="81"/>
      <c r="H463" s="145"/>
      <c r="I463" s="145"/>
      <c r="J463" s="86"/>
      <c r="K463" s="145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ht="15">
      <c r="A464" s="81"/>
      <c r="B464" s="81"/>
      <c r="C464" s="81"/>
      <c r="D464" s="81"/>
      <c r="E464" s="81"/>
      <c r="F464" s="81"/>
      <c r="G464" s="81"/>
      <c r="H464" s="145"/>
      <c r="I464" s="145"/>
      <c r="J464" s="86"/>
      <c r="K464" s="145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ht="15">
      <c r="A465" s="81"/>
      <c r="B465" s="81"/>
      <c r="C465" s="81"/>
      <c r="D465" s="81"/>
      <c r="E465" s="81"/>
      <c r="F465" s="81"/>
      <c r="G465" s="81"/>
      <c r="H465" s="145"/>
      <c r="I465" s="145"/>
      <c r="J465" s="86"/>
      <c r="K465" s="145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ht="15">
      <c r="A466" s="81"/>
      <c r="B466" s="81"/>
      <c r="C466" s="81"/>
      <c r="D466" s="81"/>
      <c r="E466" s="81"/>
      <c r="F466" s="81"/>
      <c r="G466" s="81"/>
      <c r="H466" s="145"/>
      <c r="I466" s="145"/>
      <c r="J466" s="86"/>
      <c r="K466" s="145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ht="15">
      <c r="A467" s="81"/>
      <c r="B467" s="81"/>
      <c r="C467" s="81"/>
      <c r="D467" s="81"/>
      <c r="E467" s="81"/>
      <c r="F467" s="81"/>
      <c r="G467" s="81"/>
      <c r="H467" s="145"/>
      <c r="I467" s="145"/>
      <c r="J467" s="86"/>
      <c r="K467" s="145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ht="15">
      <c r="A468" s="81"/>
      <c r="B468" s="81"/>
      <c r="C468" s="81"/>
      <c r="D468" s="81"/>
      <c r="E468" s="81"/>
      <c r="F468" s="81"/>
      <c r="G468" s="81"/>
      <c r="H468" s="145"/>
      <c r="I468" s="145"/>
      <c r="J468" s="86"/>
      <c r="K468" s="145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ht="15">
      <c r="A469" s="81"/>
      <c r="B469" s="81"/>
      <c r="C469" s="81"/>
      <c r="D469" s="81"/>
      <c r="E469" s="81"/>
      <c r="F469" s="81"/>
      <c r="G469" s="81"/>
      <c r="H469" s="145"/>
      <c r="I469" s="145"/>
      <c r="J469" s="86"/>
      <c r="K469" s="145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ht="15">
      <c r="A470" s="81"/>
      <c r="B470" s="81"/>
      <c r="C470" s="81"/>
      <c r="D470" s="81"/>
      <c r="E470" s="81"/>
      <c r="F470" s="81"/>
      <c r="G470" s="81"/>
      <c r="H470" s="145"/>
      <c r="I470" s="145"/>
      <c r="J470" s="86"/>
      <c r="K470" s="145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ht="15">
      <c r="A471" s="81"/>
      <c r="B471" s="81"/>
      <c r="C471" s="81"/>
      <c r="D471" s="81"/>
      <c r="E471" s="81"/>
      <c r="F471" s="81"/>
      <c r="G471" s="81"/>
      <c r="H471" s="145"/>
      <c r="I471" s="145"/>
      <c r="J471" s="86"/>
      <c r="K471" s="145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ht="15">
      <c r="A472" s="81"/>
      <c r="B472" s="81"/>
      <c r="C472" s="81"/>
      <c r="D472" s="81"/>
      <c r="E472" s="81"/>
      <c r="F472" s="81"/>
      <c r="G472" s="81"/>
      <c r="H472" s="145"/>
      <c r="I472" s="145"/>
      <c r="J472" s="86"/>
      <c r="K472" s="145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ht="15">
      <c r="A473" s="81"/>
      <c r="B473" s="81"/>
      <c r="C473" s="81"/>
      <c r="D473" s="81"/>
      <c r="E473" s="81"/>
      <c r="F473" s="81"/>
      <c r="G473" s="81"/>
      <c r="H473" s="145"/>
      <c r="I473" s="145"/>
      <c r="J473" s="86"/>
      <c r="K473" s="145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ht="15">
      <c r="A474" s="81"/>
      <c r="B474" s="81"/>
      <c r="C474" s="81"/>
      <c r="D474" s="81"/>
      <c r="E474" s="81"/>
      <c r="F474" s="81"/>
      <c r="G474" s="81"/>
      <c r="H474" s="145"/>
      <c r="I474" s="145"/>
      <c r="J474" s="86"/>
      <c r="K474" s="145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ht="15">
      <c r="A475" s="81"/>
      <c r="B475" s="81"/>
      <c r="C475" s="81"/>
      <c r="D475" s="81"/>
      <c r="E475" s="81"/>
      <c r="F475" s="81"/>
      <c r="G475" s="81"/>
      <c r="H475" s="145"/>
      <c r="I475" s="145"/>
      <c r="J475" s="86"/>
      <c r="K475" s="145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ht="15">
      <c r="A476" s="81"/>
      <c r="B476" s="81"/>
      <c r="C476" s="81"/>
      <c r="D476" s="81"/>
      <c r="E476" s="81"/>
      <c r="F476" s="81"/>
      <c r="G476" s="81"/>
      <c r="H476" s="145"/>
      <c r="I476" s="145"/>
      <c r="J476" s="86"/>
      <c r="K476" s="145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ht="15">
      <c r="A477" s="81"/>
      <c r="B477" s="81"/>
      <c r="C477" s="81"/>
      <c r="D477" s="81"/>
      <c r="E477" s="81"/>
      <c r="F477" s="81"/>
      <c r="G477" s="81"/>
      <c r="H477" s="145"/>
      <c r="I477" s="145"/>
      <c r="J477" s="86"/>
      <c r="K477" s="145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ht="15">
      <c r="A478" s="81"/>
      <c r="B478" s="81"/>
      <c r="C478" s="81"/>
      <c r="D478" s="81"/>
      <c r="E478" s="81"/>
      <c r="F478" s="81"/>
      <c r="G478" s="81"/>
      <c r="H478" s="145"/>
      <c r="I478" s="145"/>
      <c r="J478" s="86"/>
      <c r="K478" s="145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ht="15">
      <c r="A479" s="81"/>
      <c r="B479" s="81"/>
      <c r="C479" s="81"/>
      <c r="D479" s="81"/>
      <c r="E479" s="81"/>
      <c r="F479" s="81"/>
      <c r="G479" s="81"/>
      <c r="H479" s="145"/>
      <c r="I479" s="145"/>
      <c r="J479" s="86"/>
      <c r="K479" s="145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ht="15">
      <c r="A480" s="81"/>
      <c r="B480" s="81"/>
      <c r="C480" s="81"/>
      <c r="D480" s="81"/>
      <c r="E480" s="81"/>
      <c r="F480" s="81"/>
      <c r="G480" s="81"/>
      <c r="H480" s="145"/>
      <c r="I480" s="145"/>
      <c r="J480" s="86"/>
      <c r="K480" s="145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ht="15">
      <c r="A481" s="81"/>
      <c r="B481" s="81"/>
      <c r="C481" s="81"/>
      <c r="D481" s="81"/>
      <c r="E481" s="81"/>
      <c r="F481" s="81"/>
      <c r="G481" s="81"/>
      <c r="H481" s="145"/>
      <c r="I481" s="145"/>
      <c r="J481" s="86"/>
      <c r="K481" s="145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ht="15">
      <c r="A482" s="81"/>
      <c r="B482" s="81"/>
      <c r="C482" s="81"/>
      <c r="D482" s="81"/>
      <c r="E482" s="81"/>
      <c r="F482" s="81"/>
      <c r="G482" s="81"/>
      <c r="H482" s="145"/>
      <c r="I482" s="145"/>
      <c r="J482" s="86"/>
      <c r="K482" s="145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ht="15">
      <c r="A483" s="81"/>
      <c r="B483" s="81"/>
      <c r="C483" s="81"/>
      <c r="D483" s="81"/>
      <c r="E483" s="81"/>
      <c r="F483" s="81"/>
      <c r="G483" s="81"/>
      <c r="H483" s="145"/>
      <c r="I483" s="145"/>
      <c r="J483" s="86"/>
      <c r="K483" s="145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ht="15">
      <c r="A484" s="81"/>
      <c r="B484" s="81"/>
      <c r="C484" s="81"/>
      <c r="D484" s="81"/>
      <c r="E484" s="81"/>
      <c r="F484" s="81"/>
      <c r="G484" s="81"/>
      <c r="H484" s="145"/>
      <c r="I484" s="145"/>
      <c r="J484" s="86"/>
      <c r="K484" s="145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ht="15">
      <c r="A485" s="81"/>
      <c r="B485" s="81"/>
      <c r="C485" s="81"/>
      <c r="D485" s="81"/>
      <c r="E485" s="81"/>
      <c r="F485" s="81"/>
      <c r="G485" s="81"/>
      <c r="H485" s="145"/>
      <c r="I485" s="145"/>
      <c r="J485" s="86"/>
      <c r="K485" s="145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ht="15">
      <c r="A486" s="81"/>
      <c r="B486" s="81"/>
      <c r="C486" s="81"/>
      <c r="D486" s="81"/>
      <c r="E486" s="81"/>
      <c r="F486" s="81"/>
      <c r="G486" s="81"/>
      <c r="H486" s="145"/>
      <c r="I486" s="145"/>
      <c r="J486" s="86"/>
      <c r="K486" s="145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ht="15">
      <c r="A487" s="81"/>
      <c r="B487" s="81"/>
      <c r="C487" s="81"/>
      <c r="D487" s="81"/>
      <c r="E487" s="81"/>
      <c r="F487" s="81"/>
      <c r="G487" s="81"/>
      <c r="H487" s="145"/>
      <c r="I487" s="145"/>
      <c r="J487" s="86"/>
      <c r="K487" s="145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ht="15">
      <c r="A488" s="81"/>
      <c r="B488" s="81"/>
      <c r="C488" s="81"/>
      <c r="D488" s="81"/>
      <c r="E488" s="81"/>
      <c r="F488" s="81"/>
      <c r="G488" s="81"/>
      <c r="H488" s="145"/>
      <c r="I488" s="145"/>
      <c r="J488" s="86"/>
      <c r="K488" s="145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ht="15">
      <c r="A489" s="81"/>
      <c r="B489" s="81"/>
      <c r="C489" s="81"/>
      <c r="D489" s="81"/>
      <c r="E489" s="81"/>
      <c r="F489" s="81"/>
      <c r="G489" s="81"/>
      <c r="H489" s="145"/>
      <c r="I489" s="145"/>
      <c r="J489" s="86"/>
      <c r="K489" s="145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ht="15">
      <c r="A490" s="81"/>
      <c r="B490" s="81"/>
      <c r="C490" s="81"/>
      <c r="D490" s="81"/>
      <c r="E490" s="81"/>
      <c r="F490" s="81"/>
      <c r="G490" s="81"/>
      <c r="H490" s="145"/>
      <c r="I490" s="145"/>
      <c r="J490" s="86"/>
      <c r="K490" s="145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ht="15">
      <c r="A491" s="81"/>
      <c r="B491" s="81"/>
      <c r="C491" s="81"/>
      <c r="D491" s="81"/>
      <c r="E491" s="81"/>
      <c r="F491" s="81"/>
      <c r="G491" s="81"/>
      <c r="H491" s="145"/>
      <c r="I491" s="145"/>
      <c r="J491" s="86"/>
      <c r="K491" s="145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ht="15">
      <c r="A492" s="81"/>
      <c r="B492" s="81"/>
      <c r="C492" s="81"/>
      <c r="D492" s="81"/>
      <c r="E492" s="81"/>
      <c r="F492" s="81"/>
      <c r="G492" s="81"/>
      <c r="H492" s="145"/>
      <c r="I492" s="145"/>
      <c r="J492" s="86"/>
      <c r="K492" s="145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ht="15">
      <c r="A493" s="81"/>
      <c r="B493" s="81"/>
      <c r="C493" s="81"/>
      <c r="D493" s="81"/>
      <c r="E493" s="81"/>
      <c r="F493" s="81"/>
      <c r="G493" s="81"/>
      <c r="H493" s="145"/>
      <c r="I493" s="145"/>
      <c r="J493" s="86"/>
      <c r="K493" s="145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ht="15">
      <c r="A494" s="81"/>
      <c r="B494" s="81"/>
      <c r="C494" s="81"/>
      <c r="D494" s="81"/>
      <c r="E494" s="81"/>
      <c r="F494" s="81"/>
      <c r="G494" s="81"/>
      <c r="H494" s="145"/>
      <c r="I494" s="145"/>
      <c r="J494" s="86"/>
      <c r="K494" s="145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ht="15">
      <c r="A495" s="81"/>
      <c r="B495" s="81"/>
      <c r="C495" s="81"/>
      <c r="D495" s="81"/>
      <c r="E495" s="81"/>
      <c r="F495" s="81"/>
      <c r="G495" s="81"/>
      <c r="H495" s="145"/>
      <c r="I495" s="145"/>
      <c r="J495" s="86"/>
      <c r="K495" s="145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ht="15">
      <c r="A496" s="81"/>
      <c r="B496" s="81"/>
      <c r="C496" s="81"/>
      <c r="D496" s="81"/>
      <c r="E496" s="81"/>
      <c r="F496" s="81"/>
      <c r="G496" s="81"/>
      <c r="H496" s="145"/>
      <c r="I496" s="145"/>
      <c r="J496" s="86"/>
      <c r="K496" s="145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ht="15">
      <c r="A497" s="81"/>
      <c r="B497" s="81"/>
      <c r="C497" s="81"/>
      <c r="D497" s="81"/>
      <c r="E497" s="81"/>
      <c r="F497" s="81"/>
      <c r="G497" s="81"/>
      <c r="H497" s="145"/>
      <c r="I497" s="145"/>
      <c r="J497" s="86"/>
      <c r="K497" s="145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ht="15">
      <c r="A498" s="81"/>
      <c r="B498" s="81"/>
      <c r="C498" s="81"/>
      <c r="D498" s="81"/>
      <c r="E498" s="81"/>
      <c r="F498" s="81"/>
      <c r="G498" s="81"/>
      <c r="H498" s="145"/>
      <c r="I498" s="145"/>
      <c r="J498" s="86"/>
      <c r="K498" s="145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ht="15">
      <c r="A499" s="81"/>
      <c r="B499" s="81"/>
      <c r="C499" s="81"/>
      <c r="D499" s="81"/>
      <c r="E499" s="81"/>
      <c r="F499" s="81"/>
      <c r="G499" s="81"/>
      <c r="H499" s="145"/>
      <c r="I499" s="145"/>
      <c r="J499" s="86"/>
      <c r="K499" s="145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ht="15">
      <c r="A500" s="81"/>
      <c r="B500" s="81"/>
      <c r="C500" s="81"/>
      <c r="D500" s="81"/>
      <c r="E500" s="81"/>
      <c r="F500" s="81"/>
      <c r="G500" s="81"/>
      <c r="H500" s="145"/>
      <c r="I500" s="145"/>
      <c r="J500" s="86"/>
      <c r="K500" s="145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ht="15">
      <c r="A501" s="81"/>
      <c r="B501" s="81"/>
      <c r="C501" s="81"/>
      <c r="D501" s="81"/>
      <c r="E501" s="81"/>
      <c r="F501" s="81"/>
      <c r="G501" s="81"/>
      <c r="H501" s="145"/>
      <c r="I501" s="145"/>
      <c r="J501" s="86"/>
      <c r="K501" s="145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ht="15">
      <c r="A502" s="81"/>
      <c r="B502" s="81"/>
      <c r="C502" s="81"/>
      <c r="D502" s="81"/>
      <c r="E502" s="81"/>
      <c r="F502" s="81"/>
      <c r="G502" s="81"/>
      <c r="H502" s="145"/>
      <c r="I502" s="145"/>
      <c r="J502" s="86"/>
      <c r="K502" s="145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ht="15">
      <c r="A503" s="81"/>
      <c r="B503" s="81"/>
      <c r="C503" s="81"/>
      <c r="D503" s="81"/>
      <c r="E503" s="81"/>
      <c r="F503" s="81"/>
      <c r="G503" s="81"/>
      <c r="H503" s="145"/>
      <c r="I503" s="145"/>
      <c r="J503" s="86"/>
      <c r="K503" s="145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ht="15">
      <c r="A504" s="81"/>
      <c r="B504" s="81"/>
      <c r="C504" s="81"/>
      <c r="D504" s="81"/>
      <c r="E504" s="81"/>
      <c r="F504" s="81"/>
      <c r="G504" s="81"/>
      <c r="H504" s="145"/>
      <c r="I504" s="145"/>
      <c r="J504" s="86"/>
      <c r="K504" s="145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ht="15">
      <c r="A505" s="81"/>
      <c r="B505" s="81"/>
      <c r="C505" s="81"/>
      <c r="D505" s="81"/>
      <c r="E505" s="81"/>
      <c r="F505" s="81"/>
      <c r="G505" s="81"/>
      <c r="H505" s="145"/>
      <c r="I505" s="145"/>
      <c r="J505" s="86"/>
      <c r="K505" s="145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ht="15">
      <c r="A506" s="81"/>
      <c r="B506" s="81"/>
      <c r="C506" s="81"/>
      <c r="D506" s="81"/>
      <c r="E506" s="81"/>
      <c r="F506" s="81"/>
      <c r="G506" s="81"/>
      <c r="H506" s="145"/>
      <c r="I506" s="145"/>
      <c r="J506" s="86"/>
      <c r="K506" s="145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ht="15">
      <c r="A507" s="81"/>
      <c r="B507" s="81"/>
      <c r="C507" s="81"/>
      <c r="D507" s="81"/>
      <c r="E507" s="81"/>
      <c r="F507" s="81"/>
      <c r="G507" s="81"/>
      <c r="H507" s="145"/>
      <c r="I507" s="145"/>
      <c r="J507" s="86"/>
      <c r="K507" s="145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ht="15">
      <c r="A508" s="81"/>
      <c r="B508" s="81"/>
      <c r="C508" s="81"/>
      <c r="D508" s="81"/>
      <c r="E508" s="81"/>
      <c r="F508" s="81"/>
      <c r="G508" s="81"/>
      <c r="H508" s="145"/>
      <c r="I508" s="145"/>
      <c r="J508" s="86"/>
      <c r="K508" s="145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ht="15">
      <c r="A509" s="81"/>
      <c r="B509" s="81"/>
      <c r="C509" s="81"/>
      <c r="D509" s="81"/>
      <c r="E509" s="81"/>
      <c r="F509" s="81"/>
      <c r="G509" s="81"/>
      <c r="H509" s="145"/>
      <c r="I509" s="145"/>
      <c r="J509" s="86"/>
      <c r="K509" s="145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ht="15">
      <c r="A510" s="81"/>
      <c r="B510" s="81"/>
      <c r="C510" s="81"/>
      <c r="D510" s="81"/>
      <c r="E510" s="81"/>
      <c r="F510" s="81"/>
      <c r="G510" s="81"/>
      <c r="H510" s="145"/>
      <c r="I510" s="145"/>
      <c r="J510" s="86"/>
      <c r="K510" s="145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ht="15">
      <c r="A511" s="81"/>
      <c r="B511" s="81"/>
      <c r="C511" s="81"/>
      <c r="D511" s="81"/>
      <c r="E511" s="81"/>
      <c r="F511" s="81"/>
      <c r="G511" s="81"/>
      <c r="H511" s="145"/>
      <c r="I511" s="145"/>
      <c r="J511" s="86"/>
      <c r="K511" s="145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ht="15">
      <c r="A512" s="81"/>
      <c r="B512" s="81"/>
      <c r="C512" s="81"/>
      <c r="D512" s="81"/>
      <c r="E512" s="81"/>
      <c r="F512" s="81"/>
      <c r="G512" s="81"/>
      <c r="H512" s="145"/>
      <c r="I512" s="145"/>
      <c r="J512" s="86"/>
      <c r="K512" s="145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ht="15">
      <c r="A513" s="81"/>
      <c r="B513" s="81"/>
      <c r="C513" s="81"/>
      <c r="D513" s="81"/>
      <c r="E513" s="81"/>
      <c r="F513" s="81"/>
      <c r="G513" s="81"/>
      <c r="H513" s="145"/>
      <c r="I513" s="145"/>
      <c r="J513" s="86"/>
      <c r="K513" s="145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ht="15">
      <c r="A514" s="81"/>
      <c r="B514" s="81"/>
      <c r="C514" s="81"/>
      <c r="D514" s="81"/>
      <c r="E514" s="81"/>
      <c r="F514" s="81"/>
      <c r="G514" s="81"/>
      <c r="H514" s="145"/>
      <c r="I514" s="145"/>
      <c r="J514" s="86"/>
      <c r="K514" s="145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ht="15">
      <c r="A515" s="81"/>
      <c r="B515" s="81"/>
      <c r="C515" s="81"/>
      <c r="D515" s="81"/>
      <c r="E515" s="81"/>
      <c r="F515" s="81"/>
      <c r="G515" s="81"/>
      <c r="H515" s="145"/>
      <c r="I515" s="145"/>
      <c r="J515" s="86"/>
      <c r="K515" s="145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ht="15">
      <c r="A516" s="81"/>
      <c r="B516" s="81"/>
      <c r="C516" s="81"/>
      <c r="D516" s="81"/>
      <c r="E516" s="81"/>
      <c r="F516" s="81"/>
      <c r="G516" s="81"/>
      <c r="H516" s="145"/>
      <c r="I516" s="145"/>
      <c r="J516" s="86"/>
      <c r="K516" s="145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ht="15">
      <c r="A517" s="81"/>
      <c r="B517" s="81"/>
      <c r="C517" s="81"/>
      <c r="D517" s="81"/>
      <c r="E517" s="81"/>
      <c r="F517" s="81"/>
      <c r="G517" s="81"/>
      <c r="H517" s="145"/>
      <c r="I517" s="145"/>
      <c r="J517" s="86"/>
      <c r="K517" s="145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ht="15">
      <c r="A518" s="81"/>
      <c r="B518" s="81"/>
      <c r="C518" s="81"/>
      <c r="D518" s="81"/>
      <c r="E518" s="81"/>
      <c r="F518" s="81"/>
      <c r="G518" s="81"/>
      <c r="H518" s="145"/>
      <c r="I518" s="145"/>
      <c r="J518" s="86"/>
      <c r="K518" s="145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ht="15">
      <c r="A519" s="81"/>
      <c r="B519" s="81"/>
      <c r="C519" s="81"/>
      <c r="D519" s="81"/>
      <c r="E519" s="81"/>
      <c r="F519" s="81"/>
      <c r="G519" s="81"/>
      <c r="H519" s="145"/>
      <c r="I519" s="145"/>
      <c r="J519" s="86"/>
      <c r="K519" s="145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ht="15">
      <c r="A520" s="81"/>
      <c r="B520" s="81"/>
      <c r="C520" s="81"/>
      <c r="D520" s="81"/>
      <c r="E520" s="81"/>
      <c r="F520" s="81"/>
      <c r="G520" s="81"/>
      <c r="H520" s="145"/>
      <c r="I520" s="145"/>
      <c r="J520" s="86"/>
      <c r="K520" s="145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ht="15">
      <c r="A521" s="81"/>
      <c r="B521" s="81"/>
      <c r="C521" s="81"/>
      <c r="D521" s="81"/>
      <c r="E521" s="81"/>
      <c r="F521" s="81"/>
      <c r="G521" s="81"/>
      <c r="H521" s="145"/>
      <c r="I521" s="145"/>
      <c r="J521" s="86"/>
      <c r="K521" s="145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ht="15">
      <c r="A522" s="81"/>
      <c r="B522" s="81"/>
      <c r="C522" s="81"/>
      <c r="D522" s="81"/>
      <c r="E522" s="81"/>
      <c r="F522" s="81"/>
      <c r="G522" s="81"/>
      <c r="H522" s="145"/>
      <c r="I522" s="145"/>
      <c r="J522" s="86"/>
      <c r="K522" s="145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ht="15">
      <c r="A523" s="81"/>
      <c r="B523" s="81"/>
      <c r="C523" s="81"/>
      <c r="D523" s="81"/>
      <c r="E523" s="81"/>
      <c r="F523" s="81"/>
      <c r="G523" s="81"/>
      <c r="H523" s="145"/>
      <c r="I523" s="145"/>
      <c r="J523" s="86"/>
      <c r="K523" s="145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ht="15">
      <c r="A524" s="81"/>
      <c r="B524" s="81"/>
      <c r="C524" s="81"/>
      <c r="D524" s="81"/>
      <c r="E524" s="81"/>
      <c r="F524" s="81"/>
      <c r="G524" s="81"/>
      <c r="H524" s="145"/>
      <c r="I524" s="145"/>
      <c r="J524" s="86"/>
      <c r="K524" s="145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ht="15">
      <c r="A525" s="81"/>
      <c r="B525" s="81"/>
      <c r="C525" s="81"/>
      <c r="D525" s="81"/>
      <c r="E525" s="81"/>
      <c r="F525" s="81"/>
      <c r="G525" s="81"/>
      <c r="H525" s="145"/>
      <c r="I525" s="145"/>
      <c r="J525" s="86"/>
      <c r="K525" s="145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ht="15">
      <c r="A526" s="81"/>
      <c r="B526" s="81"/>
      <c r="C526" s="81"/>
      <c r="D526" s="81"/>
      <c r="E526" s="81"/>
      <c r="F526" s="81"/>
      <c r="G526" s="81"/>
      <c r="H526" s="145"/>
      <c r="I526" s="145"/>
      <c r="J526" s="86"/>
      <c r="K526" s="145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ht="15">
      <c r="A527" s="81"/>
      <c r="B527" s="81"/>
      <c r="C527" s="81"/>
      <c r="D527" s="81"/>
      <c r="E527" s="81"/>
      <c r="F527" s="81"/>
      <c r="G527" s="81"/>
      <c r="H527" s="145"/>
      <c r="I527" s="145"/>
      <c r="J527" s="86"/>
      <c r="K527" s="145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ht="15">
      <c r="A528" s="81"/>
      <c r="B528" s="81"/>
      <c r="C528" s="81"/>
      <c r="D528" s="81"/>
      <c r="E528" s="81"/>
      <c r="F528" s="81"/>
      <c r="G528" s="81"/>
      <c r="H528" s="145"/>
      <c r="I528" s="145"/>
      <c r="J528" s="86"/>
      <c r="K528" s="145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ht="15">
      <c r="A529" s="81"/>
      <c r="B529" s="81"/>
      <c r="C529" s="81"/>
      <c r="D529" s="81"/>
      <c r="E529" s="81"/>
      <c r="F529" s="81"/>
      <c r="G529" s="81"/>
      <c r="H529" s="145"/>
      <c r="I529" s="145"/>
      <c r="J529" s="86"/>
      <c r="K529" s="145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ht="15">
      <c r="A530" s="81"/>
      <c r="B530" s="81"/>
      <c r="C530" s="81"/>
      <c r="D530" s="81"/>
      <c r="E530" s="81"/>
      <c r="F530" s="81"/>
      <c r="G530" s="81"/>
      <c r="H530" s="145"/>
      <c r="I530" s="145"/>
      <c r="J530" s="86"/>
      <c r="K530" s="145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ht="15">
      <c r="A531" s="81"/>
      <c r="B531" s="81"/>
      <c r="C531" s="81"/>
      <c r="D531" s="81"/>
      <c r="E531" s="81"/>
      <c r="F531" s="81"/>
      <c r="G531" s="81"/>
      <c r="H531" s="145"/>
      <c r="I531" s="145"/>
      <c r="J531" s="86"/>
      <c r="K531" s="145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ht="15">
      <c r="A532" s="81"/>
      <c r="B532" s="81"/>
      <c r="C532" s="81"/>
      <c r="D532" s="81"/>
      <c r="E532" s="81"/>
      <c r="F532" s="81"/>
      <c r="G532" s="81"/>
      <c r="H532" s="145"/>
      <c r="I532" s="145"/>
      <c r="J532" s="86"/>
      <c r="K532" s="145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ht="15">
      <c r="A533" s="81"/>
      <c r="B533" s="81"/>
      <c r="C533" s="81"/>
      <c r="D533" s="81"/>
      <c r="E533" s="81"/>
      <c r="F533" s="81"/>
      <c r="G533" s="81"/>
      <c r="H533" s="145"/>
      <c r="I533" s="145"/>
      <c r="J533" s="86"/>
      <c r="K533" s="145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ht="15">
      <c r="A534" s="81"/>
      <c r="B534" s="81"/>
      <c r="C534" s="81"/>
      <c r="D534" s="81"/>
      <c r="E534" s="81"/>
      <c r="F534" s="81"/>
      <c r="G534" s="81"/>
      <c r="H534" s="145"/>
      <c r="I534" s="145"/>
      <c r="J534" s="86"/>
      <c r="K534" s="145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ht="15">
      <c r="A535" s="81"/>
      <c r="B535" s="81"/>
      <c r="C535" s="81"/>
      <c r="D535" s="81"/>
      <c r="E535" s="81"/>
      <c r="F535" s="81"/>
      <c r="G535" s="81"/>
      <c r="H535" s="145"/>
      <c r="I535" s="145"/>
      <c r="J535" s="86"/>
      <c r="K535" s="145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ht="15">
      <c r="A536" s="81"/>
      <c r="B536" s="81"/>
      <c r="C536" s="81"/>
      <c r="D536" s="81"/>
      <c r="E536" s="81"/>
      <c r="F536" s="81"/>
      <c r="G536" s="81"/>
      <c r="H536" s="145"/>
      <c r="I536" s="145"/>
      <c r="J536" s="86"/>
      <c r="K536" s="145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ht="15">
      <c r="A537" s="81"/>
      <c r="B537" s="81"/>
      <c r="C537" s="81"/>
      <c r="D537" s="81"/>
      <c r="E537" s="81"/>
      <c r="F537" s="81"/>
      <c r="G537" s="81"/>
      <c r="H537" s="145"/>
      <c r="I537" s="145"/>
      <c r="J537" s="86"/>
      <c r="K537" s="145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ht="15">
      <c r="A538" s="81"/>
      <c r="B538" s="81"/>
      <c r="C538" s="81"/>
      <c r="D538" s="81"/>
      <c r="E538" s="81"/>
      <c r="F538" s="81"/>
      <c r="G538" s="81"/>
      <c r="H538" s="145"/>
      <c r="I538" s="145"/>
      <c r="J538" s="86"/>
      <c r="K538" s="145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ht="15">
      <c r="A539" s="81"/>
      <c r="B539" s="81"/>
      <c r="C539" s="81"/>
      <c r="D539" s="81"/>
      <c r="E539" s="81"/>
      <c r="F539" s="81"/>
      <c r="G539" s="81"/>
      <c r="H539" s="145"/>
      <c r="I539" s="145"/>
      <c r="J539" s="86"/>
      <c r="K539" s="145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ht="15">
      <c r="A540" s="81"/>
      <c r="B540" s="81"/>
      <c r="C540" s="81"/>
      <c r="D540" s="81"/>
      <c r="E540" s="81"/>
      <c r="F540" s="81"/>
      <c r="G540" s="81"/>
      <c r="H540" s="145"/>
      <c r="I540" s="145"/>
      <c r="J540" s="86"/>
      <c r="K540" s="145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ht="15">
      <c r="A541" s="81"/>
      <c r="B541" s="81"/>
      <c r="C541" s="81"/>
      <c r="D541" s="81"/>
      <c r="E541" s="81"/>
      <c r="F541" s="81"/>
      <c r="G541" s="81"/>
      <c r="H541" s="145"/>
      <c r="I541" s="145"/>
      <c r="J541" s="86"/>
      <c r="K541" s="145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ht="15">
      <c r="A542" s="81"/>
      <c r="B542" s="81"/>
      <c r="C542" s="81"/>
      <c r="D542" s="81"/>
      <c r="E542" s="81"/>
      <c r="F542" s="81"/>
      <c r="G542" s="81"/>
      <c r="H542" s="145"/>
      <c r="I542" s="145"/>
      <c r="J542" s="86"/>
      <c r="K542" s="145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ht="15">
      <c r="A543" s="81"/>
      <c r="B543" s="81"/>
      <c r="C543" s="81"/>
      <c r="D543" s="81"/>
      <c r="E543" s="81"/>
      <c r="F543" s="81"/>
      <c r="G543" s="81"/>
      <c r="H543" s="145"/>
      <c r="I543" s="145"/>
      <c r="J543" s="86"/>
      <c r="K543" s="145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ht="15">
      <c r="A544" s="81"/>
      <c r="B544" s="81"/>
      <c r="C544" s="81"/>
      <c r="D544" s="81"/>
      <c r="E544" s="81"/>
      <c r="F544" s="81"/>
      <c r="G544" s="81"/>
      <c r="H544" s="145"/>
      <c r="I544" s="145"/>
      <c r="J544" s="86"/>
      <c r="K544" s="145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ht="15">
      <c r="A545" s="81"/>
      <c r="B545" s="81"/>
      <c r="C545" s="81"/>
      <c r="D545" s="81"/>
      <c r="E545" s="81"/>
      <c r="F545" s="81"/>
      <c r="G545" s="81"/>
      <c r="H545" s="145"/>
      <c r="I545" s="145"/>
      <c r="J545" s="86"/>
      <c r="K545" s="145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ht="15">
      <c r="A546" s="81"/>
      <c r="B546" s="81"/>
      <c r="C546" s="81"/>
      <c r="D546" s="81"/>
      <c r="E546" s="81"/>
      <c r="F546" s="81"/>
      <c r="G546" s="81"/>
      <c r="H546" s="145"/>
      <c r="I546" s="145"/>
      <c r="J546" s="86"/>
      <c r="K546" s="145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ht="15">
      <c r="A547" s="81"/>
      <c r="B547" s="81"/>
      <c r="C547" s="81"/>
      <c r="D547" s="81"/>
      <c r="E547" s="81"/>
      <c r="F547" s="81"/>
      <c r="G547" s="81"/>
      <c r="H547" s="145"/>
      <c r="I547" s="145"/>
      <c r="J547" s="86"/>
      <c r="K547" s="145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ht="15">
      <c r="A548" s="81"/>
      <c r="B548" s="81"/>
      <c r="C548" s="81"/>
      <c r="D548" s="81"/>
      <c r="E548" s="81"/>
      <c r="F548" s="81"/>
      <c r="G548" s="81"/>
      <c r="H548" s="145"/>
      <c r="I548" s="145"/>
      <c r="J548" s="86"/>
      <c r="K548" s="145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ht="15">
      <c r="A549" s="81"/>
      <c r="B549" s="81"/>
      <c r="C549" s="81"/>
      <c r="D549" s="81"/>
      <c r="E549" s="81"/>
      <c r="F549" s="81"/>
      <c r="G549" s="81"/>
      <c r="H549" s="145"/>
      <c r="I549" s="145"/>
      <c r="J549" s="86"/>
      <c r="K549" s="145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ht="15">
      <c r="A550" s="81"/>
      <c r="B550" s="81"/>
      <c r="C550" s="81"/>
      <c r="D550" s="81"/>
      <c r="E550" s="81"/>
      <c r="F550" s="81"/>
      <c r="G550" s="81"/>
      <c r="H550" s="145"/>
      <c r="I550" s="145"/>
      <c r="J550" s="86"/>
      <c r="K550" s="145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ht="15">
      <c r="A551" s="81"/>
      <c r="B551" s="81"/>
      <c r="C551" s="81"/>
      <c r="D551" s="81"/>
      <c r="E551" s="81"/>
      <c r="F551" s="81"/>
      <c r="G551" s="81"/>
      <c r="H551" s="145"/>
      <c r="I551" s="145"/>
      <c r="J551" s="86"/>
      <c r="K551" s="145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ht="15">
      <c r="A552" s="81"/>
      <c r="B552" s="81"/>
      <c r="C552" s="81"/>
      <c r="D552" s="81"/>
      <c r="E552" s="81"/>
      <c r="F552" s="81"/>
      <c r="G552" s="81"/>
      <c r="H552" s="145"/>
      <c r="I552" s="145"/>
      <c r="J552" s="86"/>
      <c r="K552" s="145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ht="15">
      <c r="A553" s="81"/>
      <c r="B553" s="81"/>
      <c r="C553" s="81"/>
      <c r="D553" s="81"/>
      <c r="E553" s="81"/>
      <c r="F553" s="81"/>
      <c r="G553" s="81"/>
      <c r="H553" s="145"/>
      <c r="I553" s="145"/>
      <c r="J553" s="86"/>
      <c r="K553" s="145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ht="15">
      <c r="A554" s="81"/>
      <c r="B554" s="81"/>
      <c r="C554" s="81"/>
      <c r="D554" s="81"/>
      <c r="E554" s="81"/>
      <c r="F554" s="81"/>
      <c r="G554" s="81"/>
      <c r="H554" s="145"/>
      <c r="I554" s="145"/>
      <c r="J554" s="86"/>
      <c r="K554" s="145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ht="15">
      <c r="A555" s="81"/>
      <c r="B555" s="81"/>
      <c r="C555" s="81"/>
      <c r="D555" s="81"/>
      <c r="E555" s="81"/>
      <c r="F555" s="81"/>
      <c r="G555" s="81"/>
      <c r="H555" s="145"/>
      <c r="I555" s="145"/>
      <c r="J555" s="86"/>
      <c r="K555" s="145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ht="15">
      <c r="A556" s="81"/>
      <c r="B556" s="81"/>
      <c r="C556" s="81"/>
      <c r="D556" s="81"/>
      <c r="E556" s="81"/>
      <c r="F556" s="81"/>
      <c r="G556" s="81"/>
      <c r="H556" s="145"/>
      <c r="I556" s="145"/>
      <c r="J556" s="86"/>
      <c r="K556" s="145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ht="15">
      <c r="A557" s="81"/>
      <c r="B557" s="81"/>
      <c r="C557" s="81"/>
      <c r="D557" s="81"/>
      <c r="E557" s="81"/>
      <c r="F557" s="81"/>
      <c r="G557" s="81"/>
      <c r="H557" s="145"/>
      <c r="I557" s="145"/>
      <c r="J557" s="86"/>
      <c r="K557" s="145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ht="15">
      <c r="A558" s="81"/>
      <c r="B558" s="81"/>
      <c r="C558" s="81"/>
      <c r="D558" s="81"/>
      <c r="E558" s="81"/>
      <c r="F558" s="81"/>
      <c r="G558" s="81"/>
      <c r="H558" s="145"/>
      <c r="I558" s="145"/>
      <c r="J558" s="86"/>
      <c r="K558" s="145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ht="15">
      <c r="A559" s="81"/>
      <c r="B559" s="81"/>
      <c r="C559" s="81"/>
      <c r="D559" s="81"/>
      <c r="E559" s="81"/>
      <c r="F559" s="81"/>
      <c r="G559" s="81"/>
      <c r="H559" s="145"/>
      <c r="I559" s="145"/>
      <c r="J559" s="86"/>
      <c r="K559" s="145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ht="15">
      <c r="A560" s="81"/>
      <c r="B560" s="81"/>
      <c r="C560" s="81"/>
      <c r="D560" s="81"/>
      <c r="E560" s="81"/>
      <c r="F560" s="81"/>
      <c r="G560" s="81"/>
      <c r="H560" s="145"/>
      <c r="I560" s="145"/>
      <c r="J560" s="86"/>
      <c r="K560" s="145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ht="15">
      <c r="A561" s="81"/>
      <c r="B561" s="81"/>
      <c r="C561" s="81"/>
      <c r="D561" s="81"/>
      <c r="E561" s="81"/>
      <c r="F561" s="81"/>
      <c r="G561" s="81"/>
      <c r="H561" s="145"/>
      <c r="I561" s="145"/>
      <c r="J561" s="86"/>
      <c r="K561" s="145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ht="15">
      <c r="A562" s="81"/>
      <c r="B562" s="81"/>
      <c r="C562" s="81"/>
      <c r="D562" s="81"/>
      <c r="E562" s="81"/>
      <c r="F562" s="81"/>
      <c r="G562" s="81"/>
      <c r="H562" s="145"/>
      <c r="I562" s="145"/>
      <c r="J562" s="86"/>
      <c r="K562" s="145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ht="15">
      <c r="A563" s="81"/>
      <c r="B563" s="81"/>
      <c r="C563" s="81"/>
      <c r="D563" s="81"/>
      <c r="E563" s="81"/>
      <c r="F563" s="81"/>
      <c r="G563" s="81"/>
      <c r="H563" s="145"/>
      <c r="I563" s="145"/>
      <c r="J563" s="86"/>
      <c r="K563" s="145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ht="15">
      <c r="A564" s="81"/>
      <c r="B564" s="81"/>
      <c r="C564" s="81"/>
      <c r="D564" s="81"/>
      <c r="E564" s="81"/>
      <c r="F564" s="81"/>
      <c r="G564" s="81"/>
      <c r="H564" s="145"/>
      <c r="I564" s="145"/>
      <c r="J564" s="86"/>
      <c r="K564" s="145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ht="15">
      <c r="A565" s="81"/>
      <c r="B565" s="81"/>
      <c r="C565" s="81"/>
      <c r="D565" s="81"/>
      <c r="E565" s="81"/>
      <c r="F565" s="81"/>
      <c r="G565" s="81"/>
      <c r="H565" s="145"/>
      <c r="I565" s="145"/>
      <c r="J565" s="86"/>
      <c r="K565" s="145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ht="15">
      <c r="A566" s="81"/>
      <c r="B566" s="81"/>
      <c r="C566" s="81"/>
      <c r="D566" s="81"/>
      <c r="E566" s="81"/>
      <c r="F566" s="81"/>
      <c r="G566" s="81"/>
      <c r="H566" s="145"/>
      <c r="I566" s="145"/>
      <c r="J566" s="86"/>
      <c r="K566" s="145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ht="15">
      <c r="A567" s="81"/>
      <c r="B567" s="81"/>
      <c r="C567" s="81"/>
      <c r="D567" s="81"/>
      <c r="E567" s="81"/>
      <c r="F567" s="81"/>
      <c r="G567" s="81"/>
      <c r="H567" s="145"/>
      <c r="I567" s="145"/>
      <c r="J567" s="86"/>
      <c r="K567" s="145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ht="15">
      <c r="A568" s="81"/>
      <c r="B568" s="81"/>
      <c r="C568" s="81"/>
      <c r="D568" s="81"/>
      <c r="E568" s="81"/>
      <c r="F568" s="81"/>
      <c r="G568" s="81"/>
      <c r="H568" s="145"/>
      <c r="I568" s="145"/>
      <c r="J568" s="86"/>
      <c r="K568" s="145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ht="15">
      <c r="A569" s="81"/>
      <c r="B569" s="81"/>
      <c r="C569" s="81"/>
      <c r="D569" s="81"/>
      <c r="E569" s="81"/>
      <c r="F569" s="81"/>
      <c r="G569" s="81"/>
      <c r="H569" s="145"/>
      <c r="I569" s="145"/>
      <c r="J569" s="86"/>
      <c r="K569" s="145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ht="15">
      <c r="A570" s="81"/>
      <c r="B570" s="81"/>
      <c r="C570" s="81"/>
      <c r="D570" s="81"/>
      <c r="E570" s="81"/>
      <c r="F570" s="81"/>
      <c r="G570" s="81"/>
      <c r="H570" s="145"/>
      <c r="I570" s="145"/>
      <c r="J570" s="86"/>
      <c r="K570" s="145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ht="15">
      <c r="A571" s="81"/>
      <c r="B571" s="81"/>
      <c r="C571" s="81"/>
      <c r="D571" s="81"/>
      <c r="E571" s="81"/>
      <c r="F571" s="81"/>
      <c r="G571" s="81"/>
      <c r="H571" s="145"/>
      <c r="I571" s="145"/>
      <c r="J571" s="86"/>
      <c r="K571" s="145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ht="15">
      <c r="A572" s="81"/>
      <c r="B572" s="81"/>
      <c r="C572" s="81"/>
      <c r="D572" s="81"/>
      <c r="E572" s="81"/>
      <c r="F572" s="81"/>
      <c r="G572" s="81"/>
      <c r="H572" s="145"/>
      <c r="I572" s="145"/>
      <c r="J572" s="86"/>
      <c r="K572" s="145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ht="15">
      <c r="A573" s="81"/>
      <c r="B573" s="81"/>
      <c r="C573" s="81"/>
      <c r="D573" s="81"/>
      <c r="E573" s="81"/>
      <c r="F573" s="81"/>
      <c r="G573" s="81"/>
      <c r="H573" s="145"/>
      <c r="I573" s="145"/>
      <c r="J573" s="86"/>
      <c r="K573" s="145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ht="15">
      <c r="A574" s="81"/>
      <c r="B574" s="81"/>
      <c r="C574" s="81"/>
      <c r="D574" s="81"/>
      <c r="E574" s="81"/>
      <c r="F574" s="81"/>
      <c r="G574" s="81"/>
      <c r="H574" s="145"/>
      <c r="I574" s="145"/>
      <c r="J574" s="86"/>
      <c r="K574" s="145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ht="15">
      <c r="A575" s="81"/>
      <c r="B575" s="81"/>
      <c r="C575" s="81"/>
      <c r="D575" s="81"/>
      <c r="E575" s="81"/>
      <c r="F575" s="81"/>
      <c r="G575" s="81"/>
      <c r="H575" s="145"/>
      <c r="I575" s="145"/>
      <c r="J575" s="86"/>
      <c r="K575" s="145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ht="15">
      <c r="A576" s="81"/>
      <c r="B576" s="81"/>
      <c r="C576" s="81"/>
      <c r="D576" s="81"/>
      <c r="E576" s="81"/>
      <c r="F576" s="81"/>
      <c r="G576" s="81"/>
      <c r="H576" s="145"/>
      <c r="I576" s="145"/>
      <c r="J576" s="86"/>
      <c r="K576" s="145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ht="15">
      <c r="A577" s="81"/>
      <c r="B577" s="81"/>
      <c r="C577" s="81"/>
      <c r="D577" s="81"/>
      <c r="E577" s="81"/>
      <c r="F577" s="81"/>
      <c r="G577" s="81"/>
      <c r="H577" s="145"/>
      <c r="I577" s="145"/>
      <c r="J577" s="86"/>
      <c r="K577" s="145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ht="15">
      <c r="A578" s="81"/>
      <c r="B578" s="81"/>
      <c r="C578" s="81"/>
      <c r="D578" s="81"/>
      <c r="E578" s="81"/>
      <c r="F578" s="81"/>
      <c r="G578" s="81"/>
      <c r="H578" s="145"/>
      <c r="I578" s="145"/>
      <c r="J578" s="86"/>
      <c r="K578" s="145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ht="15">
      <c r="A579" s="81"/>
      <c r="B579" s="81"/>
      <c r="C579" s="81"/>
      <c r="D579" s="81"/>
      <c r="E579" s="81"/>
      <c r="F579" s="81"/>
      <c r="G579" s="81"/>
      <c r="H579" s="145"/>
      <c r="I579" s="145"/>
      <c r="J579" s="86"/>
      <c r="K579" s="145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ht="15">
      <c r="A580" s="81"/>
      <c r="B580" s="81"/>
      <c r="C580" s="81"/>
      <c r="D580" s="81"/>
      <c r="E580" s="81"/>
      <c r="F580" s="81"/>
      <c r="G580" s="81"/>
      <c r="H580" s="145"/>
      <c r="I580" s="145"/>
      <c r="J580" s="86"/>
      <c r="K580" s="145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ht="15">
      <c r="A581" s="81"/>
      <c r="B581" s="81"/>
      <c r="C581" s="81"/>
      <c r="D581" s="81"/>
      <c r="E581" s="81"/>
      <c r="F581" s="81"/>
      <c r="G581" s="81"/>
      <c r="H581" s="145"/>
      <c r="I581" s="145"/>
      <c r="J581" s="86"/>
      <c r="K581" s="145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ht="15">
      <c r="A582" s="81"/>
      <c r="B582" s="81"/>
      <c r="C582" s="81"/>
      <c r="D582" s="81"/>
      <c r="E582" s="81"/>
      <c r="F582" s="81"/>
      <c r="G582" s="81"/>
      <c r="H582" s="145"/>
      <c r="I582" s="145"/>
      <c r="J582" s="86"/>
      <c r="K582" s="145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ht="15">
      <c r="A583" s="81"/>
      <c r="B583" s="81"/>
      <c r="C583" s="81"/>
      <c r="D583" s="81"/>
      <c r="E583" s="81"/>
      <c r="F583" s="81"/>
      <c r="G583" s="81"/>
      <c r="H583" s="145"/>
      <c r="I583" s="145"/>
      <c r="J583" s="86"/>
      <c r="K583" s="145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ht="15">
      <c r="A584" s="81"/>
      <c r="B584" s="81"/>
      <c r="C584" s="81"/>
      <c r="D584" s="81"/>
      <c r="E584" s="81"/>
      <c r="F584" s="81"/>
      <c r="G584" s="81"/>
      <c r="H584" s="145"/>
      <c r="I584" s="145"/>
      <c r="J584" s="86"/>
      <c r="K584" s="145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ht="15">
      <c r="A585" s="81"/>
      <c r="B585" s="81"/>
      <c r="C585" s="81"/>
      <c r="D585" s="81"/>
      <c r="E585" s="81"/>
      <c r="F585" s="81"/>
      <c r="G585" s="81"/>
      <c r="H585" s="145"/>
      <c r="I585" s="145"/>
      <c r="J585" s="86"/>
      <c r="K585" s="145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ht="15">
      <c r="A586" s="81"/>
      <c r="B586" s="81"/>
      <c r="C586" s="81"/>
      <c r="D586" s="81"/>
      <c r="E586" s="81"/>
      <c r="F586" s="81"/>
      <c r="G586" s="81"/>
      <c r="H586" s="145"/>
      <c r="I586" s="145"/>
      <c r="J586" s="86"/>
      <c r="K586" s="145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ht="15">
      <c r="A587" s="81"/>
      <c r="B587" s="81"/>
      <c r="C587" s="81"/>
      <c r="D587" s="81"/>
      <c r="E587" s="81"/>
      <c r="F587" s="81"/>
      <c r="G587" s="81"/>
      <c r="H587" s="145"/>
      <c r="I587" s="145"/>
      <c r="J587" s="86"/>
      <c r="K587" s="145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ht="15">
      <c r="A588" s="81"/>
      <c r="B588" s="81"/>
      <c r="C588" s="81"/>
      <c r="D588" s="81"/>
      <c r="E588" s="81"/>
      <c r="F588" s="81"/>
      <c r="G588" s="81"/>
      <c r="H588" s="145"/>
      <c r="I588" s="145"/>
      <c r="J588" s="86"/>
      <c r="K588" s="145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ht="15">
      <c r="A589" s="81"/>
      <c r="B589" s="81"/>
      <c r="C589" s="81"/>
      <c r="D589" s="81"/>
      <c r="E589" s="81"/>
      <c r="F589" s="81"/>
      <c r="G589" s="81"/>
      <c r="H589" s="145"/>
      <c r="I589" s="145"/>
      <c r="J589" s="86"/>
      <c r="K589" s="145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ht="15">
      <c r="A590" s="81"/>
      <c r="B590" s="81"/>
      <c r="C590" s="81"/>
      <c r="D590" s="81"/>
      <c r="E590" s="81"/>
      <c r="F590" s="81"/>
      <c r="G590" s="81"/>
      <c r="H590" s="145"/>
      <c r="I590" s="145"/>
      <c r="J590" s="86"/>
      <c r="K590" s="145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ht="15">
      <c r="A591" s="81"/>
      <c r="B591" s="81"/>
      <c r="C591" s="81"/>
      <c r="D591" s="81"/>
      <c r="E591" s="81"/>
      <c r="F591" s="81"/>
      <c r="G591" s="81"/>
      <c r="H591" s="145"/>
      <c r="I591" s="145"/>
      <c r="J591" s="86"/>
      <c r="K591" s="145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ht="15">
      <c r="A592" s="81"/>
      <c r="B592" s="81"/>
      <c r="C592" s="81"/>
      <c r="D592" s="81"/>
      <c r="E592" s="81"/>
      <c r="F592" s="81"/>
      <c r="G592" s="81"/>
      <c r="H592" s="145"/>
      <c r="I592" s="145"/>
      <c r="J592" s="86"/>
      <c r="K592" s="145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ht="15">
      <c r="A593" s="81"/>
      <c r="B593" s="81"/>
      <c r="C593" s="81"/>
      <c r="D593" s="81"/>
      <c r="E593" s="81"/>
      <c r="F593" s="81"/>
      <c r="G593" s="81"/>
      <c r="H593" s="145"/>
      <c r="I593" s="145"/>
      <c r="J593" s="86"/>
      <c r="K593" s="145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ht="15">
      <c r="A594" s="81"/>
      <c r="B594" s="81"/>
      <c r="C594" s="81"/>
      <c r="D594" s="81"/>
      <c r="E594" s="81"/>
      <c r="F594" s="81"/>
      <c r="G594" s="81"/>
      <c r="H594" s="145"/>
      <c r="I594" s="145"/>
      <c r="J594" s="86"/>
      <c r="K594" s="145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ht="15">
      <c r="A595" s="81"/>
      <c r="B595" s="81"/>
      <c r="C595" s="81"/>
      <c r="D595" s="81"/>
      <c r="E595" s="81"/>
      <c r="F595" s="81"/>
      <c r="G595" s="81"/>
      <c r="H595" s="145"/>
      <c r="I595" s="145"/>
      <c r="J595" s="86"/>
      <c r="K595" s="145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ht="15">
      <c r="A596" s="81"/>
      <c r="B596" s="81"/>
      <c r="C596" s="81"/>
      <c r="D596" s="81"/>
      <c r="E596" s="81"/>
      <c r="F596" s="81"/>
      <c r="G596" s="81"/>
      <c r="H596" s="145"/>
      <c r="I596" s="145"/>
      <c r="J596" s="86"/>
      <c r="K596" s="145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ht="15">
      <c r="A597" s="81"/>
      <c r="B597" s="81"/>
      <c r="C597" s="81"/>
      <c r="D597" s="81"/>
      <c r="E597" s="81"/>
      <c r="F597" s="81"/>
      <c r="G597" s="81"/>
      <c r="H597" s="145"/>
      <c r="I597" s="145"/>
      <c r="J597" s="86"/>
      <c r="K597" s="145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ht="15">
      <c r="A598" s="81"/>
      <c r="B598" s="81"/>
      <c r="C598" s="81"/>
      <c r="D598" s="81"/>
      <c r="E598" s="81"/>
      <c r="F598" s="81"/>
      <c r="G598" s="81"/>
      <c r="H598" s="145"/>
      <c r="I598" s="145"/>
      <c r="J598" s="86"/>
      <c r="K598" s="145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ht="15">
      <c r="A599" s="81"/>
      <c r="B599" s="81"/>
      <c r="C599" s="81"/>
      <c r="D599" s="81"/>
      <c r="E599" s="81"/>
      <c r="F599" s="81"/>
      <c r="G599" s="81"/>
      <c r="H599" s="145"/>
      <c r="I599" s="145"/>
      <c r="J599" s="86"/>
      <c r="K599" s="145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ht="15">
      <c r="A600" s="81"/>
      <c r="B600" s="81"/>
      <c r="C600" s="81"/>
      <c r="D600" s="81"/>
      <c r="E600" s="81"/>
      <c r="F600" s="81"/>
      <c r="G600" s="81"/>
      <c r="H600" s="145"/>
      <c r="I600" s="145"/>
      <c r="J600" s="86"/>
      <c r="K600" s="145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ht="15">
      <c r="A601" s="81"/>
      <c r="B601" s="81"/>
      <c r="C601" s="81"/>
      <c r="D601" s="81"/>
      <c r="E601" s="81"/>
      <c r="F601" s="81"/>
      <c r="G601" s="81"/>
      <c r="H601" s="145"/>
      <c r="I601" s="145"/>
      <c r="J601" s="86"/>
      <c r="K601" s="145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ht="15">
      <c r="A602" s="81"/>
      <c r="B602" s="81"/>
      <c r="C602" s="81"/>
      <c r="D602" s="81"/>
      <c r="E602" s="81"/>
      <c r="F602" s="81"/>
      <c r="G602" s="81"/>
      <c r="H602" s="145"/>
      <c r="I602" s="145"/>
      <c r="J602" s="86"/>
      <c r="K602" s="145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ht="15">
      <c r="A603" s="81"/>
      <c r="B603" s="81"/>
      <c r="C603" s="81"/>
      <c r="D603" s="81"/>
      <c r="E603" s="81"/>
      <c r="F603" s="81"/>
      <c r="G603" s="81"/>
      <c r="H603" s="145"/>
      <c r="I603" s="145"/>
      <c r="J603" s="86"/>
      <c r="K603" s="145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ht="15">
      <c r="A604" s="81"/>
      <c r="B604" s="81"/>
      <c r="C604" s="81"/>
      <c r="D604" s="81"/>
      <c r="E604" s="81"/>
      <c r="F604" s="81"/>
      <c r="G604" s="81"/>
      <c r="H604" s="145"/>
      <c r="I604" s="145"/>
      <c r="J604" s="86"/>
      <c r="K604" s="145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ht="15">
      <c r="A605" s="81"/>
      <c r="B605" s="81"/>
      <c r="C605" s="81"/>
      <c r="D605" s="81"/>
      <c r="E605" s="81"/>
      <c r="F605" s="81"/>
      <c r="G605" s="81"/>
      <c r="H605" s="145"/>
      <c r="I605" s="145"/>
      <c r="J605" s="86"/>
      <c r="K605" s="145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ht="15">
      <c r="A606" s="81"/>
      <c r="B606" s="81"/>
      <c r="C606" s="81"/>
      <c r="D606" s="81"/>
      <c r="E606" s="81"/>
      <c r="F606" s="81"/>
      <c r="G606" s="81"/>
      <c r="H606" s="145"/>
      <c r="I606" s="145"/>
      <c r="J606" s="86"/>
      <c r="K606" s="145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ht="15">
      <c r="A607" s="81"/>
      <c r="B607" s="81"/>
      <c r="C607" s="81"/>
      <c r="D607" s="81"/>
      <c r="E607" s="81"/>
      <c r="F607" s="81"/>
      <c r="G607" s="81"/>
      <c r="H607" s="145"/>
      <c r="I607" s="145"/>
      <c r="J607" s="86"/>
      <c r="K607" s="145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ht="15">
      <c r="A608" s="81"/>
      <c r="B608" s="81"/>
      <c r="C608" s="81"/>
      <c r="D608" s="81"/>
      <c r="E608" s="81"/>
      <c r="F608" s="81"/>
      <c r="G608" s="81"/>
      <c r="H608" s="145"/>
      <c r="I608" s="145"/>
      <c r="J608" s="86"/>
      <c r="K608" s="145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ht="15">
      <c r="A609" s="81"/>
      <c r="B609" s="81"/>
      <c r="C609" s="81"/>
      <c r="D609" s="81"/>
      <c r="E609" s="81"/>
      <c r="F609" s="81"/>
      <c r="G609" s="81"/>
      <c r="H609" s="145"/>
      <c r="I609" s="145"/>
      <c r="J609" s="86"/>
      <c r="K609" s="145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ht="15">
      <c r="A610" s="81"/>
      <c r="B610" s="81"/>
      <c r="C610" s="81"/>
      <c r="D610" s="81"/>
      <c r="E610" s="81"/>
      <c r="F610" s="81"/>
      <c r="G610" s="81"/>
      <c r="H610" s="145"/>
      <c r="I610" s="145"/>
      <c r="J610" s="86"/>
      <c r="K610" s="145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ht="15">
      <c r="A611" s="81"/>
      <c r="B611" s="81"/>
      <c r="C611" s="81"/>
      <c r="D611" s="81"/>
      <c r="E611" s="81"/>
      <c r="F611" s="81"/>
      <c r="G611" s="81"/>
      <c r="H611" s="145"/>
      <c r="I611" s="145"/>
      <c r="J611" s="86"/>
      <c r="K611" s="145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ht="15">
      <c r="A612" s="81"/>
      <c r="B612" s="81"/>
      <c r="C612" s="81"/>
      <c r="D612" s="81"/>
      <c r="E612" s="81"/>
      <c r="F612" s="81"/>
      <c r="G612" s="81"/>
      <c r="H612" s="145"/>
      <c r="I612" s="145"/>
      <c r="J612" s="86"/>
      <c r="K612" s="145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ht="15">
      <c r="A613" s="81"/>
      <c r="B613" s="81"/>
      <c r="C613" s="81"/>
      <c r="D613" s="81"/>
      <c r="E613" s="81"/>
      <c r="F613" s="81"/>
      <c r="G613" s="81"/>
      <c r="H613" s="145"/>
      <c r="I613" s="145"/>
      <c r="J613" s="86"/>
      <c r="K613" s="145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ht="15">
      <c r="A614" s="81"/>
      <c r="B614" s="81"/>
      <c r="C614" s="81"/>
      <c r="D614" s="81"/>
      <c r="E614" s="81"/>
      <c r="F614" s="81"/>
      <c r="G614" s="81"/>
      <c r="H614" s="145"/>
      <c r="I614" s="145"/>
      <c r="J614" s="86"/>
      <c r="K614" s="145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ht="15">
      <c r="A615" s="81"/>
      <c r="B615" s="81"/>
      <c r="C615" s="81"/>
      <c r="D615" s="81"/>
      <c r="E615" s="81"/>
      <c r="F615" s="81"/>
      <c r="G615" s="81"/>
      <c r="H615" s="145"/>
      <c r="I615" s="145"/>
      <c r="J615" s="86"/>
      <c r="K615" s="145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ht="15">
      <c r="A616" s="81"/>
      <c r="B616" s="81"/>
      <c r="C616" s="81"/>
      <c r="D616" s="81"/>
      <c r="E616" s="81"/>
      <c r="F616" s="81"/>
      <c r="G616" s="81"/>
      <c r="H616" s="145"/>
      <c r="I616" s="145"/>
      <c r="J616" s="86"/>
      <c r="K616" s="145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ht="15">
      <c r="A617" s="81"/>
      <c r="B617" s="81"/>
      <c r="C617" s="81"/>
      <c r="D617" s="81"/>
      <c r="E617" s="81"/>
      <c r="F617" s="81"/>
      <c r="G617" s="81"/>
      <c r="H617" s="145"/>
      <c r="I617" s="145"/>
      <c r="J617" s="86"/>
      <c r="K617" s="145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ht="15">
      <c r="A618" s="81"/>
      <c r="B618" s="81"/>
      <c r="C618" s="81"/>
      <c r="D618" s="81"/>
      <c r="E618" s="81"/>
      <c r="F618" s="81"/>
      <c r="G618" s="81"/>
      <c r="H618" s="145"/>
      <c r="I618" s="145"/>
      <c r="J618" s="86"/>
      <c r="K618" s="145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ht="15">
      <c r="A619" s="81"/>
      <c r="B619" s="81"/>
      <c r="C619" s="81"/>
      <c r="D619" s="81"/>
      <c r="E619" s="81"/>
      <c r="F619" s="81"/>
      <c r="G619" s="81"/>
      <c r="H619" s="145"/>
      <c r="I619" s="145"/>
      <c r="J619" s="86"/>
      <c r="K619" s="145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ht="15">
      <c r="A620" s="81"/>
      <c r="B620" s="81"/>
      <c r="C620" s="81"/>
      <c r="D620" s="81"/>
      <c r="E620" s="81"/>
      <c r="F620" s="81"/>
      <c r="G620" s="81"/>
      <c r="H620" s="145"/>
      <c r="I620" s="145"/>
      <c r="J620" s="86"/>
      <c r="K620" s="145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ht="15">
      <c r="A621" s="81"/>
      <c r="B621" s="81"/>
      <c r="C621" s="81"/>
      <c r="D621" s="81"/>
      <c r="E621" s="81"/>
      <c r="F621" s="81"/>
      <c r="G621" s="81"/>
      <c r="H621" s="145"/>
      <c r="I621" s="145"/>
      <c r="J621" s="86"/>
      <c r="K621" s="145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ht="15">
      <c r="A622" s="81"/>
      <c r="B622" s="81"/>
      <c r="C622" s="81"/>
      <c r="D622" s="81"/>
      <c r="E622" s="81"/>
      <c r="F622" s="81"/>
      <c r="G622" s="81"/>
      <c r="H622" s="145"/>
      <c r="I622" s="145"/>
      <c r="J622" s="86"/>
      <c r="K622" s="145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 spans="1:27" ht="15">
      <c r="A623" s="81"/>
      <c r="B623" s="81"/>
      <c r="C623" s="81"/>
      <c r="D623" s="81"/>
      <c r="E623" s="81"/>
      <c r="F623" s="81"/>
      <c r="G623" s="81"/>
      <c r="H623" s="145"/>
      <c r="I623" s="145"/>
      <c r="J623" s="86"/>
      <c r="K623" s="145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 spans="1:27" ht="15">
      <c r="A624" s="81"/>
      <c r="B624" s="81"/>
      <c r="C624" s="81"/>
      <c r="D624" s="81"/>
      <c r="E624" s="81"/>
      <c r="F624" s="81"/>
      <c r="G624" s="81"/>
      <c r="H624" s="145"/>
      <c r="I624" s="145"/>
      <c r="J624" s="86"/>
      <c r="K624" s="145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 spans="1:27" ht="15">
      <c r="A625" s="81"/>
      <c r="B625" s="81"/>
      <c r="C625" s="81"/>
      <c r="D625" s="81"/>
      <c r="E625" s="81"/>
      <c r="F625" s="81"/>
      <c r="G625" s="81"/>
      <c r="H625" s="145"/>
      <c r="I625" s="145"/>
      <c r="J625" s="86"/>
      <c r="K625" s="145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 spans="1:27" ht="15">
      <c r="A626" s="81"/>
      <c r="B626" s="81"/>
      <c r="C626" s="81"/>
      <c r="D626" s="81"/>
      <c r="E626" s="81"/>
      <c r="F626" s="81"/>
      <c r="G626" s="81"/>
      <c r="H626" s="145"/>
      <c r="I626" s="145"/>
      <c r="J626" s="86"/>
      <c r="K626" s="145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 spans="1:27" ht="15">
      <c r="A627" s="81"/>
      <c r="B627" s="81"/>
      <c r="C627" s="81"/>
      <c r="D627" s="81"/>
      <c r="E627" s="81"/>
      <c r="F627" s="81"/>
      <c r="G627" s="81"/>
      <c r="H627" s="145"/>
      <c r="I627" s="145"/>
      <c r="J627" s="86"/>
      <c r="K627" s="145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 spans="1:27" ht="15">
      <c r="A628" s="81"/>
      <c r="B628" s="81"/>
      <c r="C628" s="81"/>
      <c r="D628" s="81"/>
      <c r="E628" s="81"/>
      <c r="F628" s="81"/>
      <c r="G628" s="81"/>
      <c r="H628" s="145"/>
      <c r="I628" s="145"/>
      <c r="J628" s="86"/>
      <c r="K628" s="145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 spans="1:27" ht="15">
      <c r="A629" s="81"/>
      <c r="B629" s="81"/>
      <c r="C629" s="81"/>
      <c r="D629" s="81"/>
      <c r="E629" s="81"/>
      <c r="F629" s="81"/>
      <c r="G629" s="81"/>
      <c r="H629" s="145"/>
      <c r="I629" s="145"/>
      <c r="J629" s="86"/>
      <c r="K629" s="145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 spans="1:27" ht="15">
      <c r="A630" s="81"/>
      <c r="B630" s="81"/>
      <c r="C630" s="81"/>
      <c r="D630" s="81"/>
      <c r="E630" s="81"/>
      <c r="F630" s="81"/>
      <c r="G630" s="81"/>
      <c r="H630" s="145"/>
      <c r="I630" s="145"/>
      <c r="J630" s="86"/>
      <c r="K630" s="145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 spans="1:27" ht="15">
      <c r="A631" s="81"/>
      <c r="B631" s="81"/>
      <c r="C631" s="81"/>
      <c r="D631" s="81"/>
      <c r="E631" s="81"/>
      <c r="F631" s="81"/>
      <c r="G631" s="81"/>
      <c r="H631" s="145"/>
      <c r="I631" s="145"/>
      <c r="J631" s="86"/>
      <c r="K631" s="145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 spans="1:27" ht="15">
      <c r="A632" s="81"/>
      <c r="B632" s="81"/>
      <c r="C632" s="81"/>
      <c r="D632" s="81"/>
      <c r="E632" s="81"/>
      <c r="F632" s="81"/>
      <c r="G632" s="81"/>
      <c r="H632" s="145"/>
      <c r="I632" s="145"/>
      <c r="J632" s="86"/>
      <c r="K632" s="145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 spans="1:27" ht="15">
      <c r="A633" s="81"/>
      <c r="B633" s="81"/>
      <c r="C633" s="81"/>
      <c r="D633" s="81"/>
      <c r="E633" s="81"/>
      <c r="F633" s="81"/>
      <c r="G633" s="81"/>
      <c r="H633" s="145"/>
      <c r="I633" s="145"/>
      <c r="J633" s="86"/>
      <c r="K633" s="145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 spans="1:27" ht="15">
      <c r="A634" s="81"/>
      <c r="B634" s="81"/>
      <c r="C634" s="81"/>
      <c r="D634" s="81"/>
      <c r="E634" s="81"/>
      <c r="F634" s="81"/>
      <c r="G634" s="81"/>
      <c r="H634" s="145"/>
      <c r="I634" s="145"/>
      <c r="J634" s="86"/>
      <c r="K634" s="145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 spans="1:27" ht="15">
      <c r="A635" s="81"/>
      <c r="B635" s="81"/>
      <c r="C635" s="81"/>
      <c r="D635" s="81"/>
      <c r="E635" s="81"/>
      <c r="F635" s="81"/>
      <c r="G635" s="81"/>
      <c r="H635" s="145"/>
      <c r="I635" s="145"/>
      <c r="J635" s="86"/>
      <c r="K635" s="145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 spans="1:27" ht="15">
      <c r="A636" s="81"/>
      <c r="B636" s="81"/>
      <c r="C636" s="81"/>
      <c r="D636" s="81"/>
      <c r="E636" s="81"/>
      <c r="F636" s="81"/>
      <c r="G636" s="81"/>
      <c r="H636" s="145"/>
      <c r="I636" s="145"/>
      <c r="J636" s="86"/>
      <c r="K636" s="145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 spans="1:27" ht="15">
      <c r="A637" s="81"/>
      <c r="B637" s="81"/>
      <c r="C637" s="81"/>
      <c r="D637" s="81"/>
      <c r="E637" s="81"/>
      <c r="F637" s="81"/>
      <c r="G637" s="81"/>
      <c r="H637" s="145"/>
      <c r="I637" s="145"/>
      <c r="J637" s="86"/>
      <c r="K637" s="145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 spans="1:27" ht="15">
      <c r="A638" s="81"/>
      <c r="B638" s="81"/>
      <c r="C638" s="81"/>
      <c r="D638" s="81"/>
      <c r="E638" s="81"/>
      <c r="F638" s="81"/>
      <c r="G638" s="81"/>
      <c r="H638" s="145"/>
      <c r="I638" s="145"/>
      <c r="J638" s="86"/>
      <c r="K638" s="145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 spans="1:27" ht="15">
      <c r="A639" s="81"/>
      <c r="B639" s="81"/>
      <c r="C639" s="81"/>
      <c r="D639" s="81"/>
      <c r="E639" s="81"/>
      <c r="F639" s="81"/>
      <c r="G639" s="81"/>
      <c r="H639" s="145"/>
      <c r="I639" s="145"/>
      <c r="J639" s="86"/>
      <c r="K639" s="145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 spans="1:27" ht="15">
      <c r="A640" s="81"/>
      <c r="B640" s="81"/>
      <c r="C640" s="81"/>
      <c r="D640" s="81"/>
      <c r="E640" s="81"/>
      <c r="F640" s="81"/>
      <c r="G640" s="81"/>
      <c r="H640" s="145"/>
      <c r="I640" s="145"/>
      <c r="J640" s="86"/>
      <c r="K640" s="145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 spans="1:27" ht="15">
      <c r="A641" s="81"/>
      <c r="B641" s="81"/>
      <c r="C641" s="81"/>
      <c r="D641" s="81"/>
      <c r="E641" s="81"/>
      <c r="F641" s="81"/>
      <c r="G641" s="81"/>
      <c r="H641" s="145"/>
      <c r="I641" s="145"/>
      <c r="J641" s="86"/>
      <c r="K641" s="145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 spans="1:27" ht="15">
      <c r="A642" s="81"/>
      <c r="B642" s="81"/>
      <c r="C642" s="81"/>
      <c r="D642" s="81"/>
      <c r="E642" s="81"/>
      <c r="F642" s="81"/>
      <c r="G642" s="81"/>
      <c r="H642" s="145"/>
      <c r="I642" s="145"/>
      <c r="J642" s="86"/>
      <c r="K642" s="145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 spans="1:27" ht="15">
      <c r="A643" s="81"/>
      <c r="B643" s="81"/>
      <c r="C643" s="81"/>
      <c r="D643" s="81"/>
      <c r="E643" s="81"/>
      <c r="F643" s="81"/>
      <c r="G643" s="81"/>
      <c r="H643" s="145"/>
      <c r="I643" s="145"/>
      <c r="J643" s="86"/>
      <c r="K643" s="145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 spans="1:27" ht="15">
      <c r="A644" s="81"/>
      <c r="B644" s="81"/>
      <c r="C644" s="81"/>
      <c r="D644" s="81"/>
      <c r="E644" s="81"/>
      <c r="F644" s="81"/>
      <c r="G644" s="81"/>
      <c r="H644" s="145"/>
      <c r="I644" s="145"/>
      <c r="J644" s="86"/>
      <c r="K644" s="145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 spans="1:27" ht="15">
      <c r="A645" s="81"/>
      <c r="B645" s="81"/>
      <c r="C645" s="81"/>
      <c r="D645" s="81"/>
      <c r="E645" s="81"/>
      <c r="F645" s="81"/>
      <c r="G645" s="81"/>
      <c r="H645" s="145"/>
      <c r="I645" s="145"/>
      <c r="J645" s="86"/>
      <c r="K645" s="145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 spans="1:27" ht="15">
      <c r="A646" s="81"/>
      <c r="B646" s="81"/>
      <c r="C646" s="81"/>
      <c r="D646" s="81"/>
      <c r="E646" s="81"/>
      <c r="F646" s="81"/>
      <c r="G646" s="81"/>
      <c r="H646" s="145"/>
      <c r="I646" s="145"/>
      <c r="J646" s="86"/>
      <c r="K646" s="145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 spans="1:27" ht="15">
      <c r="A647" s="81"/>
      <c r="B647" s="81"/>
      <c r="C647" s="81"/>
      <c r="D647" s="81"/>
      <c r="E647" s="81"/>
      <c r="F647" s="81"/>
      <c r="G647" s="81"/>
      <c r="H647" s="145"/>
      <c r="I647" s="145"/>
      <c r="J647" s="86"/>
      <c r="K647" s="145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 spans="1:27" ht="15">
      <c r="A648" s="81"/>
      <c r="B648" s="81"/>
      <c r="C648" s="81"/>
      <c r="D648" s="81"/>
      <c r="E648" s="81"/>
      <c r="F648" s="81"/>
      <c r="G648" s="81"/>
      <c r="H648" s="145"/>
      <c r="I648" s="145"/>
      <c r="J648" s="86"/>
      <c r="K648" s="145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 spans="1:27" ht="15">
      <c r="A649" s="81"/>
      <c r="B649" s="81"/>
      <c r="C649" s="81"/>
      <c r="D649" s="81"/>
      <c r="E649" s="81"/>
      <c r="F649" s="81"/>
      <c r="G649" s="81"/>
      <c r="H649" s="145"/>
      <c r="I649" s="145"/>
      <c r="J649" s="86"/>
      <c r="K649" s="145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 spans="1:27" ht="15">
      <c r="A650" s="81"/>
      <c r="B650" s="81"/>
      <c r="C650" s="81"/>
      <c r="D650" s="81"/>
      <c r="E650" s="81"/>
      <c r="F650" s="81"/>
      <c r="G650" s="81"/>
      <c r="H650" s="145"/>
      <c r="I650" s="145"/>
      <c r="J650" s="86"/>
      <c r="K650" s="145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 spans="1:27" ht="15">
      <c r="A651" s="81"/>
      <c r="B651" s="81"/>
      <c r="C651" s="81"/>
      <c r="D651" s="81"/>
      <c r="E651" s="81"/>
      <c r="F651" s="81"/>
      <c r="G651" s="81"/>
      <c r="H651" s="145"/>
      <c r="I651" s="145"/>
      <c r="J651" s="86"/>
      <c r="K651" s="145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 spans="1:27" ht="15">
      <c r="A652" s="81"/>
      <c r="B652" s="81"/>
      <c r="C652" s="81"/>
      <c r="D652" s="81"/>
      <c r="E652" s="81"/>
      <c r="F652" s="81"/>
      <c r="G652" s="81"/>
      <c r="H652" s="145"/>
      <c r="I652" s="145"/>
      <c r="J652" s="86"/>
      <c r="K652" s="145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 spans="1:27" ht="15">
      <c r="A653" s="81"/>
      <c r="B653" s="81"/>
      <c r="C653" s="81"/>
      <c r="D653" s="81"/>
      <c r="E653" s="81"/>
      <c r="F653" s="81"/>
      <c r="G653" s="81"/>
      <c r="H653" s="145"/>
      <c r="I653" s="145"/>
      <c r="J653" s="86"/>
      <c r="K653" s="145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 spans="1:27" ht="15">
      <c r="A654" s="81"/>
      <c r="B654" s="81"/>
      <c r="C654" s="81"/>
      <c r="D654" s="81"/>
      <c r="E654" s="81"/>
      <c r="F654" s="81"/>
      <c r="G654" s="81"/>
      <c r="H654" s="145"/>
      <c r="I654" s="145"/>
      <c r="J654" s="86"/>
      <c r="K654" s="145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 spans="1:27" ht="15">
      <c r="A655" s="81"/>
      <c r="B655" s="81"/>
      <c r="C655" s="81"/>
      <c r="D655" s="81"/>
      <c r="E655" s="81"/>
      <c r="F655" s="81"/>
      <c r="G655" s="81"/>
      <c r="H655" s="145"/>
      <c r="I655" s="145"/>
      <c r="J655" s="86"/>
      <c r="K655" s="145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 spans="1:27" ht="15">
      <c r="A656" s="81"/>
      <c r="B656" s="81"/>
      <c r="C656" s="81"/>
      <c r="D656" s="81"/>
      <c r="E656" s="81"/>
      <c r="F656" s="81"/>
      <c r="G656" s="81"/>
      <c r="H656" s="145"/>
      <c r="I656" s="145"/>
      <c r="J656" s="86"/>
      <c r="K656" s="145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 spans="1:27" ht="15">
      <c r="A657" s="81"/>
      <c r="B657" s="81"/>
      <c r="C657" s="81"/>
      <c r="D657" s="81"/>
      <c r="E657" s="81"/>
      <c r="F657" s="81"/>
      <c r="G657" s="81"/>
      <c r="H657" s="145"/>
      <c r="I657" s="145"/>
      <c r="J657" s="86"/>
      <c r="K657" s="145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 spans="1:27" ht="15">
      <c r="A658" s="81"/>
      <c r="B658" s="81"/>
      <c r="C658" s="81"/>
      <c r="D658" s="81"/>
      <c r="E658" s="81"/>
      <c r="F658" s="81"/>
      <c r="G658" s="81"/>
      <c r="H658" s="145"/>
      <c r="I658" s="145"/>
      <c r="J658" s="86"/>
      <c r="K658" s="145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 spans="1:27" ht="15">
      <c r="A659" s="81"/>
      <c r="B659" s="81"/>
      <c r="C659" s="81"/>
      <c r="D659" s="81"/>
      <c r="E659" s="81"/>
      <c r="F659" s="81"/>
      <c r="G659" s="81"/>
      <c r="H659" s="145"/>
      <c r="I659" s="145"/>
      <c r="J659" s="86"/>
      <c r="K659" s="145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 spans="1:27" ht="15">
      <c r="A660" s="81"/>
      <c r="B660" s="81"/>
      <c r="C660" s="81"/>
      <c r="D660" s="81"/>
      <c r="E660" s="81"/>
      <c r="F660" s="81"/>
      <c r="G660" s="81"/>
      <c r="H660" s="145"/>
      <c r="I660" s="145"/>
      <c r="J660" s="86"/>
      <c r="K660" s="145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 spans="1:27" ht="15">
      <c r="A661" s="81"/>
      <c r="B661" s="81"/>
      <c r="C661" s="81"/>
      <c r="D661" s="81"/>
      <c r="E661" s="81"/>
      <c r="F661" s="81"/>
      <c r="G661" s="81"/>
      <c r="H661" s="145"/>
      <c r="I661" s="145"/>
      <c r="J661" s="86"/>
      <c r="K661" s="145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 spans="1:27" ht="15">
      <c r="A662" s="81"/>
      <c r="B662" s="81"/>
      <c r="C662" s="81"/>
      <c r="D662" s="81"/>
      <c r="E662" s="81"/>
      <c r="F662" s="81"/>
      <c r="G662" s="81"/>
      <c r="H662" s="145"/>
      <c r="I662" s="145"/>
      <c r="J662" s="86"/>
      <c r="K662" s="145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 spans="1:27" ht="15">
      <c r="A663" s="81"/>
      <c r="B663" s="81"/>
      <c r="C663" s="81"/>
      <c r="D663" s="81"/>
      <c r="E663" s="81"/>
      <c r="F663" s="81"/>
      <c r="G663" s="81"/>
      <c r="H663" s="145"/>
      <c r="I663" s="145"/>
      <c r="J663" s="86"/>
      <c r="K663" s="145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 spans="1:27" ht="15">
      <c r="A664" s="81"/>
      <c r="B664" s="81"/>
      <c r="C664" s="81"/>
      <c r="D664" s="81"/>
      <c r="E664" s="81"/>
      <c r="F664" s="81"/>
      <c r="G664" s="81"/>
      <c r="H664" s="145"/>
      <c r="I664" s="145"/>
      <c r="J664" s="86"/>
      <c r="K664" s="145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 spans="1:27" ht="15">
      <c r="A665" s="81"/>
      <c r="B665" s="81"/>
      <c r="C665" s="81"/>
      <c r="D665" s="81"/>
      <c r="E665" s="81"/>
      <c r="F665" s="81"/>
      <c r="G665" s="81"/>
      <c r="H665" s="145"/>
      <c r="I665" s="145"/>
      <c r="J665" s="86"/>
      <c r="K665" s="145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 spans="1:27" ht="15">
      <c r="A666" s="81"/>
      <c r="B666" s="81"/>
      <c r="C666" s="81"/>
      <c r="D666" s="81"/>
      <c r="E666" s="81"/>
      <c r="F666" s="81"/>
      <c r="G666" s="81"/>
      <c r="H666" s="145"/>
      <c r="I666" s="145"/>
      <c r="J666" s="86"/>
      <c r="K666" s="145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 spans="1:27" ht="15">
      <c r="A667" s="81"/>
      <c r="B667" s="81"/>
      <c r="C667" s="81"/>
      <c r="D667" s="81"/>
      <c r="E667" s="81"/>
      <c r="F667" s="81"/>
      <c r="G667" s="81"/>
      <c r="H667" s="145"/>
      <c r="I667" s="145"/>
      <c r="J667" s="86"/>
      <c r="K667" s="145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 spans="1:27" ht="15">
      <c r="A668" s="81"/>
      <c r="B668" s="81"/>
      <c r="C668" s="81"/>
      <c r="D668" s="81"/>
      <c r="E668" s="81"/>
      <c r="F668" s="81"/>
      <c r="G668" s="81"/>
      <c r="H668" s="145"/>
      <c r="I668" s="145"/>
      <c r="J668" s="86"/>
      <c r="K668" s="145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 spans="1:27" ht="15">
      <c r="A669" s="81"/>
      <c r="B669" s="81"/>
      <c r="C669" s="81"/>
      <c r="D669" s="81"/>
      <c r="E669" s="81"/>
      <c r="F669" s="81"/>
      <c r="G669" s="81"/>
      <c r="H669" s="145"/>
      <c r="I669" s="145"/>
      <c r="J669" s="86"/>
      <c r="K669" s="145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 spans="1:27" ht="15">
      <c r="A670" s="81"/>
      <c r="B670" s="81"/>
      <c r="C670" s="81"/>
      <c r="D670" s="81"/>
      <c r="E670" s="81"/>
      <c r="F670" s="81"/>
      <c r="G670" s="81"/>
      <c r="H670" s="145"/>
      <c r="I670" s="145"/>
      <c r="J670" s="86"/>
      <c r="K670" s="145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 spans="1:27" ht="15">
      <c r="A671" s="81"/>
      <c r="B671" s="81"/>
      <c r="C671" s="81"/>
      <c r="D671" s="81"/>
      <c r="E671" s="81"/>
      <c r="F671" s="81"/>
      <c r="G671" s="81"/>
      <c r="H671" s="145"/>
      <c r="I671" s="145"/>
      <c r="J671" s="86"/>
      <c r="K671" s="145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 spans="1:27" ht="15">
      <c r="A672" s="81"/>
      <c r="B672" s="81"/>
      <c r="C672" s="81"/>
      <c r="D672" s="81"/>
      <c r="E672" s="81"/>
      <c r="F672" s="81"/>
      <c r="G672" s="81"/>
      <c r="H672" s="145"/>
      <c r="I672" s="145"/>
      <c r="J672" s="86"/>
      <c r="K672" s="145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 spans="1:27" ht="15">
      <c r="A673" s="81"/>
      <c r="B673" s="81"/>
      <c r="C673" s="81"/>
      <c r="D673" s="81"/>
      <c r="E673" s="81"/>
      <c r="F673" s="81"/>
      <c r="G673" s="81"/>
      <c r="H673" s="145"/>
      <c r="I673" s="145"/>
      <c r="J673" s="86"/>
      <c r="K673" s="145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 spans="1:27" ht="15">
      <c r="A674" s="81"/>
      <c r="B674" s="81"/>
      <c r="C674" s="81"/>
      <c r="D674" s="81"/>
      <c r="E674" s="81"/>
      <c r="F674" s="81"/>
      <c r="G674" s="81"/>
      <c r="H674" s="145"/>
      <c r="I674" s="145"/>
      <c r="J674" s="86"/>
      <c r="K674" s="145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 spans="1:27" ht="15">
      <c r="A675" s="81"/>
      <c r="B675" s="81"/>
      <c r="C675" s="81"/>
      <c r="D675" s="81"/>
      <c r="E675" s="81"/>
      <c r="F675" s="81"/>
      <c r="G675" s="81"/>
      <c r="H675" s="145"/>
      <c r="I675" s="145"/>
      <c r="J675" s="86"/>
      <c r="K675" s="145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 spans="1:27" ht="15">
      <c r="A676" s="81"/>
      <c r="B676" s="81"/>
      <c r="C676" s="81"/>
      <c r="D676" s="81"/>
      <c r="E676" s="81"/>
      <c r="F676" s="81"/>
      <c r="G676" s="81"/>
      <c r="H676" s="145"/>
      <c r="I676" s="145"/>
      <c r="J676" s="86"/>
      <c r="K676" s="145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 spans="1:27" ht="15">
      <c r="A677" s="81"/>
      <c r="B677" s="81"/>
      <c r="C677" s="81"/>
      <c r="D677" s="81"/>
      <c r="E677" s="81"/>
      <c r="F677" s="81"/>
      <c r="G677" s="81"/>
      <c r="H677" s="145"/>
      <c r="I677" s="145"/>
      <c r="J677" s="86"/>
      <c r="K677" s="145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 spans="1:27" ht="15">
      <c r="A678" s="81"/>
      <c r="B678" s="81"/>
      <c r="C678" s="81"/>
      <c r="D678" s="81"/>
      <c r="E678" s="81"/>
      <c r="F678" s="81"/>
      <c r="G678" s="81"/>
      <c r="H678" s="145"/>
      <c r="I678" s="145"/>
      <c r="J678" s="86"/>
      <c r="K678" s="145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 spans="1:27" ht="15">
      <c r="A679" s="81"/>
      <c r="B679" s="81"/>
      <c r="C679" s="81"/>
      <c r="D679" s="81"/>
      <c r="E679" s="81"/>
      <c r="F679" s="81"/>
      <c r="G679" s="81"/>
      <c r="H679" s="145"/>
      <c r="I679" s="145"/>
      <c r="J679" s="86"/>
      <c r="K679" s="145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 spans="1:27" ht="15">
      <c r="A680" s="81"/>
      <c r="B680" s="81"/>
      <c r="C680" s="81"/>
      <c r="D680" s="81"/>
      <c r="E680" s="81"/>
      <c r="F680" s="81"/>
      <c r="G680" s="81"/>
      <c r="H680" s="145"/>
      <c r="I680" s="145"/>
      <c r="J680" s="86"/>
      <c r="K680" s="145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 spans="1:27" ht="15">
      <c r="A681" s="81"/>
      <c r="B681" s="81"/>
      <c r="C681" s="81"/>
      <c r="D681" s="81"/>
      <c r="E681" s="81"/>
      <c r="F681" s="81"/>
      <c r="G681" s="81"/>
      <c r="H681" s="145"/>
      <c r="I681" s="145"/>
      <c r="J681" s="86"/>
      <c r="K681" s="145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 spans="1:27" ht="15">
      <c r="A682" s="81"/>
      <c r="B682" s="81"/>
      <c r="C682" s="81"/>
      <c r="D682" s="81"/>
      <c r="E682" s="81"/>
      <c r="F682" s="81"/>
      <c r="G682" s="81"/>
      <c r="H682" s="145"/>
      <c r="I682" s="145"/>
      <c r="J682" s="86"/>
      <c r="K682" s="145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 spans="1:27" ht="15">
      <c r="A683" s="81"/>
      <c r="B683" s="81"/>
      <c r="C683" s="81"/>
      <c r="D683" s="81"/>
      <c r="E683" s="81"/>
      <c r="F683" s="81"/>
      <c r="G683" s="81"/>
      <c r="H683" s="145"/>
      <c r="I683" s="145"/>
      <c r="J683" s="86"/>
      <c r="K683" s="145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 spans="1:27" ht="15">
      <c r="A684" s="81"/>
      <c r="B684" s="81"/>
      <c r="C684" s="81"/>
      <c r="D684" s="81"/>
      <c r="E684" s="81"/>
      <c r="F684" s="81"/>
      <c r="G684" s="81"/>
      <c r="H684" s="145"/>
      <c r="I684" s="145"/>
      <c r="J684" s="86"/>
      <c r="K684" s="145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 spans="1:27" ht="15">
      <c r="A685" s="81"/>
      <c r="B685" s="81"/>
      <c r="C685" s="81"/>
      <c r="D685" s="81"/>
      <c r="E685" s="81"/>
      <c r="F685" s="81"/>
      <c r="G685" s="81"/>
      <c r="H685" s="145"/>
      <c r="I685" s="145"/>
      <c r="J685" s="86"/>
      <c r="K685" s="145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 spans="1:27" ht="15">
      <c r="A686" s="81"/>
      <c r="B686" s="81"/>
      <c r="C686" s="81"/>
      <c r="D686" s="81"/>
      <c r="E686" s="81"/>
      <c r="F686" s="81"/>
      <c r="G686" s="81"/>
      <c r="H686" s="145"/>
      <c r="I686" s="145"/>
      <c r="J686" s="86"/>
      <c r="K686" s="145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 spans="1:27" ht="15">
      <c r="A687" s="81"/>
      <c r="B687" s="81"/>
      <c r="C687" s="81"/>
      <c r="D687" s="81"/>
      <c r="E687" s="81"/>
      <c r="F687" s="81"/>
      <c r="G687" s="81"/>
      <c r="H687" s="145"/>
      <c r="I687" s="145"/>
      <c r="J687" s="86"/>
      <c r="K687" s="145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 spans="1:27" ht="15">
      <c r="A688" s="81"/>
      <c r="B688" s="81"/>
      <c r="C688" s="81"/>
      <c r="D688" s="81"/>
      <c r="E688" s="81"/>
      <c r="F688" s="81"/>
      <c r="G688" s="81"/>
      <c r="H688" s="145"/>
      <c r="I688" s="145"/>
      <c r="J688" s="86"/>
      <c r="K688" s="145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 spans="1:27" ht="15">
      <c r="A689" s="81"/>
      <c r="B689" s="81"/>
      <c r="C689" s="81"/>
      <c r="D689" s="81"/>
      <c r="E689" s="81"/>
      <c r="F689" s="81"/>
      <c r="G689" s="81"/>
      <c r="H689" s="145"/>
      <c r="I689" s="145"/>
      <c r="J689" s="86"/>
      <c r="K689" s="145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 spans="1:27" ht="15">
      <c r="A690" s="81"/>
      <c r="B690" s="81"/>
      <c r="C690" s="81"/>
      <c r="D690" s="81"/>
      <c r="E690" s="81"/>
      <c r="F690" s="81"/>
      <c r="G690" s="81"/>
      <c r="H690" s="145"/>
      <c r="I690" s="145"/>
      <c r="J690" s="86"/>
      <c r="K690" s="145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 spans="1:27" ht="15">
      <c r="A691" s="81"/>
      <c r="B691" s="81"/>
      <c r="C691" s="81"/>
      <c r="D691" s="81"/>
      <c r="E691" s="81"/>
      <c r="F691" s="81"/>
      <c r="G691" s="81"/>
      <c r="H691" s="145"/>
      <c r="I691" s="145"/>
      <c r="J691" s="86"/>
      <c r="K691" s="145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 spans="1:27" ht="15">
      <c r="A692" s="81"/>
      <c r="B692" s="81"/>
      <c r="C692" s="81"/>
      <c r="D692" s="81"/>
      <c r="E692" s="81"/>
      <c r="F692" s="81"/>
      <c r="G692" s="81"/>
      <c r="H692" s="145"/>
      <c r="I692" s="145"/>
      <c r="J692" s="86"/>
      <c r="K692" s="145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 spans="1:27" ht="15">
      <c r="A693" s="81"/>
      <c r="B693" s="81"/>
      <c r="C693" s="81"/>
      <c r="D693" s="81"/>
      <c r="E693" s="81"/>
      <c r="F693" s="81"/>
      <c r="G693" s="81"/>
      <c r="H693" s="145"/>
      <c r="I693" s="145"/>
      <c r="J693" s="86"/>
      <c r="K693" s="145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 spans="1:27" ht="15">
      <c r="A694" s="81"/>
      <c r="B694" s="81"/>
      <c r="C694" s="81"/>
      <c r="D694" s="81"/>
      <c r="E694" s="81"/>
      <c r="F694" s="81"/>
      <c r="G694" s="81"/>
      <c r="H694" s="145"/>
      <c r="I694" s="145"/>
      <c r="J694" s="86"/>
      <c r="K694" s="145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 spans="1:27" ht="15">
      <c r="A695" s="81"/>
      <c r="B695" s="81"/>
      <c r="C695" s="81"/>
      <c r="D695" s="81"/>
      <c r="E695" s="81"/>
      <c r="F695" s="81"/>
      <c r="G695" s="81"/>
      <c r="H695" s="145"/>
      <c r="I695" s="145"/>
      <c r="J695" s="86"/>
      <c r="K695" s="145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 spans="1:27" ht="15">
      <c r="A696" s="81"/>
      <c r="B696" s="81"/>
      <c r="C696" s="81"/>
      <c r="D696" s="81"/>
      <c r="E696" s="81"/>
      <c r="F696" s="81"/>
      <c r="G696" s="81"/>
      <c r="H696" s="145"/>
      <c r="I696" s="145"/>
      <c r="J696" s="86"/>
      <c r="K696" s="145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 spans="1:27" ht="15">
      <c r="A697" s="81"/>
      <c r="B697" s="81"/>
      <c r="C697" s="81"/>
      <c r="D697" s="81"/>
      <c r="E697" s="81"/>
      <c r="F697" s="81"/>
      <c r="G697" s="81"/>
      <c r="H697" s="145"/>
      <c r="I697" s="145"/>
      <c r="J697" s="86"/>
      <c r="K697" s="145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 spans="1:27" ht="15">
      <c r="A698" s="81"/>
      <c r="B698" s="81"/>
      <c r="C698" s="81"/>
      <c r="D698" s="81"/>
      <c r="E698" s="81"/>
      <c r="F698" s="81"/>
      <c r="G698" s="81"/>
      <c r="H698" s="145"/>
      <c r="I698" s="145"/>
      <c r="J698" s="86"/>
      <c r="K698" s="145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 spans="1:27" ht="15">
      <c r="A699" s="81"/>
      <c r="B699" s="81"/>
      <c r="C699" s="81"/>
      <c r="D699" s="81"/>
      <c r="E699" s="81"/>
      <c r="F699" s="81"/>
      <c r="G699" s="81"/>
      <c r="H699" s="145"/>
      <c r="I699" s="145"/>
      <c r="J699" s="86"/>
      <c r="K699" s="145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 spans="1:27" ht="15">
      <c r="A700" s="81"/>
      <c r="B700" s="81"/>
      <c r="C700" s="81"/>
      <c r="D700" s="81"/>
      <c r="E700" s="81"/>
      <c r="F700" s="81"/>
      <c r="G700" s="81"/>
      <c r="H700" s="145"/>
      <c r="I700" s="145"/>
      <c r="J700" s="86"/>
      <c r="K700" s="145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 spans="1:27" ht="15">
      <c r="A701" s="81"/>
      <c r="B701" s="81"/>
      <c r="C701" s="81"/>
      <c r="D701" s="81"/>
      <c r="E701" s="81"/>
      <c r="F701" s="81"/>
      <c r="G701" s="81"/>
      <c r="H701" s="145"/>
      <c r="I701" s="145"/>
      <c r="J701" s="86"/>
      <c r="K701" s="145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 spans="1:27" ht="15">
      <c r="A702" s="81"/>
      <c r="B702" s="81"/>
      <c r="C702" s="81"/>
      <c r="D702" s="81"/>
      <c r="E702" s="81"/>
      <c r="F702" s="81"/>
      <c r="G702" s="81"/>
      <c r="H702" s="145"/>
      <c r="I702" s="145"/>
      <c r="J702" s="86"/>
      <c r="K702" s="145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 spans="1:27" ht="15">
      <c r="A703" s="81"/>
      <c r="B703" s="81"/>
      <c r="C703" s="81"/>
      <c r="D703" s="81"/>
      <c r="E703" s="81"/>
      <c r="F703" s="81"/>
      <c r="G703" s="81"/>
      <c r="H703" s="145"/>
      <c r="I703" s="145"/>
      <c r="J703" s="86"/>
      <c r="K703" s="145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 spans="1:27" ht="15">
      <c r="A704" s="81"/>
      <c r="B704" s="81"/>
      <c r="C704" s="81"/>
      <c r="D704" s="81"/>
      <c r="E704" s="81"/>
      <c r="F704" s="81"/>
      <c r="G704" s="81"/>
      <c r="H704" s="145"/>
      <c r="I704" s="145"/>
      <c r="J704" s="86"/>
      <c r="K704" s="145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 spans="1:27" ht="15">
      <c r="A705" s="81"/>
      <c r="B705" s="81"/>
      <c r="C705" s="81"/>
      <c r="D705" s="81"/>
      <c r="E705" s="81"/>
      <c r="F705" s="81"/>
      <c r="G705" s="81"/>
      <c r="H705" s="145"/>
      <c r="I705" s="145"/>
      <c r="J705" s="86"/>
      <c r="K705" s="145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 spans="1:27" ht="15">
      <c r="A706" s="81"/>
      <c r="B706" s="81"/>
      <c r="C706" s="81"/>
      <c r="D706" s="81"/>
      <c r="E706" s="81"/>
      <c r="F706" s="81"/>
      <c r="G706" s="81"/>
      <c r="H706" s="145"/>
      <c r="I706" s="145"/>
      <c r="J706" s="86"/>
      <c r="K706" s="145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 spans="1:27" ht="15">
      <c r="A707" s="81"/>
      <c r="B707" s="81"/>
      <c r="C707" s="81"/>
      <c r="D707" s="81"/>
      <c r="E707" s="81"/>
      <c r="F707" s="81"/>
      <c r="G707" s="81"/>
      <c r="H707" s="145"/>
      <c r="I707" s="145"/>
      <c r="J707" s="86"/>
      <c r="K707" s="145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 spans="1:27" ht="15">
      <c r="A708" s="81"/>
      <c r="B708" s="81"/>
      <c r="C708" s="81"/>
      <c r="D708" s="81"/>
      <c r="E708" s="81"/>
      <c r="F708" s="81"/>
      <c r="G708" s="81"/>
      <c r="H708" s="145"/>
      <c r="I708" s="145"/>
      <c r="J708" s="86"/>
      <c r="K708" s="145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 spans="1:27" ht="15">
      <c r="A709" s="81"/>
      <c r="B709" s="81"/>
      <c r="C709" s="81"/>
      <c r="D709" s="81"/>
      <c r="E709" s="81"/>
      <c r="F709" s="81"/>
      <c r="G709" s="81"/>
      <c r="H709" s="145"/>
      <c r="I709" s="145"/>
      <c r="J709" s="86"/>
      <c r="K709" s="145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 spans="1:27" ht="15">
      <c r="A710" s="81"/>
      <c r="B710" s="81"/>
      <c r="C710" s="81"/>
      <c r="D710" s="81"/>
      <c r="E710" s="81"/>
      <c r="F710" s="81"/>
      <c r="G710" s="81"/>
      <c r="H710" s="145"/>
      <c r="I710" s="145"/>
      <c r="J710" s="86"/>
      <c r="K710" s="145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 spans="1:27" ht="15">
      <c r="A711" s="81"/>
      <c r="B711" s="81"/>
      <c r="C711" s="81"/>
      <c r="D711" s="81"/>
      <c r="E711" s="81"/>
      <c r="F711" s="81"/>
      <c r="G711" s="81"/>
      <c r="H711" s="145"/>
      <c r="I711" s="145"/>
      <c r="J711" s="86"/>
      <c r="K711" s="145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 spans="1:27" ht="15">
      <c r="A712" s="81"/>
      <c r="B712" s="81"/>
      <c r="C712" s="81"/>
      <c r="D712" s="81"/>
      <c r="E712" s="81"/>
      <c r="F712" s="81"/>
      <c r="G712" s="81"/>
      <c r="H712" s="145"/>
      <c r="I712" s="145"/>
      <c r="J712" s="86"/>
      <c r="K712" s="145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 spans="1:27" ht="15">
      <c r="A713" s="81"/>
      <c r="B713" s="81"/>
      <c r="C713" s="81"/>
      <c r="D713" s="81"/>
      <c r="E713" s="81"/>
      <c r="F713" s="81"/>
      <c r="G713" s="81"/>
      <c r="H713" s="145"/>
      <c r="I713" s="145"/>
      <c r="J713" s="86"/>
      <c r="K713" s="145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 spans="1:27" ht="15">
      <c r="A714" s="81"/>
      <c r="B714" s="81"/>
      <c r="C714" s="81"/>
      <c r="D714" s="81"/>
      <c r="E714" s="81"/>
      <c r="F714" s="81"/>
      <c r="G714" s="81"/>
      <c r="H714" s="145"/>
      <c r="I714" s="145"/>
      <c r="J714" s="86"/>
      <c r="K714" s="145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 spans="1:27" ht="15">
      <c r="A715" s="81"/>
      <c r="B715" s="81"/>
      <c r="C715" s="81"/>
      <c r="D715" s="81"/>
      <c r="E715" s="81"/>
      <c r="F715" s="81"/>
      <c r="G715" s="81"/>
      <c r="H715" s="145"/>
      <c r="I715" s="145"/>
      <c r="J715" s="86"/>
      <c r="K715" s="145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 spans="1:27" ht="15">
      <c r="A716" s="81"/>
      <c r="B716" s="81"/>
      <c r="C716" s="81"/>
      <c r="D716" s="81"/>
      <c r="E716" s="81"/>
      <c r="F716" s="81"/>
      <c r="G716" s="81"/>
      <c r="H716" s="145"/>
      <c r="I716" s="145"/>
      <c r="J716" s="86"/>
      <c r="K716" s="145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 spans="1:27" ht="15">
      <c r="A717" s="81"/>
      <c r="B717" s="81"/>
      <c r="C717" s="81"/>
      <c r="D717" s="81"/>
      <c r="E717" s="81"/>
      <c r="F717" s="81"/>
      <c r="G717" s="81"/>
      <c r="H717" s="145"/>
      <c r="I717" s="145"/>
      <c r="J717" s="86"/>
      <c r="K717" s="145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 spans="1:27" ht="15">
      <c r="A718" s="81"/>
      <c r="B718" s="81"/>
      <c r="C718" s="81"/>
      <c r="D718" s="81"/>
      <c r="E718" s="81"/>
      <c r="F718" s="81"/>
      <c r="G718" s="81"/>
      <c r="H718" s="145"/>
      <c r="I718" s="145"/>
      <c r="J718" s="86"/>
      <c r="K718" s="145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 spans="1:27" ht="15">
      <c r="A719" s="81"/>
      <c r="B719" s="81"/>
      <c r="C719" s="81"/>
      <c r="D719" s="81"/>
      <c r="E719" s="81"/>
      <c r="F719" s="81"/>
      <c r="G719" s="81"/>
      <c r="H719" s="145"/>
      <c r="I719" s="145"/>
      <c r="J719" s="86"/>
      <c r="K719" s="145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 spans="1:27" ht="15">
      <c r="A720" s="81"/>
      <c r="B720" s="81"/>
      <c r="C720" s="81"/>
      <c r="D720" s="81"/>
      <c r="E720" s="81"/>
      <c r="F720" s="81"/>
      <c r="G720" s="81"/>
      <c r="H720" s="145"/>
      <c r="I720" s="145"/>
      <c r="J720" s="86"/>
      <c r="K720" s="145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 spans="1:27" ht="15">
      <c r="A721" s="81"/>
      <c r="B721" s="81"/>
      <c r="C721" s="81"/>
      <c r="D721" s="81"/>
      <c r="E721" s="81"/>
      <c r="F721" s="81"/>
      <c r="G721" s="81"/>
      <c r="H721" s="145"/>
      <c r="I721" s="145"/>
      <c r="J721" s="86"/>
      <c r="K721" s="145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 spans="1:27" ht="15">
      <c r="A722" s="81"/>
      <c r="B722" s="81"/>
      <c r="C722" s="81"/>
      <c r="D722" s="81"/>
      <c r="E722" s="81"/>
      <c r="F722" s="81"/>
      <c r="G722" s="81"/>
      <c r="H722" s="145"/>
      <c r="I722" s="145"/>
      <c r="J722" s="86"/>
      <c r="K722" s="145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 spans="1:27" ht="15">
      <c r="A723" s="81"/>
      <c r="B723" s="81"/>
      <c r="C723" s="81"/>
      <c r="D723" s="81"/>
      <c r="E723" s="81"/>
      <c r="F723" s="81"/>
      <c r="G723" s="81"/>
      <c r="H723" s="145"/>
      <c r="I723" s="145"/>
      <c r="J723" s="86"/>
      <c r="K723" s="145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 spans="1:27" ht="15">
      <c r="A724" s="81"/>
      <c r="B724" s="81"/>
      <c r="C724" s="81"/>
      <c r="D724" s="81"/>
      <c r="E724" s="81"/>
      <c r="F724" s="81"/>
      <c r="G724" s="81"/>
      <c r="H724" s="145"/>
      <c r="I724" s="145"/>
      <c r="J724" s="86"/>
      <c r="K724" s="145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 spans="1:27" ht="15">
      <c r="A725" s="81"/>
      <c r="B725" s="81"/>
      <c r="C725" s="81"/>
      <c r="D725" s="81"/>
      <c r="E725" s="81"/>
      <c r="F725" s="81"/>
      <c r="G725" s="81"/>
      <c r="H725" s="145"/>
      <c r="I725" s="145"/>
      <c r="J725" s="86"/>
      <c r="K725" s="145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 spans="1:27" ht="15">
      <c r="A726" s="81"/>
      <c r="B726" s="81"/>
      <c r="C726" s="81"/>
      <c r="D726" s="81"/>
      <c r="E726" s="81"/>
      <c r="F726" s="81"/>
      <c r="G726" s="81"/>
      <c r="H726" s="145"/>
      <c r="I726" s="145"/>
      <c r="J726" s="86"/>
      <c r="K726" s="145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 spans="1:27" ht="15">
      <c r="A727" s="81"/>
      <c r="B727" s="81"/>
      <c r="C727" s="81"/>
      <c r="D727" s="81"/>
      <c r="E727" s="81"/>
      <c r="F727" s="81"/>
      <c r="G727" s="81"/>
      <c r="H727" s="145"/>
      <c r="I727" s="145"/>
      <c r="J727" s="86"/>
      <c r="K727" s="145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 spans="1:27" ht="15">
      <c r="A728" s="81"/>
      <c r="B728" s="81"/>
      <c r="C728" s="81"/>
      <c r="D728" s="81"/>
      <c r="E728" s="81"/>
      <c r="F728" s="81"/>
      <c r="G728" s="81"/>
      <c r="H728" s="145"/>
      <c r="I728" s="145"/>
      <c r="J728" s="86"/>
      <c r="K728" s="145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 spans="1:27" ht="15">
      <c r="A729" s="81"/>
      <c r="B729" s="81"/>
      <c r="C729" s="81"/>
      <c r="D729" s="81"/>
      <c r="E729" s="81"/>
      <c r="F729" s="81"/>
      <c r="G729" s="81"/>
      <c r="H729" s="145"/>
      <c r="I729" s="145"/>
      <c r="J729" s="86"/>
      <c r="K729" s="145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 spans="1:27" ht="15">
      <c r="A730" s="81"/>
      <c r="B730" s="81"/>
      <c r="C730" s="81"/>
      <c r="D730" s="81"/>
      <c r="E730" s="81"/>
      <c r="F730" s="81"/>
      <c r="G730" s="81"/>
      <c r="H730" s="145"/>
      <c r="I730" s="145"/>
      <c r="J730" s="86"/>
      <c r="K730" s="145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 spans="1:27" ht="15">
      <c r="A731" s="81"/>
      <c r="B731" s="81"/>
      <c r="C731" s="81"/>
      <c r="D731" s="81"/>
      <c r="E731" s="81"/>
      <c r="F731" s="81"/>
      <c r="G731" s="81"/>
      <c r="H731" s="145"/>
      <c r="I731" s="145"/>
      <c r="J731" s="86"/>
      <c r="K731" s="145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 spans="1:27" ht="15">
      <c r="A732" s="81"/>
      <c r="B732" s="81"/>
      <c r="C732" s="81"/>
      <c r="D732" s="81"/>
      <c r="E732" s="81"/>
      <c r="F732" s="81"/>
      <c r="G732" s="81"/>
      <c r="H732" s="145"/>
      <c r="I732" s="145"/>
      <c r="J732" s="86"/>
      <c r="K732" s="145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 spans="1:27" ht="15">
      <c r="A733" s="81"/>
      <c r="B733" s="81"/>
      <c r="C733" s="81"/>
      <c r="D733" s="81"/>
      <c r="E733" s="81"/>
      <c r="F733" s="81"/>
      <c r="G733" s="81"/>
      <c r="H733" s="145"/>
      <c r="I733" s="145"/>
      <c r="J733" s="86"/>
      <c r="K733" s="145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 spans="1:27" ht="15">
      <c r="A734" s="81"/>
      <c r="B734" s="81"/>
      <c r="C734" s="81"/>
      <c r="D734" s="81"/>
      <c r="E734" s="81"/>
      <c r="F734" s="81"/>
      <c r="G734" s="81"/>
      <c r="H734" s="145"/>
      <c r="I734" s="145"/>
      <c r="J734" s="86"/>
      <c r="K734" s="145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 spans="1:27" ht="15">
      <c r="A735" s="81"/>
      <c r="B735" s="81"/>
      <c r="C735" s="81"/>
      <c r="D735" s="81"/>
      <c r="E735" s="81"/>
      <c r="F735" s="81"/>
      <c r="G735" s="81"/>
      <c r="H735" s="145"/>
      <c r="I735" s="145"/>
      <c r="J735" s="86"/>
      <c r="K735" s="145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 spans="1:27" ht="15">
      <c r="A736" s="81"/>
      <c r="B736" s="81"/>
      <c r="C736" s="81"/>
      <c r="D736" s="81"/>
      <c r="E736" s="81"/>
      <c r="F736" s="81"/>
      <c r="G736" s="81"/>
      <c r="H736" s="145"/>
      <c r="I736" s="145"/>
      <c r="J736" s="86"/>
      <c r="K736" s="145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 spans="1:27" ht="15">
      <c r="A737" s="81"/>
      <c r="B737" s="81"/>
      <c r="C737" s="81"/>
      <c r="D737" s="81"/>
      <c r="E737" s="81"/>
      <c r="F737" s="81"/>
      <c r="G737" s="81"/>
      <c r="H737" s="145"/>
      <c r="I737" s="145"/>
      <c r="J737" s="86"/>
      <c r="K737" s="145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 spans="1:27" ht="15">
      <c r="A738" s="81"/>
      <c r="B738" s="81"/>
      <c r="C738" s="81"/>
      <c r="D738" s="81"/>
      <c r="E738" s="81"/>
      <c r="F738" s="81"/>
      <c r="G738" s="81"/>
      <c r="H738" s="145"/>
      <c r="I738" s="145"/>
      <c r="J738" s="86"/>
      <c r="K738" s="145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 spans="1:27" ht="15">
      <c r="A739" s="81"/>
      <c r="B739" s="81"/>
      <c r="C739" s="81"/>
      <c r="D739" s="81"/>
      <c r="E739" s="81"/>
      <c r="F739" s="81"/>
      <c r="G739" s="81"/>
      <c r="H739" s="145"/>
      <c r="I739" s="145"/>
      <c r="J739" s="86"/>
      <c r="K739" s="145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 spans="1:27" ht="15">
      <c r="A740" s="81"/>
      <c r="B740" s="81"/>
      <c r="C740" s="81"/>
      <c r="D740" s="81"/>
      <c r="E740" s="81"/>
      <c r="F740" s="81"/>
      <c r="G740" s="81"/>
      <c r="H740" s="145"/>
      <c r="I740" s="145"/>
      <c r="J740" s="86"/>
      <c r="K740" s="145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 spans="1:27" ht="15">
      <c r="A741" s="81"/>
      <c r="B741" s="81"/>
      <c r="C741" s="81"/>
      <c r="D741" s="81"/>
      <c r="E741" s="81"/>
      <c r="F741" s="81"/>
      <c r="G741" s="81"/>
      <c r="H741" s="145"/>
      <c r="I741" s="145"/>
      <c r="J741" s="86"/>
      <c r="K741" s="145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 spans="1:27" ht="15">
      <c r="A742" s="81"/>
      <c r="B742" s="81"/>
      <c r="C742" s="81"/>
      <c r="D742" s="81"/>
      <c r="E742" s="81"/>
      <c r="F742" s="81"/>
      <c r="G742" s="81"/>
      <c r="H742" s="145"/>
      <c r="I742" s="145"/>
      <c r="J742" s="86"/>
      <c r="K742" s="145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 spans="1:27" ht="15">
      <c r="A743" s="81"/>
      <c r="B743" s="81"/>
      <c r="C743" s="81"/>
      <c r="D743" s="81"/>
      <c r="E743" s="81"/>
      <c r="F743" s="81"/>
      <c r="G743" s="81"/>
      <c r="H743" s="145"/>
      <c r="I743" s="145"/>
      <c r="J743" s="86"/>
      <c r="K743" s="145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 spans="1:27" ht="15">
      <c r="A744" s="81"/>
      <c r="B744" s="81"/>
      <c r="C744" s="81"/>
      <c r="D744" s="81"/>
      <c r="E744" s="81"/>
      <c r="F744" s="81"/>
      <c r="G744" s="81"/>
      <c r="H744" s="145"/>
      <c r="I744" s="145"/>
      <c r="J744" s="86"/>
      <c r="K744" s="145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 spans="1:27" ht="15">
      <c r="A745" s="81"/>
      <c r="B745" s="81"/>
      <c r="C745" s="81"/>
      <c r="D745" s="81"/>
      <c r="E745" s="81"/>
      <c r="F745" s="81"/>
      <c r="G745" s="81"/>
      <c r="H745" s="145"/>
      <c r="I745" s="145"/>
      <c r="J745" s="86"/>
      <c r="K745" s="145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 spans="1:27" ht="15">
      <c r="A746" s="81"/>
      <c r="B746" s="81"/>
      <c r="C746" s="81"/>
      <c r="D746" s="81"/>
      <c r="E746" s="81"/>
      <c r="F746" s="81"/>
      <c r="G746" s="81"/>
      <c r="H746" s="145"/>
      <c r="I746" s="145"/>
      <c r="J746" s="86"/>
      <c r="K746" s="145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 spans="1:27" ht="15">
      <c r="A747" s="81"/>
      <c r="B747" s="81"/>
      <c r="C747" s="81"/>
      <c r="D747" s="81"/>
      <c r="E747" s="81"/>
      <c r="F747" s="81"/>
      <c r="G747" s="81"/>
      <c r="H747" s="145"/>
      <c r="I747" s="145"/>
      <c r="J747" s="86"/>
      <c r="K747" s="145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 spans="1:27" ht="15">
      <c r="A748" s="81"/>
      <c r="B748" s="81"/>
      <c r="C748" s="81"/>
      <c r="D748" s="81"/>
      <c r="E748" s="81"/>
      <c r="F748" s="81"/>
      <c r="G748" s="81"/>
      <c r="H748" s="145"/>
      <c r="I748" s="145"/>
      <c r="J748" s="86"/>
      <c r="K748" s="145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 spans="1:27" ht="15">
      <c r="A749" s="81"/>
      <c r="B749" s="81"/>
      <c r="C749" s="81"/>
      <c r="D749" s="81"/>
      <c r="E749" s="81"/>
      <c r="F749" s="81"/>
      <c r="G749" s="81"/>
      <c r="H749" s="145"/>
      <c r="I749" s="145"/>
      <c r="J749" s="86"/>
      <c r="K749" s="145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 spans="1:27" ht="15">
      <c r="A750" s="81"/>
      <c r="B750" s="81"/>
      <c r="C750" s="81"/>
      <c r="D750" s="81"/>
      <c r="E750" s="81"/>
      <c r="F750" s="81"/>
      <c r="G750" s="81"/>
      <c r="H750" s="145"/>
      <c r="I750" s="145"/>
      <c r="J750" s="86"/>
      <c r="K750" s="145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 spans="1:27" ht="15">
      <c r="A751" s="81"/>
      <c r="B751" s="81"/>
      <c r="C751" s="81"/>
      <c r="D751" s="81"/>
      <c r="E751" s="81"/>
      <c r="F751" s="81"/>
      <c r="G751" s="81"/>
      <c r="H751" s="145"/>
      <c r="I751" s="145"/>
      <c r="J751" s="86"/>
      <c r="K751" s="145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 spans="1:27" ht="15">
      <c r="A752" s="81"/>
      <c r="B752" s="81"/>
      <c r="C752" s="81"/>
      <c r="D752" s="81"/>
      <c r="E752" s="81"/>
      <c r="F752" s="81"/>
      <c r="G752" s="81"/>
      <c r="H752" s="145"/>
      <c r="I752" s="145"/>
      <c r="J752" s="86"/>
      <c r="K752" s="145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 spans="1:27" ht="15">
      <c r="A753" s="81"/>
      <c r="B753" s="81"/>
      <c r="C753" s="81"/>
      <c r="D753" s="81"/>
      <c r="E753" s="81"/>
      <c r="F753" s="81"/>
      <c r="G753" s="81"/>
      <c r="H753" s="145"/>
      <c r="I753" s="145"/>
      <c r="J753" s="86"/>
      <c r="K753" s="145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 spans="1:27" ht="15">
      <c r="A754" s="81"/>
      <c r="B754" s="81"/>
      <c r="C754" s="81"/>
      <c r="D754" s="81"/>
      <c r="E754" s="81"/>
      <c r="F754" s="81"/>
      <c r="G754" s="81"/>
      <c r="H754" s="145"/>
      <c r="I754" s="145"/>
      <c r="J754" s="86"/>
      <c r="K754" s="145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 spans="1:27" ht="15">
      <c r="A755" s="81"/>
      <c r="B755" s="81"/>
      <c r="C755" s="81"/>
      <c r="D755" s="81"/>
      <c r="E755" s="81"/>
      <c r="F755" s="81"/>
      <c r="G755" s="81"/>
      <c r="H755" s="145"/>
      <c r="I755" s="145"/>
      <c r="J755" s="86"/>
      <c r="K755" s="145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 spans="1:27" ht="15">
      <c r="A756" s="81"/>
      <c r="B756" s="81"/>
      <c r="C756" s="81"/>
      <c r="D756" s="81"/>
      <c r="E756" s="81"/>
      <c r="F756" s="81"/>
      <c r="G756" s="81"/>
      <c r="H756" s="145"/>
      <c r="I756" s="145"/>
      <c r="J756" s="86"/>
      <c r="K756" s="145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 spans="1:27" ht="15">
      <c r="A757" s="81"/>
      <c r="B757" s="81"/>
      <c r="C757" s="81"/>
      <c r="D757" s="81"/>
      <c r="E757" s="81"/>
      <c r="F757" s="81"/>
      <c r="G757" s="81"/>
      <c r="H757" s="145"/>
      <c r="I757" s="145"/>
      <c r="J757" s="86"/>
      <c r="K757" s="145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 spans="1:27" ht="15">
      <c r="A758" s="81"/>
      <c r="B758" s="81"/>
      <c r="C758" s="81"/>
      <c r="D758" s="81"/>
      <c r="E758" s="81"/>
      <c r="F758" s="81"/>
      <c r="G758" s="81"/>
      <c r="H758" s="145"/>
      <c r="I758" s="145"/>
      <c r="J758" s="86"/>
      <c r="K758" s="145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 spans="1:27" ht="15">
      <c r="A759" s="81"/>
      <c r="B759" s="81"/>
      <c r="C759" s="81"/>
      <c r="D759" s="81"/>
      <c r="E759" s="81"/>
      <c r="F759" s="81"/>
      <c r="G759" s="81"/>
      <c r="H759" s="145"/>
      <c r="I759" s="145"/>
      <c r="J759" s="86"/>
      <c r="K759" s="145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 spans="1:27" ht="15">
      <c r="A760" s="81"/>
      <c r="B760" s="81"/>
      <c r="C760" s="81"/>
      <c r="D760" s="81"/>
      <c r="E760" s="81"/>
      <c r="F760" s="81"/>
      <c r="G760" s="81"/>
      <c r="H760" s="145"/>
      <c r="I760" s="145"/>
      <c r="J760" s="86"/>
      <c r="K760" s="145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 spans="1:27" ht="15">
      <c r="A761" s="81"/>
      <c r="B761" s="81"/>
      <c r="C761" s="81"/>
      <c r="D761" s="81"/>
      <c r="E761" s="81"/>
      <c r="F761" s="81"/>
      <c r="G761" s="81"/>
      <c r="H761" s="145"/>
      <c r="I761" s="145"/>
      <c r="J761" s="86"/>
      <c r="K761" s="145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 spans="1:27" ht="15">
      <c r="A762" s="81"/>
      <c r="B762" s="81"/>
      <c r="C762" s="81"/>
      <c r="D762" s="81"/>
      <c r="E762" s="81"/>
      <c r="F762" s="81"/>
      <c r="G762" s="81"/>
      <c r="H762" s="145"/>
      <c r="I762" s="145"/>
      <c r="J762" s="86"/>
      <c r="K762" s="145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 spans="1:27" ht="15">
      <c r="A763" s="81"/>
      <c r="B763" s="81"/>
      <c r="C763" s="81"/>
      <c r="D763" s="81"/>
      <c r="E763" s="81"/>
      <c r="F763" s="81"/>
      <c r="G763" s="81"/>
      <c r="H763" s="145"/>
      <c r="I763" s="145"/>
      <c r="J763" s="86"/>
      <c r="K763" s="145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 spans="1:27" ht="15">
      <c r="A764" s="81"/>
      <c r="B764" s="81"/>
      <c r="C764" s="81"/>
      <c r="D764" s="81"/>
      <c r="E764" s="81"/>
      <c r="F764" s="81"/>
      <c r="G764" s="81"/>
      <c r="H764" s="145"/>
      <c r="I764" s="145"/>
      <c r="J764" s="86"/>
      <c r="K764" s="145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 spans="1:27" ht="15">
      <c r="A765" s="81"/>
      <c r="B765" s="81"/>
      <c r="C765" s="81"/>
      <c r="D765" s="81"/>
      <c r="E765" s="81"/>
      <c r="F765" s="81"/>
      <c r="G765" s="81"/>
      <c r="H765" s="145"/>
      <c r="I765" s="145"/>
      <c r="J765" s="86"/>
      <c r="K765" s="145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 spans="1:27" ht="15">
      <c r="A766" s="81"/>
      <c r="B766" s="81"/>
      <c r="C766" s="81"/>
      <c r="D766" s="81"/>
      <c r="E766" s="81"/>
      <c r="F766" s="81"/>
      <c r="G766" s="81"/>
      <c r="H766" s="145"/>
      <c r="I766" s="145"/>
      <c r="J766" s="86"/>
      <c r="K766" s="145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 spans="1:27" ht="15">
      <c r="A767" s="81"/>
      <c r="B767" s="81"/>
      <c r="C767" s="81"/>
      <c r="D767" s="81"/>
      <c r="E767" s="81"/>
      <c r="F767" s="81"/>
      <c r="G767" s="81"/>
      <c r="H767" s="145"/>
      <c r="I767" s="145"/>
      <c r="J767" s="86"/>
      <c r="K767" s="145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 spans="1:27" ht="15">
      <c r="A768" s="81"/>
      <c r="B768" s="81"/>
      <c r="C768" s="81"/>
      <c r="D768" s="81"/>
      <c r="E768" s="81"/>
      <c r="F768" s="81"/>
      <c r="G768" s="81"/>
      <c r="H768" s="145"/>
      <c r="I768" s="145"/>
      <c r="J768" s="86"/>
      <c r="K768" s="145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 spans="1:27" ht="15">
      <c r="A769" s="81"/>
      <c r="B769" s="81"/>
      <c r="C769" s="81"/>
      <c r="D769" s="81"/>
      <c r="E769" s="81"/>
      <c r="F769" s="81"/>
      <c r="G769" s="81"/>
      <c r="H769" s="145"/>
      <c r="I769" s="145"/>
      <c r="J769" s="86"/>
      <c r="K769" s="145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 spans="1:27" ht="15">
      <c r="A770" s="81"/>
      <c r="B770" s="81"/>
      <c r="C770" s="81"/>
      <c r="D770" s="81"/>
      <c r="E770" s="81"/>
      <c r="F770" s="81"/>
      <c r="G770" s="81"/>
      <c r="H770" s="145"/>
      <c r="I770" s="145"/>
      <c r="J770" s="86"/>
      <c r="K770" s="145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 spans="1:27" ht="15">
      <c r="A771" s="81"/>
      <c r="B771" s="81"/>
      <c r="C771" s="81"/>
      <c r="D771" s="81"/>
      <c r="E771" s="81"/>
      <c r="F771" s="81"/>
      <c r="G771" s="81"/>
      <c r="H771" s="145"/>
      <c r="I771" s="145"/>
      <c r="J771" s="86"/>
      <c r="K771" s="145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 spans="1:27" ht="15">
      <c r="A772" s="81"/>
      <c r="B772" s="81"/>
      <c r="C772" s="81"/>
      <c r="D772" s="81"/>
      <c r="E772" s="81"/>
      <c r="F772" s="81"/>
      <c r="G772" s="81"/>
      <c r="H772" s="145"/>
      <c r="I772" s="145"/>
      <c r="J772" s="86"/>
      <c r="K772" s="145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 spans="1:27" ht="15">
      <c r="A773" s="81"/>
      <c r="B773" s="81"/>
      <c r="C773" s="81"/>
      <c r="D773" s="81"/>
      <c r="E773" s="81"/>
      <c r="F773" s="81"/>
      <c r="G773" s="81"/>
      <c r="H773" s="145"/>
      <c r="I773" s="145"/>
      <c r="J773" s="86"/>
      <c r="K773" s="145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 spans="1:27" ht="15">
      <c r="A774" s="81"/>
      <c r="B774" s="81"/>
      <c r="C774" s="81"/>
      <c r="D774" s="81"/>
      <c r="E774" s="81"/>
      <c r="F774" s="81"/>
      <c r="G774" s="81"/>
      <c r="H774" s="145"/>
      <c r="I774" s="145"/>
      <c r="J774" s="86"/>
      <c r="K774" s="145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 spans="1:27" ht="15">
      <c r="A775" s="81"/>
      <c r="B775" s="81"/>
      <c r="C775" s="81"/>
      <c r="D775" s="81"/>
      <c r="E775" s="81"/>
      <c r="F775" s="81"/>
      <c r="G775" s="81"/>
      <c r="H775" s="145"/>
      <c r="I775" s="145"/>
      <c r="J775" s="86"/>
      <c r="K775" s="145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 spans="1:27" ht="15">
      <c r="A776" s="81"/>
      <c r="B776" s="81"/>
      <c r="C776" s="81"/>
      <c r="D776" s="81"/>
      <c r="E776" s="81"/>
      <c r="F776" s="81"/>
      <c r="G776" s="81"/>
      <c r="H776" s="145"/>
      <c r="I776" s="145"/>
      <c r="J776" s="86"/>
      <c r="K776" s="145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 spans="1:27" ht="15">
      <c r="A777" s="81"/>
      <c r="B777" s="81"/>
      <c r="C777" s="81"/>
      <c r="D777" s="81"/>
      <c r="E777" s="81"/>
      <c r="F777" s="81"/>
      <c r="G777" s="81"/>
      <c r="H777" s="145"/>
      <c r="I777" s="145"/>
      <c r="J777" s="86"/>
      <c r="K777" s="145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 spans="1:27" ht="15">
      <c r="A778" s="81"/>
      <c r="B778" s="81"/>
      <c r="C778" s="81"/>
      <c r="D778" s="81"/>
      <c r="E778" s="81"/>
      <c r="F778" s="81"/>
      <c r="G778" s="81"/>
      <c r="H778" s="145"/>
      <c r="I778" s="145"/>
      <c r="J778" s="86"/>
      <c r="K778" s="145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 spans="1:27" ht="15">
      <c r="A779" s="81"/>
      <c r="B779" s="81"/>
      <c r="C779" s="81"/>
      <c r="D779" s="81"/>
      <c r="E779" s="81"/>
      <c r="F779" s="81"/>
      <c r="G779" s="81"/>
      <c r="H779" s="145"/>
      <c r="I779" s="145"/>
      <c r="J779" s="86"/>
      <c r="K779" s="145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 spans="1:27" ht="15">
      <c r="A780" s="81"/>
      <c r="B780" s="81"/>
      <c r="C780" s="81"/>
      <c r="D780" s="81"/>
      <c r="E780" s="81"/>
      <c r="F780" s="81"/>
      <c r="G780" s="81"/>
      <c r="H780" s="145"/>
      <c r="I780" s="145"/>
      <c r="J780" s="86"/>
      <c r="K780" s="145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 spans="1:27" ht="15">
      <c r="A781" s="81"/>
      <c r="B781" s="81"/>
      <c r="C781" s="81"/>
      <c r="D781" s="81"/>
      <c r="E781" s="81"/>
      <c r="F781" s="81"/>
      <c r="G781" s="81"/>
      <c r="H781" s="145"/>
      <c r="I781" s="145"/>
      <c r="J781" s="86"/>
      <c r="K781" s="145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 spans="1:27" ht="15">
      <c r="A782" s="81"/>
      <c r="B782" s="81"/>
      <c r="C782" s="81"/>
      <c r="D782" s="81"/>
      <c r="E782" s="81"/>
      <c r="F782" s="81"/>
      <c r="G782" s="81"/>
      <c r="H782" s="145"/>
      <c r="I782" s="145"/>
      <c r="J782" s="86"/>
      <c r="K782" s="145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 spans="1:27" ht="15">
      <c r="A783" s="81"/>
      <c r="B783" s="81"/>
      <c r="C783" s="81"/>
      <c r="D783" s="81"/>
      <c r="E783" s="81"/>
      <c r="F783" s="81"/>
      <c r="G783" s="81"/>
      <c r="H783" s="145"/>
      <c r="I783" s="145"/>
      <c r="J783" s="86"/>
      <c r="K783" s="145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 spans="1:27" ht="15">
      <c r="A784" s="81"/>
      <c r="B784" s="81"/>
      <c r="C784" s="81"/>
      <c r="D784" s="81"/>
      <c r="E784" s="81"/>
      <c r="F784" s="81"/>
      <c r="G784" s="81"/>
      <c r="H784" s="145"/>
      <c r="I784" s="145"/>
      <c r="J784" s="86"/>
      <c r="K784" s="145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 spans="1:27" ht="15">
      <c r="A785" s="81"/>
      <c r="B785" s="81"/>
      <c r="C785" s="81"/>
      <c r="D785" s="81"/>
      <c r="E785" s="81"/>
      <c r="F785" s="81"/>
      <c r="G785" s="81"/>
      <c r="H785" s="145"/>
      <c r="I785" s="145"/>
      <c r="J785" s="86"/>
      <c r="K785" s="145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 spans="1:27" ht="15">
      <c r="A786" s="81"/>
      <c r="B786" s="81"/>
      <c r="C786" s="81"/>
      <c r="D786" s="81"/>
      <c r="E786" s="81"/>
      <c r="F786" s="81"/>
      <c r="G786" s="81"/>
      <c r="H786" s="145"/>
      <c r="I786" s="145"/>
      <c r="J786" s="86"/>
      <c r="K786" s="145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 spans="1:27" ht="15">
      <c r="A787" s="81"/>
      <c r="B787" s="81"/>
      <c r="C787" s="81"/>
      <c r="D787" s="81"/>
      <c r="E787" s="81"/>
      <c r="F787" s="81"/>
      <c r="G787" s="81"/>
      <c r="H787" s="145"/>
      <c r="I787" s="145"/>
      <c r="J787" s="86"/>
      <c r="K787" s="145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 spans="1:27" ht="15">
      <c r="A788" s="81"/>
      <c r="B788" s="81"/>
      <c r="C788" s="81"/>
      <c r="D788" s="81"/>
      <c r="E788" s="81"/>
      <c r="F788" s="81"/>
      <c r="G788" s="81"/>
      <c r="H788" s="145"/>
      <c r="I788" s="145"/>
      <c r="J788" s="86"/>
      <c r="K788" s="145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 spans="1:27" ht="15">
      <c r="A789" s="81"/>
      <c r="B789" s="81"/>
      <c r="C789" s="81"/>
      <c r="D789" s="81"/>
      <c r="E789" s="81"/>
      <c r="F789" s="81"/>
      <c r="G789" s="81"/>
      <c r="H789" s="145"/>
      <c r="I789" s="145"/>
      <c r="J789" s="86"/>
      <c r="K789" s="145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 spans="1:27" ht="15">
      <c r="A790" s="81"/>
      <c r="B790" s="81"/>
      <c r="C790" s="81"/>
      <c r="D790" s="81"/>
      <c r="E790" s="81"/>
      <c r="F790" s="81"/>
      <c r="G790" s="81"/>
      <c r="H790" s="145"/>
      <c r="I790" s="145"/>
      <c r="J790" s="86"/>
      <c r="K790" s="145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 spans="1:27" ht="15">
      <c r="A791" s="81"/>
      <c r="B791" s="81"/>
      <c r="C791" s="81"/>
      <c r="D791" s="81"/>
      <c r="E791" s="81"/>
      <c r="F791" s="81"/>
      <c r="G791" s="81"/>
      <c r="H791" s="145"/>
      <c r="I791" s="145"/>
      <c r="J791" s="86"/>
      <c r="K791" s="145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 spans="1:27" ht="15">
      <c r="A792" s="81"/>
      <c r="B792" s="81"/>
      <c r="C792" s="81"/>
      <c r="D792" s="81"/>
      <c r="E792" s="81"/>
      <c r="F792" s="81"/>
      <c r="G792" s="81"/>
      <c r="H792" s="145"/>
      <c r="I792" s="145"/>
      <c r="J792" s="86"/>
      <c r="K792" s="145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 spans="1:27" ht="15">
      <c r="A793" s="81"/>
      <c r="B793" s="81"/>
      <c r="C793" s="81"/>
      <c r="D793" s="81"/>
      <c r="E793" s="81"/>
      <c r="F793" s="81"/>
      <c r="G793" s="81"/>
      <c r="H793" s="145"/>
      <c r="I793" s="145"/>
      <c r="J793" s="86"/>
      <c r="K793" s="145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 spans="1:27" ht="15">
      <c r="A794" s="81"/>
      <c r="B794" s="81"/>
      <c r="C794" s="81"/>
      <c r="D794" s="81"/>
      <c r="E794" s="81"/>
      <c r="F794" s="81"/>
      <c r="G794" s="81"/>
      <c r="H794" s="145"/>
      <c r="I794" s="145"/>
      <c r="J794" s="86"/>
      <c r="K794" s="145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 spans="1:27" ht="15">
      <c r="A795" s="81"/>
      <c r="B795" s="81"/>
      <c r="C795" s="81"/>
      <c r="D795" s="81"/>
      <c r="E795" s="81"/>
      <c r="F795" s="81"/>
      <c r="G795" s="81"/>
      <c r="H795" s="145"/>
      <c r="I795" s="145"/>
      <c r="J795" s="86"/>
      <c r="K795" s="145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 spans="1:27" ht="15">
      <c r="A796" s="81"/>
      <c r="B796" s="81"/>
      <c r="C796" s="81"/>
      <c r="D796" s="81"/>
      <c r="E796" s="81"/>
      <c r="F796" s="81"/>
      <c r="G796" s="81"/>
      <c r="H796" s="145"/>
      <c r="I796" s="145"/>
      <c r="J796" s="86"/>
      <c r="K796" s="145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 spans="1:27" ht="15">
      <c r="A797" s="81"/>
      <c r="B797" s="81"/>
      <c r="C797" s="81"/>
      <c r="D797" s="81"/>
      <c r="E797" s="81"/>
      <c r="F797" s="81"/>
      <c r="G797" s="81"/>
      <c r="H797" s="145"/>
      <c r="I797" s="145"/>
      <c r="J797" s="86"/>
      <c r="K797" s="145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 spans="1:27" ht="15">
      <c r="A798" s="81"/>
      <c r="B798" s="81"/>
      <c r="C798" s="81"/>
      <c r="D798" s="81"/>
      <c r="E798" s="81"/>
      <c r="F798" s="81"/>
      <c r="G798" s="81"/>
      <c r="H798" s="145"/>
      <c r="I798" s="145"/>
      <c r="J798" s="86"/>
      <c r="K798" s="145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 spans="1:27" ht="15">
      <c r="A799" s="81"/>
      <c r="B799" s="81"/>
      <c r="C799" s="81"/>
      <c r="D799" s="81"/>
      <c r="E799" s="81"/>
      <c r="F799" s="81"/>
      <c r="G799" s="81"/>
      <c r="H799" s="145"/>
      <c r="I799" s="145"/>
      <c r="J799" s="86"/>
      <c r="K799" s="145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 spans="1:27" ht="15">
      <c r="A800" s="81"/>
      <c r="B800" s="81"/>
      <c r="C800" s="81"/>
      <c r="D800" s="81"/>
      <c r="E800" s="81"/>
      <c r="F800" s="81"/>
      <c r="G800" s="81"/>
      <c r="H800" s="145"/>
      <c r="I800" s="145"/>
      <c r="J800" s="86"/>
      <c r="K800" s="145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 spans="1:27" ht="15">
      <c r="A801" s="81"/>
      <c r="B801" s="81"/>
      <c r="C801" s="81"/>
      <c r="D801" s="81"/>
      <c r="E801" s="81"/>
      <c r="F801" s="81"/>
      <c r="G801" s="81"/>
      <c r="H801" s="145"/>
      <c r="I801" s="145"/>
      <c r="J801" s="86"/>
      <c r="K801" s="145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 spans="1:27" ht="15">
      <c r="A802" s="81"/>
      <c r="B802" s="81"/>
      <c r="C802" s="81"/>
      <c r="D802" s="81"/>
      <c r="E802" s="81"/>
      <c r="F802" s="81"/>
      <c r="G802" s="81"/>
      <c r="H802" s="145"/>
      <c r="I802" s="145"/>
      <c r="J802" s="86"/>
      <c r="K802" s="145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 spans="1:27" ht="15">
      <c r="A803" s="81"/>
      <c r="B803" s="81"/>
      <c r="C803" s="81"/>
      <c r="D803" s="81"/>
      <c r="E803" s="81"/>
      <c r="F803" s="81"/>
      <c r="G803" s="81"/>
      <c r="H803" s="145"/>
      <c r="I803" s="145"/>
      <c r="J803" s="86"/>
      <c r="K803" s="145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 spans="1:27" ht="15">
      <c r="A804" s="81"/>
      <c r="B804" s="81"/>
      <c r="C804" s="81"/>
      <c r="D804" s="81"/>
      <c r="E804" s="81"/>
      <c r="F804" s="81"/>
      <c r="G804" s="81"/>
      <c r="H804" s="145"/>
      <c r="I804" s="145"/>
      <c r="J804" s="86"/>
      <c r="K804" s="145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 spans="1:27" ht="15">
      <c r="A805" s="81"/>
      <c r="B805" s="81"/>
      <c r="C805" s="81"/>
      <c r="D805" s="81"/>
      <c r="E805" s="81"/>
      <c r="F805" s="81"/>
      <c r="G805" s="81"/>
      <c r="H805" s="145"/>
      <c r="I805" s="145"/>
      <c r="J805" s="86"/>
      <c r="K805" s="145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 spans="1:27" ht="15">
      <c r="A806" s="81"/>
      <c r="B806" s="81"/>
      <c r="C806" s="81"/>
      <c r="D806" s="81"/>
      <c r="E806" s="81"/>
      <c r="F806" s="81"/>
      <c r="G806" s="81"/>
      <c r="H806" s="145"/>
      <c r="I806" s="145"/>
      <c r="J806" s="86"/>
      <c r="K806" s="145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 spans="1:27" ht="15">
      <c r="A807" s="81"/>
      <c r="B807" s="81"/>
      <c r="C807" s="81"/>
      <c r="D807" s="81"/>
      <c r="E807" s="81"/>
      <c r="F807" s="81"/>
      <c r="G807" s="81"/>
      <c r="H807" s="145"/>
      <c r="I807" s="145"/>
      <c r="J807" s="86"/>
      <c r="K807" s="145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 spans="1:27" ht="15">
      <c r="A808" s="81"/>
      <c r="B808" s="81"/>
      <c r="C808" s="81"/>
      <c r="D808" s="81"/>
      <c r="E808" s="81"/>
      <c r="F808" s="81"/>
      <c r="G808" s="81"/>
      <c r="H808" s="145"/>
      <c r="I808" s="145"/>
      <c r="J808" s="86"/>
      <c r="K808" s="145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 spans="1:27" ht="15">
      <c r="A809" s="81"/>
      <c r="B809" s="81"/>
      <c r="C809" s="81"/>
      <c r="D809" s="81"/>
      <c r="E809" s="81"/>
      <c r="F809" s="81"/>
      <c r="G809" s="81"/>
      <c r="H809" s="145"/>
      <c r="I809" s="145"/>
      <c r="J809" s="86"/>
      <c r="K809" s="145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 spans="1:27" ht="15">
      <c r="A810" s="81"/>
      <c r="B810" s="81"/>
      <c r="C810" s="81"/>
      <c r="D810" s="81"/>
      <c r="E810" s="81"/>
      <c r="F810" s="81"/>
      <c r="G810" s="81"/>
      <c r="H810" s="145"/>
      <c r="I810" s="145"/>
      <c r="J810" s="86"/>
      <c r="K810" s="145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 spans="1:27" ht="15">
      <c r="A811" s="81"/>
      <c r="B811" s="81"/>
      <c r="C811" s="81"/>
      <c r="D811" s="81"/>
      <c r="E811" s="81"/>
      <c r="F811" s="81"/>
      <c r="G811" s="81"/>
      <c r="H811" s="145"/>
      <c r="I811" s="145"/>
      <c r="J811" s="86"/>
      <c r="K811" s="145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 spans="1:27" ht="15">
      <c r="A812" s="81"/>
      <c r="B812" s="81"/>
      <c r="C812" s="81"/>
      <c r="D812" s="81"/>
      <c r="E812" s="81"/>
      <c r="F812" s="81"/>
      <c r="G812" s="81"/>
      <c r="H812" s="145"/>
      <c r="I812" s="145"/>
      <c r="J812" s="86"/>
      <c r="K812" s="145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 spans="1:27" ht="15">
      <c r="A813" s="81"/>
      <c r="B813" s="81"/>
      <c r="C813" s="81"/>
      <c r="D813" s="81"/>
      <c r="E813" s="81"/>
      <c r="F813" s="81"/>
      <c r="G813" s="81"/>
      <c r="H813" s="145"/>
      <c r="I813" s="145"/>
      <c r="J813" s="86"/>
      <c r="K813" s="145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 spans="1:27" ht="15">
      <c r="A814" s="81"/>
      <c r="B814" s="81"/>
      <c r="C814" s="81"/>
      <c r="D814" s="81"/>
      <c r="E814" s="81"/>
      <c r="F814" s="81"/>
      <c r="G814" s="81"/>
      <c r="H814" s="145"/>
      <c r="I814" s="145"/>
      <c r="J814" s="86"/>
      <c r="K814" s="145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 spans="1:27" ht="15">
      <c r="A815" s="81"/>
      <c r="B815" s="81"/>
      <c r="C815" s="81"/>
      <c r="D815" s="81"/>
      <c r="E815" s="81"/>
      <c r="F815" s="81"/>
      <c r="G815" s="81"/>
      <c r="H815" s="145"/>
      <c r="I815" s="145"/>
      <c r="J815" s="86"/>
      <c r="K815" s="145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 spans="1:27" ht="15">
      <c r="A816" s="81"/>
      <c r="B816" s="81"/>
      <c r="C816" s="81"/>
      <c r="D816" s="81"/>
      <c r="E816" s="81"/>
      <c r="F816" s="81"/>
      <c r="G816" s="81"/>
      <c r="H816" s="145"/>
      <c r="I816" s="145"/>
      <c r="J816" s="86"/>
      <c r="K816" s="145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 spans="1:27" ht="15">
      <c r="A817" s="81"/>
      <c r="B817" s="81"/>
      <c r="C817" s="81"/>
      <c r="D817" s="81"/>
      <c r="E817" s="81"/>
      <c r="F817" s="81"/>
      <c r="G817" s="81"/>
      <c r="H817" s="145"/>
      <c r="I817" s="145"/>
      <c r="J817" s="86"/>
      <c r="K817" s="145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 spans="1:27" ht="15">
      <c r="A818" s="81"/>
      <c r="B818" s="81"/>
      <c r="C818" s="81"/>
      <c r="D818" s="81"/>
      <c r="E818" s="81"/>
      <c r="F818" s="81"/>
      <c r="G818" s="81"/>
      <c r="H818" s="145"/>
      <c r="I818" s="145"/>
      <c r="J818" s="86"/>
      <c r="K818" s="145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 spans="1:27" ht="15">
      <c r="A819" s="81"/>
      <c r="B819" s="81"/>
      <c r="C819" s="81"/>
      <c r="D819" s="81"/>
      <c r="E819" s="81"/>
      <c r="F819" s="81"/>
      <c r="G819" s="81"/>
      <c r="H819" s="145"/>
      <c r="I819" s="145"/>
      <c r="J819" s="86"/>
      <c r="K819" s="145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 spans="1:27" ht="15">
      <c r="A820" s="81"/>
      <c r="B820" s="81"/>
      <c r="C820" s="81"/>
      <c r="D820" s="81"/>
      <c r="E820" s="81"/>
      <c r="F820" s="81"/>
      <c r="G820" s="81"/>
      <c r="H820" s="145"/>
      <c r="I820" s="145"/>
      <c r="J820" s="86"/>
      <c r="K820" s="145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 spans="1:27" ht="15">
      <c r="A821" s="81"/>
      <c r="B821" s="81"/>
      <c r="C821" s="81"/>
      <c r="D821" s="81"/>
      <c r="E821" s="81"/>
      <c r="F821" s="81"/>
      <c r="G821" s="81"/>
      <c r="H821" s="145"/>
      <c r="I821" s="145"/>
      <c r="J821" s="86"/>
      <c r="K821" s="145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 spans="1:27" ht="15">
      <c r="A822" s="81"/>
      <c r="B822" s="81"/>
      <c r="C822" s="81"/>
      <c r="D822" s="81"/>
      <c r="E822" s="81"/>
      <c r="F822" s="81"/>
      <c r="G822" s="81"/>
      <c r="H822" s="145"/>
      <c r="I822" s="145"/>
      <c r="J822" s="86"/>
      <c r="K822" s="145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 spans="1:27" ht="15">
      <c r="A823" s="81"/>
      <c r="B823" s="81"/>
      <c r="C823" s="81"/>
      <c r="D823" s="81"/>
      <c r="E823" s="81"/>
      <c r="F823" s="81"/>
      <c r="G823" s="81"/>
      <c r="H823" s="145"/>
      <c r="I823" s="145"/>
      <c r="J823" s="86"/>
      <c r="K823" s="145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 spans="1:27" ht="15">
      <c r="A824" s="81"/>
      <c r="B824" s="81"/>
      <c r="C824" s="81"/>
      <c r="D824" s="81"/>
      <c r="E824" s="81"/>
      <c r="F824" s="81"/>
      <c r="G824" s="81"/>
      <c r="H824" s="145"/>
      <c r="I824" s="145"/>
      <c r="J824" s="86"/>
      <c r="K824" s="145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 spans="1:27" ht="15">
      <c r="A825" s="81"/>
      <c r="B825" s="81"/>
      <c r="C825" s="81"/>
      <c r="D825" s="81"/>
      <c r="E825" s="81"/>
      <c r="F825" s="81"/>
      <c r="G825" s="81"/>
      <c r="H825" s="145"/>
      <c r="I825" s="145"/>
      <c r="J825" s="86"/>
      <c r="K825" s="145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 spans="1:27" ht="15">
      <c r="A826" s="81"/>
      <c r="B826" s="81"/>
      <c r="C826" s="81"/>
      <c r="D826" s="81"/>
      <c r="E826" s="81"/>
      <c r="F826" s="81"/>
      <c r="G826" s="81"/>
      <c r="H826" s="145"/>
      <c r="I826" s="145"/>
      <c r="J826" s="86"/>
      <c r="K826" s="145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 spans="1:27" ht="15">
      <c r="A827" s="81"/>
      <c r="B827" s="81"/>
      <c r="C827" s="81"/>
      <c r="D827" s="81"/>
      <c r="E827" s="81"/>
      <c r="F827" s="81"/>
      <c r="G827" s="81"/>
      <c r="H827" s="145"/>
      <c r="I827" s="145"/>
      <c r="J827" s="86"/>
      <c r="K827" s="145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 spans="1:27" ht="15">
      <c r="A828" s="81"/>
      <c r="B828" s="81"/>
      <c r="C828" s="81"/>
      <c r="D828" s="81"/>
      <c r="E828" s="81"/>
      <c r="F828" s="81"/>
      <c r="G828" s="81"/>
      <c r="H828" s="145"/>
      <c r="I828" s="145"/>
      <c r="J828" s="86"/>
      <c r="K828" s="145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 spans="1:27" ht="15">
      <c r="A829" s="81"/>
      <c r="B829" s="81"/>
      <c r="C829" s="81"/>
      <c r="D829" s="81"/>
      <c r="E829" s="81"/>
      <c r="F829" s="81"/>
      <c r="G829" s="81"/>
      <c r="H829" s="145"/>
      <c r="I829" s="145"/>
      <c r="J829" s="86"/>
      <c r="K829" s="145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 spans="1:27" ht="15">
      <c r="A830" s="81"/>
      <c r="B830" s="81"/>
      <c r="C830" s="81"/>
      <c r="D830" s="81"/>
      <c r="E830" s="81"/>
      <c r="F830" s="81"/>
      <c r="G830" s="81"/>
      <c r="H830" s="145"/>
      <c r="I830" s="145"/>
      <c r="J830" s="86"/>
      <c r="K830" s="145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 spans="1:27" ht="15">
      <c r="A831" s="81"/>
      <c r="B831" s="81"/>
      <c r="C831" s="81"/>
      <c r="D831" s="81"/>
      <c r="E831" s="81"/>
      <c r="F831" s="81"/>
      <c r="G831" s="81"/>
      <c r="H831" s="145"/>
      <c r="I831" s="145"/>
      <c r="J831" s="86"/>
      <c r="K831" s="145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 spans="1:27" ht="15">
      <c r="A832" s="81"/>
      <c r="B832" s="81"/>
      <c r="C832" s="81"/>
      <c r="D832" s="81"/>
      <c r="E832" s="81"/>
      <c r="F832" s="81"/>
      <c r="G832" s="81"/>
      <c r="H832" s="145"/>
      <c r="I832" s="145"/>
      <c r="J832" s="86"/>
      <c r="K832" s="145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 spans="1:27" ht="15">
      <c r="A833" s="81"/>
      <c r="B833" s="81"/>
      <c r="C833" s="81"/>
      <c r="D833" s="81"/>
      <c r="E833" s="81"/>
      <c r="F833" s="81"/>
      <c r="G833" s="81"/>
      <c r="H833" s="145"/>
      <c r="I833" s="145"/>
      <c r="J833" s="86"/>
      <c r="K833" s="145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 spans="1:27" ht="15">
      <c r="A834" s="81"/>
      <c r="B834" s="81"/>
      <c r="C834" s="81"/>
      <c r="D834" s="81"/>
      <c r="E834" s="81"/>
      <c r="F834" s="81"/>
      <c r="G834" s="81"/>
      <c r="H834" s="145"/>
      <c r="I834" s="145"/>
      <c r="J834" s="86"/>
      <c r="K834" s="145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 spans="1:27" ht="15">
      <c r="A835" s="81"/>
      <c r="B835" s="81"/>
      <c r="C835" s="81"/>
      <c r="D835" s="81"/>
      <c r="E835" s="81"/>
      <c r="F835" s="81"/>
      <c r="G835" s="81"/>
      <c r="H835" s="145"/>
      <c r="I835" s="145"/>
      <c r="J835" s="86"/>
      <c r="K835" s="145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 spans="1:27" ht="15">
      <c r="A836" s="81"/>
      <c r="B836" s="81"/>
      <c r="C836" s="81"/>
      <c r="D836" s="81"/>
      <c r="E836" s="81"/>
      <c r="F836" s="81"/>
      <c r="G836" s="81"/>
      <c r="H836" s="145"/>
      <c r="I836" s="145"/>
      <c r="J836" s="86"/>
      <c r="K836" s="145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 spans="1:27" ht="15">
      <c r="A837" s="81"/>
      <c r="B837" s="81"/>
      <c r="C837" s="81"/>
      <c r="D837" s="81"/>
      <c r="E837" s="81"/>
      <c r="F837" s="81"/>
      <c r="G837" s="81"/>
      <c r="H837" s="145"/>
      <c r="I837" s="145"/>
      <c r="J837" s="86"/>
      <c r="K837" s="145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 spans="1:27" ht="15">
      <c r="A838" s="81"/>
      <c r="B838" s="81"/>
      <c r="C838" s="81"/>
      <c r="D838" s="81"/>
      <c r="E838" s="81"/>
      <c r="F838" s="81"/>
      <c r="G838" s="81"/>
      <c r="H838" s="145"/>
      <c r="I838" s="145"/>
      <c r="J838" s="86"/>
      <c r="K838" s="145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 spans="1:27" ht="15">
      <c r="A839" s="81"/>
      <c r="B839" s="81"/>
      <c r="C839" s="81"/>
      <c r="D839" s="81"/>
      <c r="E839" s="81"/>
      <c r="F839" s="81"/>
      <c r="G839" s="81"/>
      <c r="H839" s="145"/>
      <c r="I839" s="145"/>
      <c r="J839" s="86"/>
      <c r="K839" s="145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 spans="1:27" ht="15">
      <c r="A840" s="81"/>
      <c r="B840" s="81"/>
      <c r="C840" s="81"/>
      <c r="D840" s="81"/>
      <c r="E840" s="81"/>
      <c r="F840" s="81"/>
      <c r="G840" s="81"/>
      <c r="H840" s="145"/>
      <c r="I840" s="145"/>
      <c r="J840" s="86"/>
      <c r="K840" s="145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 spans="1:27" ht="15">
      <c r="A841" s="81"/>
      <c r="B841" s="81"/>
      <c r="C841" s="81"/>
      <c r="D841" s="81"/>
      <c r="E841" s="81"/>
      <c r="F841" s="81"/>
      <c r="G841" s="81"/>
      <c r="H841" s="145"/>
      <c r="I841" s="145"/>
      <c r="J841" s="86"/>
      <c r="K841" s="145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 spans="1:27" ht="15">
      <c r="A842" s="81"/>
      <c r="B842" s="81"/>
      <c r="C842" s="81"/>
      <c r="D842" s="81"/>
      <c r="E842" s="81"/>
      <c r="F842" s="81"/>
      <c r="G842" s="81"/>
      <c r="H842" s="145"/>
      <c r="I842" s="145"/>
      <c r="J842" s="86"/>
      <c r="K842" s="145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 spans="1:27" ht="15">
      <c r="A843" s="81"/>
      <c r="B843" s="81"/>
      <c r="C843" s="81"/>
      <c r="D843" s="81"/>
      <c r="E843" s="81"/>
      <c r="F843" s="81"/>
      <c r="G843" s="81"/>
      <c r="H843" s="145"/>
      <c r="I843" s="145"/>
      <c r="J843" s="86"/>
      <c r="K843" s="145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 spans="1:27" ht="15">
      <c r="A844" s="81"/>
      <c r="B844" s="81"/>
      <c r="C844" s="81"/>
      <c r="D844" s="81"/>
      <c r="E844" s="81"/>
      <c r="F844" s="81"/>
      <c r="G844" s="81"/>
      <c r="H844" s="145"/>
      <c r="I844" s="145"/>
      <c r="J844" s="86"/>
      <c r="K844" s="145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 spans="1:27" ht="15">
      <c r="A845" s="81"/>
      <c r="B845" s="81"/>
      <c r="C845" s="81"/>
      <c r="D845" s="81"/>
      <c r="E845" s="81"/>
      <c r="F845" s="81"/>
      <c r="G845" s="81"/>
      <c r="H845" s="145"/>
      <c r="I845" s="145"/>
      <c r="J845" s="86"/>
      <c r="K845" s="145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 spans="1:27" ht="15">
      <c r="A846" s="81"/>
      <c r="B846" s="81"/>
      <c r="C846" s="81"/>
      <c r="D846" s="81"/>
      <c r="E846" s="81"/>
      <c r="F846" s="81"/>
      <c r="G846" s="81"/>
      <c r="H846" s="145"/>
      <c r="I846" s="145"/>
      <c r="J846" s="86"/>
      <c r="K846" s="145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 spans="1:27" ht="15">
      <c r="A847" s="81"/>
      <c r="B847" s="81"/>
      <c r="C847" s="81"/>
      <c r="D847" s="81"/>
      <c r="E847" s="81"/>
      <c r="F847" s="81"/>
      <c r="G847" s="81"/>
      <c r="H847" s="145"/>
      <c r="I847" s="145"/>
      <c r="J847" s="86"/>
      <c r="K847" s="145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 spans="1:27" ht="15">
      <c r="A848" s="81"/>
      <c r="B848" s="81"/>
      <c r="C848" s="81"/>
      <c r="D848" s="81"/>
      <c r="E848" s="81"/>
      <c r="F848" s="81"/>
      <c r="G848" s="81"/>
      <c r="H848" s="145"/>
      <c r="I848" s="145"/>
      <c r="J848" s="86"/>
      <c r="K848" s="145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 spans="1:27" ht="15">
      <c r="A849" s="81"/>
      <c r="B849" s="81"/>
      <c r="C849" s="81"/>
      <c r="D849" s="81"/>
      <c r="E849" s="81"/>
      <c r="F849" s="81"/>
      <c r="G849" s="81"/>
      <c r="H849" s="145"/>
      <c r="I849" s="145"/>
      <c r="J849" s="86"/>
      <c r="K849" s="145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 spans="1:27" ht="15">
      <c r="A850" s="81"/>
      <c r="B850" s="81"/>
      <c r="C850" s="81"/>
      <c r="D850" s="81"/>
      <c r="E850" s="81"/>
      <c r="F850" s="81"/>
      <c r="G850" s="81"/>
      <c r="H850" s="145"/>
      <c r="I850" s="145"/>
      <c r="J850" s="86"/>
      <c r="K850" s="145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 spans="1:27" ht="15">
      <c r="A851" s="81"/>
      <c r="B851" s="81"/>
      <c r="C851" s="81"/>
      <c r="D851" s="81"/>
      <c r="E851" s="81"/>
      <c r="F851" s="81"/>
      <c r="G851" s="81"/>
      <c r="H851" s="145"/>
      <c r="I851" s="145"/>
      <c r="J851" s="86"/>
      <c r="K851" s="145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 spans="1:27" ht="15">
      <c r="A852" s="81"/>
      <c r="B852" s="81"/>
      <c r="C852" s="81"/>
      <c r="D852" s="81"/>
      <c r="E852" s="81"/>
      <c r="F852" s="81"/>
      <c r="G852" s="81"/>
      <c r="H852" s="145"/>
      <c r="I852" s="145"/>
      <c r="J852" s="86"/>
      <c r="K852" s="145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 spans="1:27" ht="15">
      <c r="A853" s="81"/>
      <c r="B853" s="81"/>
      <c r="C853" s="81"/>
      <c r="D853" s="81"/>
      <c r="E853" s="81"/>
      <c r="F853" s="81"/>
      <c r="G853" s="81"/>
      <c r="H853" s="145"/>
      <c r="I853" s="145"/>
      <c r="J853" s="86"/>
      <c r="K853" s="145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 spans="1:27" ht="15">
      <c r="A854" s="81"/>
      <c r="B854" s="81"/>
      <c r="C854" s="81"/>
      <c r="D854" s="81"/>
      <c r="E854" s="81"/>
      <c r="F854" s="81"/>
      <c r="G854" s="81"/>
      <c r="H854" s="145"/>
      <c r="I854" s="145"/>
      <c r="J854" s="86"/>
      <c r="K854" s="145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 spans="1:27" ht="15">
      <c r="A855" s="81"/>
      <c r="B855" s="81"/>
      <c r="C855" s="81"/>
      <c r="D855" s="81"/>
      <c r="E855" s="81"/>
      <c r="F855" s="81"/>
      <c r="G855" s="81"/>
      <c r="H855" s="145"/>
      <c r="I855" s="145"/>
      <c r="J855" s="86"/>
      <c r="K855" s="145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 spans="1:27" ht="15">
      <c r="A856" s="81"/>
      <c r="B856" s="81"/>
      <c r="C856" s="81"/>
      <c r="D856" s="81"/>
      <c r="E856" s="81"/>
      <c r="F856" s="81"/>
      <c r="G856" s="81"/>
      <c r="H856" s="145"/>
      <c r="I856" s="145"/>
      <c r="J856" s="86"/>
      <c r="K856" s="145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 spans="1:27" ht="15">
      <c r="A857" s="81"/>
      <c r="B857" s="81"/>
      <c r="C857" s="81"/>
      <c r="D857" s="81"/>
      <c r="E857" s="81"/>
      <c r="F857" s="81"/>
      <c r="G857" s="81"/>
      <c r="H857" s="145"/>
      <c r="I857" s="145"/>
      <c r="J857" s="86"/>
      <c r="K857" s="145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 spans="1:27" ht="15">
      <c r="A858" s="81"/>
      <c r="B858" s="81"/>
      <c r="C858" s="81"/>
      <c r="D858" s="81"/>
      <c r="E858" s="81"/>
      <c r="F858" s="81"/>
      <c r="G858" s="81"/>
      <c r="H858" s="145"/>
      <c r="I858" s="145"/>
      <c r="J858" s="86"/>
      <c r="K858" s="145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 spans="1:27" ht="15">
      <c r="A859" s="81"/>
      <c r="B859" s="81"/>
      <c r="C859" s="81"/>
      <c r="D859" s="81"/>
      <c r="E859" s="81"/>
      <c r="F859" s="81"/>
      <c r="G859" s="81"/>
      <c r="H859" s="145"/>
      <c r="I859" s="145"/>
      <c r="J859" s="86"/>
      <c r="K859" s="145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 spans="1:27" ht="15">
      <c r="A860" s="81"/>
      <c r="B860" s="81"/>
      <c r="C860" s="81"/>
      <c r="D860" s="81"/>
      <c r="E860" s="81"/>
      <c r="F860" s="81"/>
      <c r="G860" s="81"/>
      <c r="H860" s="145"/>
      <c r="I860" s="145"/>
      <c r="J860" s="86"/>
      <c r="K860" s="145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 spans="1:27" ht="15">
      <c r="A861" s="81"/>
      <c r="B861" s="81"/>
      <c r="C861" s="81"/>
      <c r="D861" s="81"/>
      <c r="E861" s="81"/>
      <c r="F861" s="81"/>
      <c r="G861" s="81"/>
      <c r="H861" s="145"/>
      <c r="I861" s="145"/>
      <c r="J861" s="86"/>
      <c r="K861" s="145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 spans="1:27" ht="15">
      <c r="A862" s="81"/>
      <c r="B862" s="81"/>
      <c r="C862" s="81"/>
      <c r="D862" s="81"/>
      <c r="E862" s="81"/>
      <c r="F862" s="81"/>
      <c r="G862" s="81"/>
      <c r="H862" s="145"/>
      <c r="I862" s="145"/>
      <c r="J862" s="86"/>
      <c r="K862" s="145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 spans="1:27" ht="15">
      <c r="A863" s="81"/>
      <c r="B863" s="81"/>
      <c r="C863" s="81"/>
      <c r="D863" s="81"/>
      <c r="E863" s="81"/>
      <c r="F863" s="81"/>
      <c r="G863" s="81"/>
      <c r="H863" s="145"/>
      <c r="I863" s="145"/>
      <c r="J863" s="86"/>
      <c r="K863" s="145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 spans="1:27" ht="15">
      <c r="A864" s="81"/>
      <c r="B864" s="81"/>
      <c r="C864" s="81"/>
      <c r="D864" s="81"/>
      <c r="E864" s="81"/>
      <c r="F864" s="81"/>
      <c r="G864" s="81"/>
      <c r="H864" s="145"/>
      <c r="I864" s="145"/>
      <c r="J864" s="86"/>
      <c r="K864" s="145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 spans="1:27" ht="15">
      <c r="A865" s="81"/>
      <c r="B865" s="81"/>
      <c r="C865" s="81"/>
      <c r="D865" s="81"/>
      <c r="E865" s="81"/>
      <c r="F865" s="81"/>
      <c r="G865" s="81"/>
      <c r="H865" s="145"/>
      <c r="I865" s="145"/>
      <c r="J865" s="86"/>
      <c r="K865" s="145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 spans="1:27" ht="15">
      <c r="A866" s="81"/>
      <c r="B866" s="81"/>
      <c r="C866" s="81"/>
      <c r="D866" s="81"/>
      <c r="E866" s="81"/>
      <c r="F866" s="81"/>
      <c r="G866" s="81"/>
      <c r="H866" s="145"/>
      <c r="I866" s="145"/>
      <c r="J866" s="86"/>
      <c r="K866" s="145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 spans="1:27" ht="15">
      <c r="A867" s="81"/>
      <c r="B867" s="81"/>
      <c r="C867" s="81"/>
      <c r="D867" s="81"/>
      <c r="E867" s="81"/>
      <c r="F867" s="81"/>
      <c r="G867" s="81"/>
      <c r="H867" s="145"/>
      <c r="I867" s="145"/>
      <c r="J867" s="86"/>
      <c r="K867" s="145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 spans="1:27" ht="15">
      <c r="A868" s="81"/>
      <c r="B868" s="81"/>
      <c r="C868" s="81"/>
      <c r="D868" s="81"/>
      <c r="E868" s="81"/>
      <c r="F868" s="81"/>
      <c r="G868" s="81"/>
      <c r="H868" s="145"/>
      <c r="I868" s="145"/>
      <c r="J868" s="86"/>
      <c r="K868" s="145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 spans="1:27" ht="15">
      <c r="A869" s="81"/>
      <c r="B869" s="81"/>
      <c r="C869" s="81"/>
      <c r="D869" s="81"/>
      <c r="E869" s="81"/>
      <c r="F869" s="81"/>
      <c r="G869" s="81"/>
      <c r="H869" s="145"/>
      <c r="I869" s="145"/>
      <c r="J869" s="86"/>
      <c r="K869" s="145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 spans="1:27" ht="15">
      <c r="A870" s="81"/>
      <c r="B870" s="81"/>
      <c r="C870" s="81"/>
      <c r="D870" s="81"/>
      <c r="E870" s="81"/>
      <c r="F870" s="81"/>
      <c r="G870" s="81"/>
      <c r="H870" s="145"/>
      <c r="I870" s="145"/>
      <c r="J870" s="86"/>
      <c r="K870" s="145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 spans="1:27" ht="15">
      <c r="A871" s="81"/>
      <c r="B871" s="81"/>
      <c r="C871" s="81"/>
      <c r="D871" s="81"/>
      <c r="E871" s="81"/>
      <c r="F871" s="81"/>
      <c r="G871" s="81"/>
      <c r="H871" s="145"/>
      <c r="I871" s="145"/>
      <c r="J871" s="86"/>
      <c r="K871" s="145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 spans="1:27" ht="15">
      <c r="A872" s="81"/>
      <c r="B872" s="81"/>
      <c r="C872" s="81"/>
      <c r="D872" s="81"/>
      <c r="E872" s="81"/>
      <c r="F872" s="81"/>
      <c r="G872" s="81"/>
      <c r="H872" s="145"/>
      <c r="I872" s="145"/>
      <c r="J872" s="86"/>
      <c r="K872" s="145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 spans="1:27" ht="15">
      <c r="A873" s="81"/>
      <c r="B873" s="81"/>
      <c r="C873" s="81"/>
      <c r="D873" s="81"/>
      <c r="E873" s="81"/>
      <c r="F873" s="81"/>
      <c r="G873" s="81"/>
      <c r="H873" s="145"/>
      <c r="I873" s="145"/>
      <c r="J873" s="86"/>
      <c r="K873" s="145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 spans="1:27" ht="15">
      <c r="A874" s="81"/>
      <c r="B874" s="81"/>
      <c r="C874" s="81"/>
      <c r="D874" s="81"/>
      <c r="E874" s="81"/>
      <c r="F874" s="81"/>
      <c r="G874" s="81"/>
      <c r="H874" s="145"/>
      <c r="I874" s="145"/>
      <c r="J874" s="86"/>
      <c r="K874" s="145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 spans="1:27" ht="15">
      <c r="A875" s="81"/>
      <c r="B875" s="81"/>
      <c r="C875" s="81"/>
      <c r="D875" s="81"/>
      <c r="E875" s="81"/>
      <c r="F875" s="81"/>
      <c r="G875" s="81"/>
      <c r="H875" s="145"/>
      <c r="I875" s="145"/>
      <c r="J875" s="86"/>
      <c r="K875" s="145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 spans="1:27" ht="15">
      <c r="A876" s="81"/>
      <c r="B876" s="81"/>
      <c r="C876" s="81"/>
      <c r="D876" s="81"/>
      <c r="E876" s="81"/>
      <c r="F876" s="81"/>
      <c r="G876" s="81"/>
      <c r="H876" s="145"/>
      <c r="I876" s="145"/>
      <c r="J876" s="86"/>
      <c r="K876" s="145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 spans="1:27" ht="15">
      <c r="A877" s="81"/>
      <c r="B877" s="81"/>
      <c r="C877" s="81"/>
      <c r="D877" s="81"/>
      <c r="E877" s="81"/>
      <c r="F877" s="81"/>
      <c r="G877" s="81"/>
      <c r="H877" s="145"/>
      <c r="I877" s="145"/>
      <c r="J877" s="86"/>
      <c r="K877" s="145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 spans="1:27" ht="15">
      <c r="A878" s="81"/>
      <c r="B878" s="81"/>
      <c r="C878" s="81"/>
      <c r="D878" s="81"/>
      <c r="E878" s="81"/>
      <c r="F878" s="81"/>
      <c r="G878" s="81"/>
      <c r="H878" s="145"/>
      <c r="I878" s="145"/>
      <c r="J878" s="86"/>
      <c r="K878" s="145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 spans="1:27" ht="15">
      <c r="A879" s="81"/>
      <c r="B879" s="81"/>
      <c r="C879" s="81"/>
      <c r="D879" s="81"/>
      <c r="E879" s="81"/>
      <c r="F879" s="81"/>
      <c r="G879" s="81"/>
      <c r="H879" s="145"/>
      <c r="I879" s="145"/>
      <c r="J879" s="86"/>
      <c r="K879" s="145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 spans="1:27" ht="15">
      <c r="A880" s="81"/>
      <c r="B880" s="81"/>
      <c r="C880" s="81"/>
      <c r="D880" s="81"/>
      <c r="E880" s="81"/>
      <c r="F880" s="81"/>
      <c r="G880" s="81"/>
      <c r="H880" s="145"/>
      <c r="I880" s="145"/>
      <c r="J880" s="86"/>
      <c r="K880" s="145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 spans="1:27" ht="15">
      <c r="A881" s="81"/>
      <c r="B881" s="81"/>
      <c r="C881" s="81"/>
      <c r="D881" s="81"/>
      <c r="E881" s="81"/>
      <c r="F881" s="81"/>
      <c r="G881" s="81"/>
      <c r="H881" s="145"/>
      <c r="I881" s="145"/>
      <c r="J881" s="86"/>
      <c r="K881" s="145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 spans="1:27" ht="15">
      <c r="A882" s="81"/>
      <c r="B882" s="81"/>
      <c r="C882" s="81"/>
      <c r="D882" s="81"/>
      <c r="E882" s="81"/>
      <c r="F882" s="81"/>
      <c r="G882" s="81"/>
      <c r="H882" s="145"/>
      <c r="I882" s="145"/>
      <c r="J882" s="86"/>
      <c r="K882" s="145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 spans="1:27" ht="15">
      <c r="A883" s="81"/>
      <c r="B883" s="81"/>
      <c r="C883" s="81"/>
      <c r="D883" s="81"/>
      <c r="E883" s="81"/>
      <c r="F883" s="81"/>
      <c r="G883" s="81"/>
      <c r="H883" s="145"/>
      <c r="I883" s="145"/>
      <c r="J883" s="86"/>
      <c r="K883" s="145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 spans="1:27" ht="15">
      <c r="A884" s="81"/>
      <c r="B884" s="81"/>
      <c r="C884" s="81"/>
      <c r="D884" s="81"/>
      <c r="E884" s="81"/>
      <c r="F884" s="81"/>
      <c r="G884" s="81"/>
      <c r="H884" s="145"/>
      <c r="I884" s="145"/>
      <c r="J884" s="86"/>
      <c r="K884" s="145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 spans="1:27" ht="15">
      <c r="A885" s="81"/>
      <c r="B885" s="81"/>
      <c r="C885" s="81"/>
      <c r="D885" s="81"/>
      <c r="E885" s="81"/>
      <c r="F885" s="81"/>
      <c r="G885" s="81"/>
      <c r="H885" s="145"/>
      <c r="I885" s="145"/>
      <c r="J885" s="86"/>
      <c r="K885" s="145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 spans="1:27" ht="15">
      <c r="A886" s="81"/>
      <c r="B886" s="81"/>
      <c r="C886" s="81"/>
      <c r="D886" s="81"/>
      <c r="E886" s="81"/>
      <c r="F886" s="81"/>
      <c r="G886" s="81"/>
      <c r="H886" s="145"/>
      <c r="I886" s="145"/>
      <c r="J886" s="86"/>
      <c r="K886" s="145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 spans="1:27" ht="15">
      <c r="A887" s="81"/>
      <c r="B887" s="81"/>
      <c r="C887" s="81"/>
      <c r="D887" s="81"/>
      <c r="E887" s="81"/>
      <c r="F887" s="81"/>
      <c r="G887" s="81"/>
      <c r="H887" s="145"/>
      <c r="I887" s="145"/>
      <c r="J887" s="86"/>
      <c r="K887" s="145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 spans="1:27" ht="15">
      <c r="A888" s="81"/>
      <c r="B888" s="81"/>
      <c r="C888" s="81"/>
      <c r="D888" s="81"/>
      <c r="E888" s="81"/>
      <c r="F888" s="81"/>
      <c r="G888" s="81"/>
      <c r="H888" s="145"/>
      <c r="I888" s="145"/>
      <c r="J888" s="86"/>
      <c r="K888" s="145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 spans="1:27" ht="15">
      <c r="A889" s="81"/>
      <c r="B889" s="81"/>
      <c r="C889" s="81"/>
      <c r="D889" s="81"/>
      <c r="E889" s="81"/>
      <c r="F889" s="81"/>
      <c r="G889" s="81"/>
      <c r="H889" s="145"/>
      <c r="I889" s="145"/>
      <c r="J889" s="86"/>
      <c r="K889" s="145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 spans="1:27" ht="15">
      <c r="A890" s="81"/>
      <c r="B890" s="81"/>
      <c r="C890" s="81"/>
      <c r="D890" s="81"/>
      <c r="E890" s="81"/>
      <c r="F890" s="81"/>
      <c r="G890" s="81"/>
      <c r="H890" s="145"/>
      <c r="I890" s="145"/>
      <c r="J890" s="86"/>
      <c r="K890" s="145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 spans="1:27" ht="15">
      <c r="A891" s="81"/>
      <c r="B891" s="81"/>
      <c r="C891" s="81"/>
      <c r="D891" s="81"/>
      <c r="E891" s="81"/>
      <c r="F891" s="81"/>
      <c r="G891" s="81"/>
      <c r="H891" s="145"/>
      <c r="I891" s="145"/>
      <c r="J891" s="86"/>
      <c r="K891" s="145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 spans="1:27" ht="15">
      <c r="A892" s="81"/>
      <c r="B892" s="81"/>
      <c r="C892" s="81"/>
      <c r="D892" s="81"/>
      <c r="E892" s="81"/>
      <c r="F892" s="81"/>
      <c r="G892" s="81"/>
      <c r="H892" s="145"/>
      <c r="I892" s="145"/>
      <c r="J892" s="86"/>
      <c r="K892" s="145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 spans="1:27" ht="15">
      <c r="A893" s="81"/>
      <c r="B893" s="81"/>
      <c r="C893" s="81"/>
      <c r="D893" s="81"/>
      <c r="E893" s="81"/>
      <c r="F893" s="81"/>
      <c r="G893" s="81"/>
      <c r="H893" s="145"/>
      <c r="I893" s="145"/>
      <c r="J893" s="86"/>
      <c r="K893" s="145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 spans="1:27" ht="15">
      <c r="A894" s="81"/>
      <c r="B894" s="81"/>
      <c r="C894" s="81"/>
      <c r="D894" s="81"/>
      <c r="E894" s="81"/>
      <c r="F894" s="81"/>
      <c r="G894" s="81"/>
      <c r="H894" s="145"/>
      <c r="I894" s="145"/>
      <c r="J894" s="86"/>
      <c r="K894" s="145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 spans="1:27" ht="15">
      <c r="A895" s="81"/>
      <c r="B895" s="81"/>
      <c r="C895" s="81"/>
      <c r="D895" s="81"/>
      <c r="E895" s="81"/>
      <c r="F895" s="81"/>
      <c r="G895" s="81"/>
      <c r="H895" s="145"/>
      <c r="I895" s="145"/>
      <c r="J895" s="86"/>
      <c r="K895" s="145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 spans="1:27" ht="15">
      <c r="A896" s="81"/>
      <c r="B896" s="81"/>
      <c r="C896" s="81"/>
      <c r="D896" s="81"/>
      <c r="E896" s="81"/>
      <c r="F896" s="81"/>
      <c r="G896" s="81"/>
      <c r="H896" s="145"/>
      <c r="I896" s="145"/>
      <c r="J896" s="86"/>
      <c r="K896" s="145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 spans="1:27" ht="15">
      <c r="A897" s="81"/>
      <c r="B897" s="81"/>
      <c r="C897" s="81"/>
      <c r="D897" s="81"/>
      <c r="E897" s="81"/>
      <c r="F897" s="81"/>
      <c r="G897" s="81"/>
      <c r="H897" s="145"/>
      <c r="I897" s="145"/>
      <c r="J897" s="86"/>
      <c r="K897" s="145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 spans="1:27" ht="15">
      <c r="A898" s="81"/>
      <c r="B898" s="81"/>
      <c r="C898" s="81"/>
      <c r="D898" s="81"/>
      <c r="E898" s="81"/>
      <c r="F898" s="81"/>
      <c r="G898" s="81"/>
      <c r="H898" s="145"/>
      <c r="I898" s="145"/>
      <c r="J898" s="86"/>
      <c r="K898" s="145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 spans="1:27" ht="15">
      <c r="A899" s="81"/>
      <c r="B899" s="81"/>
      <c r="C899" s="81"/>
      <c r="D899" s="81"/>
      <c r="E899" s="81"/>
      <c r="F899" s="81"/>
      <c r="G899" s="81"/>
      <c r="H899" s="145"/>
      <c r="I899" s="145"/>
      <c r="J899" s="86"/>
      <c r="K899" s="145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 spans="1:27" ht="15">
      <c r="A900" s="81"/>
      <c r="B900" s="81"/>
      <c r="C900" s="81"/>
      <c r="D900" s="81"/>
      <c r="E900" s="81"/>
      <c r="F900" s="81"/>
      <c r="G900" s="81"/>
      <c r="H900" s="145"/>
      <c r="I900" s="145"/>
      <c r="J900" s="86"/>
      <c r="K900" s="145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 spans="1:27" ht="15">
      <c r="A901" s="81"/>
      <c r="B901" s="81"/>
      <c r="C901" s="81"/>
      <c r="D901" s="81"/>
      <c r="E901" s="81"/>
      <c r="F901" s="81"/>
      <c r="G901" s="81"/>
      <c r="H901" s="145"/>
      <c r="I901" s="145"/>
      <c r="J901" s="86"/>
      <c r="K901" s="145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 spans="1:27" ht="15">
      <c r="A902" s="81"/>
      <c r="B902" s="81"/>
      <c r="C902" s="81"/>
      <c r="D902" s="81"/>
      <c r="E902" s="81"/>
      <c r="F902" s="81"/>
      <c r="G902" s="81"/>
      <c r="H902" s="145"/>
      <c r="I902" s="145"/>
      <c r="J902" s="86"/>
      <c r="K902" s="145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 spans="1:27" ht="15">
      <c r="A903" s="81"/>
      <c r="B903" s="81"/>
      <c r="C903" s="81"/>
      <c r="D903" s="81"/>
      <c r="E903" s="81"/>
      <c r="F903" s="81"/>
      <c r="G903" s="81"/>
      <c r="H903" s="145"/>
      <c r="I903" s="145"/>
      <c r="J903" s="86"/>
      <c r="K903" s="145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 spans="1:27" ht="15">
      <c r="A904" s="81"/>
      <c r="B904" s="81"/>
      <c r="C904" s="81"/>
      <c r="D904" s="81"/>
      <c r="E904" s="81"/>
      <c r="F904" s="81"/>
      <c r="G904" s="81"/>
      <c r="H904" s="145"/>
      <c r="I904" s="145"/>
      <c r="J904" s="86"/>
      <c r="K904" s="145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 spans="1:27" ht="15">
      <c r="A905" s="81"/>
      <c r="B905" s="81"/>
      <c r="C905" s="81"/>
      <c r="D905" s="81"/>
      <c r="E905" s="81"/>
      <c r="F905" s="81"/>
      <c r="G905" s="81"/>
      <c r="H905" s="145"/>
      <c r="I905" s="145"/>
      <c r="J905" s="86"/>
      <c r="K905" s="145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 spans="1:27" ht="15">
      <c r="A906" s="81"/>
      <c r="B906" s="81"/>
      <c r="C906" s="81"/>
      <c r="D906" s="81"/>
      <c r="E906" s="81"/>
      <c r="F906" s="81"/>
      <c r="G906" s="81"/>
      <c r="H906" s="145"/>
      <c r="I906" s="145"/>
      <c r="J906" s="86"/>
      <c r="K906" s="145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 spans="1:27" ht="15">
      <c r="A907" s="81"/>
      <c r="B907" s="81"/>
      <c r="C907" s="81"/>
      <c r="D907" s="81"/>
      <c r="E907" s="81"/>
      <c r="F907" s="81"/>
      <c r="G907" s="81"/>
      <c r="H907" s="145"/>
      <c r="I907" s="145"/>
      <c r="J907" s="86"/>
      <c r="K907" s="145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 spans="1:27" ht="15">
      <c r="A908" s="81"/>
      <c r="B908" s="81"/>
      <c r="C908" s="81"/>
      <c r="D908" s="81"/>
      <c r="E908" s="81"/>
      <c r="F908" s="81"/>
      <c r="G908" s="81"/>
      <c r="H908" s="145"/>
      <c r="I908" s="145"/>
      <c r="J908" s="86"/>
      <c r="K908" s="145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 spans="1:27" ht="15">
      <c r="A909" s="81"/>
      <c r="B909" s="81"/>
      <c r="C909" s="81"/>
      <c r="D909" s="81"/>
      <c r="E909" s="81"/>
      <c r="F909" s="81"/>
      <c r="G909" s="81"/>
      <c r="H909" s="145"/>
      <c r="I909" s="145"/>
      <c r="J909" s="86"/>
      <c r="K909" s="145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 spans="1:27" ht="15">
      <c r="A910" s="81"/>
      <c r="B910" s="81"/>
      <c r="C910" s="81"/>
      <c r="D910" s="81"/>
      <c r="E910" s="81"/>
      <c r="F910" s="81"/>
      <c r="G910" s="81"/>
      <c r="H910" s="145"/>
      <c r="I910" s="145"/>
      <c r="J910" s="86"/>
      <c r="K910" s="145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 spans="1:27" ht="15">
      <c r="A911" s="81"/>
      <c r="B911" s="81"/>
      <c r="C911" s="81"/>
      <c r="D911" s="81"/>
      <c r="E911" s="81"/>
      <c r="F911" s="81"/>
      <c r="G911" s="81"/>
      <c r="H911" s="145"/>
      <c r="I911" s="145"/>
      <c r="J911" s="86"/>
      <c r="K911" s="145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 spans="1:27" ht="15">
      <c r="A912" s="81"/>
      <c r="B912" s="81"/>
      <c r="C912" s="81"/>
      <c r="D912" s="81"/>
      <c r="E912" s="81"/>
      <c r="F912" s="81"/>
      <c r="G912" s="81"/>
      <c r="H912" s="145"/>
      <c r="I912" s="145"/>
      <c r="J912" s="86"/>
      <c r="K912" s="145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 spans="1:27" ht="15">
      <c r="A913" s="81"/>
      <c r="B913" s="81"/>
      <c r="C913" s="81"/>
      <c r="D913" s="81"/>
      <c r="E913" s="81"/>
      <c r="F913" s="81"/>
      <c r="G913" s="81"/>
      <c r="H913" s="145"/>
      <c r="I913" s="145"/>
      <c r="J913" s="86"/>
      <c r="K913" s="145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 spans="1:27" ht="15">
      <c r="A914" s="81"/>
      <c r="B914" s="81"/>
      <c r="C914" s="81"/>
      <c r="D914" s="81"/>
      <c r="E914" s="81"/>
      <c r="F914" s="81"/>
      <c r="G914" s="81"/>
      <c r="H914" s="145"/>
      <c r="I914" s="145"/>
      <c r="J914" s="86"/>
      <c r="K914" s="145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 spans="1:27" ht="15">
      <c r="A915" s="81"/>
      <c r="B915" s="81"/>
      <c r="C915" s="81"/>
      <c r="D915" s="81"/>
      <c r="E915" s="81"/>
      <c r="F915" s="81"/>
      <c r="G915" s="81"/>
      <c r="H915" s="145"/>
      <c r="I915" s="145"/>
      <c r="J915" s="86"/>
      <c r="K915" s="145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 spans="1:27" ht="15">
      <c r="A916" s="81"/>
      <c r="B916" s="81"/>
      <c r="C916" s="81"/>
      <c r="D916" s="81"/>
      <c r="E916" s="81"/>
      <c r="F916" s="81"/>
      <c r="G916" s="81"/>
      <c r="H916" s="145"/>
      <c r="I916" s="145"/>
      <c r="J916" s="86"/>
      <c r="K916" s="145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 spans="1:27" ht="15">
      <c r="A917" s="81"/>
      <c r="B917" s="81"/>
      <c r="C917" s="81"/>
      <c r="D917" s="81"/>
      <c r="E917" s="81"/>
      <c r="F917" s="81"/>
      <c r="G917" s="81"/>
      <c r="H917" s="145"/>
      <c r="I917" s="145"/>
      <c r="J917" s="86"/>
      <c r="K917" s="145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 spans="1:27" ht="15">
      <c r="A918" s="81"/>
      <c r="B918" s="81"/>
      <c r="C918" s="81"/>
      <c r="D918" s="81"/>
      <c r="E918" s="81"/>
      <c r="F918" s="81"/>
      <c r="G918" s="81"/>
      <c r="H918" s="145"/>
      <c r="I918" s="145"/>
      <c r="J918" s="86"/>
      <c r="K918" s="145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 spans="1:27" ht="15">
      <c r="A919" s="81"/>
      <c r="B919" s="81"/>
      <c r="C919" s="81"/>
      <c r="D919" s="81"/>
      <c r="E919" s="81"/>
      <c r="F919" s="81"/>
      <c r="G919" s="81"/>
      <c r="H919" s="145"/>
      <c r="I919" s="145"/>
      <c r="J919" s="86"/>
      <c r="K919" s="145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 spans="1:27" ht="15">
      <c r="A920" s="81"/>
      <c r="B920" s="81"/>
      <c r="C920" s="81"/>
      <c r="D920" s="81"/>
      <c r="E920" s="81"/>
      <c r="F920" s="81"/>
      <c r="G920" s="81"/>
      <c r="H920" s="145"/>
      <c r="I920" s="145"/>
      <c r="J920" s="86"/>
      <c r="K920" s="145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 spans="1:27" ht="15">
      <c r="A921" s="81"/>
      <c r="B921" s="81"/>
      <c r="C921" s="81"/>
      <c r="D921" s="81"/>
      <c r="E921" s="81"/>
      <c r="F921" s="81"/>
      <c r="G921" s="81"/>
      <c r="H921" s="145"/>
      <c r="I921" s="145"/>
      <c r="J921" s="86"/>
      <c r="K921" s="145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 spans="1:27" ht="15">
      <c r="A922" s="81"/>
      <c r="B922" s="81"/>
      <c r="C922" s="81"/>
      <c r="D922" s="81"/>
      <c r="E922" s="81"/>
      <c r="F922" s="81"/>
      <c r="G922" s="81"/>
      <c r="H922" s="145"/>
      <c r="I922" s="145"/>
      <c r="J922" s="86"/>
      <c r="K922" s="145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 spans="1:27" ht="15">
      <c r="A923" s="81"/>
      <c r="B923" s="81"/>
      <c r="C923" s="81"/>
      <c r="D923" s="81"/>
      <c r="E923" s="81"/>
      <c r="F923" s="81"/>
      <c r="G923" s="81"/>
      <c r="H923" s="145"/>
      <c r="I923" s="145"/>
      <c r="J923" s="86"/>
      <c r="K923" s="145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 spans="1:27" ht="15">
      <c r="A924" s="81"/>
      <c r="B924" s="81"/>
      <c r="C924" s="81"/>
      <c r="D924" s="81"/>
      <c r="E924" s="81"/>
      <c r="F924" s="81"/>
      <c r="G924" s="81"/>
      <c r="H924" s="145"/>
      <c r="I924" s="145"/>
      <c r="J924" s="86"/>
      <c r="K924" s="145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 spans="1:27" ht="15">
      <c r="A925" s="81"/>
      <c r="B925" s="81"/>
      <c r="C925" s="81"/>
      <c r="D925" s="81"/>
      <c r="E925" s="81"/>
      <c r="F925" s="81"/>
      <c r="G925" s="81"/>
      <c r="H925" s="145"/>
      <c r="I925" s="145"/>
      <c r="J925" s="86"/>
      <c r="K925" s="145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 spans="1:27" ht="15">
      <c r="A926" s="81"/>
      <c r="B926" s="81"/>
      <c r="C926" s="81"/>
      <c r="D926" s="81"/>
      <c r="E926" s="81"/>
      <c r="F926" s="81"/>
      <c r="G926" s="81"/>
      <c r="H926" s="145"/>
      <c r="I926" s="145"/>
      <c r="J926" s="86"/>
      <c r="K926" s="145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 spans="1:27" ht="15">
      <c r="A927" s="81"/>
      <c r="B927" s="81"/>
      <c r="C927" s="81"/>
      <c r="D927" s="81"/>
      <c r="E927" s="81"/>
      <c r="F927" s="81"/>
      <c r="G927" s="81"/>
      <c r="H927" s="145"/>
      <c r="I927" s="145"/>
      <c r="J927" s="86"/>
      <c r="K927" s="145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 spans="1:27" ht="15">
      <c r="A928" s="81"/>
      <c r="B928" s="81"/>
      <c r="C928" s="81"/>
      <c r="D928" s="81"/>
      <c r="E928" s="81"/>
      <c r="F928" s="81"/>
      <c r="G928" s="81"/>
      <c r="H928" s="145"/>
      <c r="I928" s="145"/>
      <c r="J928" s="86"/>
      <c r="K928" s="145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 spans="1:27" ht="15">
      <c r="A929" s="81"/>
      <c r="B929" s="81"/>
      <c r="C929" s="81"/>
      <c r="D929" s="81"/>
      <c r="E929" s="81"/>
      <c r="F929" s="81"/>
      <c r="G929" s="81"/>
      <c r="H929" s="145"/>
      <c r="I929" s="145"/>
      <c r="J929" s="86"/>
      <c r="K929" s="145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 spans="1:27" ht="15">
      <c r="A930" s="81"/>
      <c r="B930" s="81"/>
      <c r="C930" s="81"/>
      <c r="D930" s="81"/>
      <c r="E930" s="81"/>
      <c r="F930" s="81"/>
      <c r="G930" s="81"/>
      <c r="H930" s="145"/>
      <c r="I930" s="145"/>
      <c r="J930" s="86"/>
      <c r="K930" s="145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 spans="1:27" ht="15">
      <c r="A931" s="81"/>
      <c r="B931" s="81"/>
      <c r="C931" s="81"/>
      <c r="D931" s="81"/>
      <c r="E931" s="81"/>
      <c r="F931" s="81"/>
      <c r="G931" s="81"/>
      <c r="H931" s="145"/>
      <c r="I931" s="145"/>
      <c r="J931" s="86"/>
      <c r="K931" s="145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  <row r="932" spans="1:27" ht="15">
      <c r="A932" s="81"/>
      <c r="B932" s="81"/>
      <c r="C932" s="81"/>
      <c r="D932" s="81"/>
      <c r="E932" s="81"/>
      <c r="F932" s="81"/>
      <c r="G932" s="81"/>
      <c r="H932" s="145"/>
      <c r="I932" s="145"/>
      <c r="J932" s="86"/>
      <c r="K932" s="145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</row>
    <row r="933" spans="1:27" ht="15">
      <c r="A933" s="81"/>
      <c r="B933" s="81"/>
      <c r="C933" s="81"/>
      <c r="D933" s="81"/>
      <c r="E933" s="81"/>
      <c r="F933" s="81"/>
      <c r="G933" s="81"/>
      <c r="H933" s="145"/>
      <c r="I933" s="145"/>
      <c r="J933" s="86"/>
      <c r="K933" s="145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</row>
    <row r="934" spans="1:27" ht="15">
      <c r="A934" s="81"/>
      <c r="B934" s="81"/>
      <c r="C934" s="81"/>
      <c r="D934" s="81"/>
      <c r="E934" s="81"/>
      <c r="F934" s="81"/>
      <c r="G934" s="81"/>
      <c r="H934" s="145"/>
      <c r="I934" s="145"/>
      <c r="J934" s="86"/>
      <c r="K934" s="145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</row>
    <row r="935" spans="1:27" ht="15">
      <c r="A935" s="81"/>
      <c r="B935" s="81"/>
      <c r="C935" s="81"/>
      <c r="D935" s="81"/>
      <c r="E935" s="81"/>
      <c r="F935" s="81"/>
      <c r="G935" s="81"/>
      <c r="H935" s="145"/>
      <c r="I935" s="145"/>
      <c r="J935" s="86"/>
      <c r="K935" s="145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</row>
    <row r="936" spans="1:27" ht="15">
      <c r="A936" s="81"/>
      <c r="B936" s="81"/>
      <c r="C936" s="81"/>
      <c r="D936" s="81"/>
      <c r="E936" s="81"/>
      <c r="F936" s="81"/>
      <c r="G936" s="81"/>
      <c r="H936" s="145"/>
      <c r="I936" s="145"/>
      <c r="J936" s="86"/>
      <c r="K936" s="145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</row>
    <row r="937" spans="1:27" ht="15">
      <c r="A937" s="81"/>
      <c r="B937" s="81"/>
      <c r="C937" s="81"/>
      <c r="D937" s="81"/>
      <c r="E937" s="81"/>
      <c r="F937" s="81"/>
      <c r="G937" s="81"/>
      <c r="H937" s="145"/>
      <c r="I937" s="145"/>
      <c r="J937" s="86"/>
      <c r="K937" s="145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</row>
    <row r="938" spans="1:27" ht="15">
      <c r="A938" s="81"/>
      <c r="B938" s="81"/>
      <c r="C938" s="81"/>
      <c r="D938" s="81"/>
      <c r="E938" s="81"/>
      <c r="F938" s="81"/>
      <c r="G938" s="81"/>
      <c r="H938" s="145"/>
      <c r="I938" s="145"/>
      <c r="J938" s="86"/>
      <c r="K938" s="145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</row>
    <row r="939" spans="1:27" ht="15">
      <c r="A939" s="81"/>
      <c r="B939" s="81"/>
      <c r="C939" s="81"/>
      <c r="D939" s="81"/>
      <c r="E939" s="81"/>
      <c r="F939" s="81"/>
      <c r="G939" s="81"/>
      <c r="H939" s="145"/>
      <c r="I939" s="145"/>
      <c r="J939" s="86"/>
      <c r="K939" s="145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</row>
    <row r="940" spans="1:27" ht="15">
      <c r="A940" s="81"/>
      <c r="B940" s="81"/>
      <c r="C940" s="81"/>
      <c r="D940" s="81"/>
      <c r="E940" s="81"/>
      <c r="F940" s="81"/>
      <c r="G940" s="81"/>
      <c r="H940" s="145"/>
      <c r="I940" s="145"/>
      <c r="J940" s="86"/>
      <c r="K940" s="145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</row>
    <row r="941" spans="1:27" ht="15">
      <c r="A941" s="81"/>
      <c r="B941" s="81"/>
      <c r="C941" s="81"/>
      <c r="D941" s="81"/>
      <c r="E941" s="81"/>
      <c r="F941" s="81"/>
      <c r="G941" s="81"/>
      <c r="H941" s="145"/>
      <c r="I941" s="145"/>
      <c r="J941" s="86"/>
      <c r="K941" s="145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</row>
    <row r="942" spans="1:27" ht="15">
      <c r="A942" s="81"/>
      <c r="B942" s="81"/>
      <c r="C942" s="81"/>
      <c r="D942" s="81"/>
      <c r="E942" s="81"/>
      <c r="F942" s="81"/>
      <c r="G942" s="81"/>
      <c r="H942" s="145"/>
      <c r="I942" s="145"/>
      <c r="J942" s="86"/>
      <c r="K942" s="145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</row>
    <row r="943" spans="1:27" ht="15">
      <c r="A943" s="81"/>
      <c r="B943" s="81"/>
      <c r="C943" s="81"/>
      <c r="D943" s="81"/>
      <c r="E943" s="81"/>
      <c r="F943" s="81"/>
      <c r="G943" s="81"/>
      <c r="H943" s="145"/>
      <c r="I943" s="145"/>
      <c r="J943" s="86"/>
      <c r="K943" s="145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</row>
    <row r="944" spans="1:27" ht="15">
      <c r="A944" s="81"/>
      <c r="B944" s="81"/>
      <c r="C944" s="81"/>
      <c r="D944" s="81"/>
      <c r="E944" s="81"/>
      <c r="F944" s="81"/>
      <c r="G944" s="81"/>
      <c r="H944" s="145"/>
      <c r="I944" s="145"/>
      <c r="J944" s="86"/>
      <c r="K944" s="145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</row>
    <row r="945" spans="1:27" ht="15">
      <c r="A945" s="81"/>
      <c r="B945" s="81"/>
      <c r="C945" s="81"/>
      <c r="D945" s="81"/>
      <c r="E945" s="81"/>
      <c r="F945" s="81"/>
      <c r="G945" s="81"/>
      <c r="H945" s="145"/>
      <c r="I945" s="145"/>
      <c r="J945" s="86"/>
      <c r="K945" s="145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</row>
    <row r="946" spans="1:27" ht="15">
      <c r="A946" s="81"/>
      <c r="B946" s="81"/>
      <c r="C946" s="81"/>
      <c r="D946" s="81"/>
      <c r="E946" s="81"/>
      <c r="F946" s="81"/>
      <c r="G946" s="81"/>
      <c r="H946" s="145"/>
      <c r="I946" s="145"/>
      <c r="J946" s="86"/>
      <c r="K946" s="145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</row>
    <row r="947" spans="1:27" ht="15">
      <c r="A947" s="81"/>
      <c r="B947" s="81"/>
      <c r="C947" s="81"/>
      <c r="D947" s="81"/>
      <c r="E947" s="81"/>
      <c r="F947" s="81"/>
      <c r="G947" s="81"/>
      <c r="H947" s="145"/>
      <c r="I947" s="145"/>
      <c r="J947" s="86"/>
      <c r="K947" s="145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</row>
    <row r="948" spans="1:27" ht="15">
      <c r="A948" s="81"/>
      <c r="B948" s="81"/>
      <c r="C948" s="81"/>
      <c r="D948" s="81"/>
      <c r="E948" s="81"/>
      <c r="F948" s="81"/>
      <c r="G948" s="81"/>
      <c r="H948" s="145"/>
      <c r="I948" s="145"/>
      <c r="J948" s="86"/>
      <c r="K948" s="145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</row>
    <row r="949" spans="1:27" ht="15">
      <c r="A949" s="81"/>
      <c r="B949" s="81"/>
      <c r="C949" s="81"/>
      <c r="D949" s="81"/>
      <c r="E949" s="81"/>
      <c r="F949" s="81"/>
      <c r="G949" s="81"/>
      <c r="H949" s="145"/>
      <c r="I949" s="145"/>
      <c r="J949" s="86"/>
      <c r="K949" s="145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</row>
    <row r="950" spans="1:27" ht="15">
      <c r="A950" s="81"/>
      <c r="B950" s="81"/>
      <c r="C950" s="81"/>
      <c r="D950" s="81"/>
      <c r="E950" s="81"/>
      <c r="F950" s="81"/>
      <c r="G950" s="81"/>
      <c r="H950" s="145"/>
      <c r="I950" s="145"/>
      <c r="J950" s="86"/>
      <c r="K950" s="145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</row>
    <row r="951" spans="1:27" ht="15">
      <c r="A951" s="81"/>
      <c r="B951" s="81"/>
      <c r="C951" s="81"/>
      <c r="D951" s="81"/>
      <c r="E951" s="81"/>
      <c r="F951" s="81"/>
      <c r="G951" s="81"/>
      <c r="H951" s="145"/>
      <c r="I951" s="145"/>
      <c r="J951" s="86"/>
      <c r="K951" s="145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</row>
    <row r="952" spans="1:27" ht="15">
      <c r="A952" s="81"/>
      <c r="B952" s="81"/>
      <c r="C952" s="81"/>
      <c r="D952" s="81"/>
      <c r="E952" s="81"/>
      <c r="F952" s="81"/>
      <c r="G952" s="81"/>
      <c r="H952" s="145"/>
      <c r="I952" s="145"/>
      <c r="J952" s="86"/>
      <c r="K952" s="145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</row>
    <row r="953" spans="1:27" ht="15">
      <c r="A953" s="81"/>
      <c r="B953" s="81"/>
      <c r="C953" s="81"/>
      <c r="D953" s="81"/>
      <c r="E953" s="81"/>
      <c r="F953" s="81"/>
      <c r="G953" s="81"/>
      <c r="H953" s="145"/>
      <c r="I953" s="145"/>
      <c r="J953" s="86"/>
      <c r="K953" s="145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</row>
    <row r="954" spans="1:27" ht="15">
      <c r="A954" s="81"/>
      <c r="B954" s="81"/>
      <c r="C954" s="81"/>
      <c r="D954" s="81"/>
      <c r="E954" s="81"/>
      <c r="F954" s="81"/>
      <c r="G954" s="81"/>
      <c r="H954" s="145"/>
      <c r="I954" s="145"/>
      <c r="J954" s="86"/>
      <c r="K954" s="145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</row>
    <row r="955" spans="1:27" ht="15">
      <c r="A955" s="81"/>
      <c r="B955" s="81"/>
      <c r="C955" s="81"/>
      <c r="D955" s="81"/>
      <c r="E955" s="81"/>
      <c r="F955" s="81"/>
      <c r="G955" s="81"/>
      <c r="H955" s="145"/>
      <c r="I955" s="145"/>
      <c r="J955" s="86"/>
      <c r="K955" s="145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</row>
    <row r="956" spans="1:27" ht="15">
      <c r="A956" s="81"/>
      <c r="B956" s="81"/>
      <c r="C956" s="81"/>
      <c r="D956" s="81"/>
      <c r="E956" s="81"/>
      <c r="F956" s="81"/>
      <c r="G956" s="81"/>
      <c r="H956" s="145"/>
      <c r="I956" s="145"/>
      <c r="J956" s="86"/>
      <c r="K956" s="145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</row>
    <row r="957" spans="1:27" ht="15">
      <c r="A957" s="81"/>
      <c r="B957" s="81"/>
      <c r="C957" s="81"/>
      <c r="D957" s="81"/>
      <c r="E957" s="81"/>
      <c r="F957" s="81"/>
      <c r="G957" s="81"/>
      <c r="H957" s="145"/>
      <c r="I957" s="145"/>
      <c r="J957" s="86"/>
      <c r="K957" s="145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</row>
    <row r="958" spans="1:27" ht="15">
      <c r="A958" s="81"/>
      <c r="B958" s="81"/>
      <c r="C958" s="81"/>
      <c r="D958" s="81"/>
      <c r="E958" s="81"/>
      <c r="F958" s="81"/>
      <c r="G958" s="81"/>
      <c r="H958" s="145"/>
      <c r="I958" s="145"/>
      <c r="J958" s="86"/>
      <c r="K958" s="145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</row>
    <row r="959" spans="1:27" ht="15">
      <c r="A959" s="81"/>
      <c r="B959" s="81"/>
      <c r="C959" s="81"/>
      <c r="D959" s="81"/>
      <c r="E959" s="81"/>
      <c r="F959" s="81"/>
      <c r="G959" s="81"/>
      <c r="H959" s="145"/>
      <c r="I959" s="145"/>
      <c r="J959" s="86"/>
      <c r="K959" s="145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</row>
    <row r="960" spans="1:27" ht="15">
      <c r="A960" s="81"/>
      <c r="B960" s="81"/>
      <c r="C960" s="81"/>
      <c r="D960" s="81"/>
      <c r="E960" s="81"/>
      <c r="F960" s="81"/>
      <c r="G960" s="81"/>
      <c r="H960" s="145"/>
      <c r="I960" s="145"/>
      <c r="J960" s="86"/>
      <c r="K960" s="145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</row>
    <row r="961" spans="1:27" ht="15">
      <c r="A961" s="81"/>
      <c r="B961" s="81"/>
      <c r="C961" s="81"/>
      <c r="D961" s="81"/>
      <c r="E961" s="81"/>
      <c r="F961" s="81"/>
      <c r="G961" s="81"/>
      <c r="H961" s="145"/>
      <c r="I961" s="145"/>
      <c r="J961" s="86"/>
      <c r="K961" s="145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</row>
    <row r="962" spans="1:27" ht="15">
      <c r="A962" s="81"/>
      <c r="B962" s="81"/>
      <c r="C962" s="81"/>
      <c r="D962" s="81"/>
      <c r="E962" s="81"/>
      <c r="F962" s="81"/>
      <c r="G962" s="81"/>
      <c r="H962" s="145"/>
      <c r="I962" s="145"/>
      <c r="J962" s="86"/>
      <c r="K962" s="145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</row>
    <row r="963" spans="1:27" ht="15">
      <c r="A963" s="81"/>
      <c r="B963" s="81"/>
      <c r="C963" s="81"/>
      <c r="D963" s="81"/>
      <c r="E963" s="81"/>
      <c r="F963" s="81"/>
      <c r="G963" s="81"/>
      <c r="H963" s="145"/>
      <c r="I963" s="145"/>
      <c r="J963" s="86"/>
      <c r="K963" s="145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</row>
    <row r="964" spans="1:27" ht="15">
      <c r="A964" s="81"/>
      <c r="B964" s="81"/>
      <c r="C964" s="81"/>
      <c r="D964" s="81"/>
      <c r="E964" s="81"/>
      <c r="F964" s="81"/>
      <c r="G964" s="81"/>
      <c r="H964" s="145"/>
      <c r="I964" s="145"/>
      <c r="J964" s="86"/>
      <c r="K964" s="145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</row>
    <row r="965" spans="1:27" ht="15">
      <c r="A965" s="81"/>
      <c r="B965" s="81"/>
      <c r="C965" s="81"/>
      <c r="D965" s="81"/>
      <c r="E965" s="81"/>
      <c r="F965" s="81"/>
      <c r="G965" s="81"/>
      <c r="H965" s="145"/>
      <c r="I965" s="145"/>
      <c r="J965" s="86"/>
      <c r="K965" s="145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</row>
    <row r="966" spans="1:27" ht="15">
      <c r="A966" s="81"/>
      <c r="B966" s="81"/>
      <c r="C966" s="81"/>
      <c r="D966" s="81"/>
      <c r="E966" s="81"/>
      <c r="F966" s="81"/>
      <c r="G966" s="81"/>
      <c r="H966" s="145"/>
      <c r="I966" s="145"/>
      <c r="J966" s="86"/>
      <c r="K966" s="145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</row>
    <row r="967" spans="1:27" ht="15">
      <c r="A967" s="81"/>
      <c r="B967" s="81"/>
      <c r="C967" s="81"/>
      <c r="D967" s="81"/>
      <c r="E967" s="81"/>
      <c r="F967" s="81"/>
      <c r="G967" s="81"/>
      <c r="H967" s="145"/>
      <c r="I967" s="145"/>
      <c r="J967" s="86"/>
      <c r="K967" s="145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</row>
    <row r="968" spans="1:27" ht="15">
      <c r="A968" s="81"/>
      <c r="B968" s="81"/>
      <c r="C968" s="81"/>
      <c r="D968" s="81"/>
      <c r="E968" s="81"/>
      <c r="F968" s="81"/>
      <c r="G968" s="81"/>
      <c r="H968" s="145"/>
      <c r="I968" s="145"/>
      <c r="J968" s="86"/>
      <c r="K968" s="145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</row>
    <row r="969" spans="1:27" ht="15">
      <c r="A969" s="81"/>
      <c r="B969" s="81"/>
      <c r="C969" s="81"/>
      <c r="D969" s="81"/>
      <c r="E969" s="81"/>
      <c r="F969" s="81"/>
      <c r="G969" s="81"/>
      <c r="H969" s="145"/>
      <c r="I969" s="145"/>
      <c r="J969" s="86"/>
      <c r="K969" s="145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</row>
    <row r="970" spans="1:27" ht="15">
      <c r="A970" s="81"/>
      <c r="B970" s="81"/>
      <c r="C970" s="81"/>
      <c r="D970" s="81"/>
      <c r="E970" s="81"/>
      <c r="F970" s="81"/>
      <c r="G970" s="81"/>
      <c r="H970" s="145"/>
      <c r="I970" s="145"/>
      <c r="J970" s="86"/>
      <c r="K970" s="145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</row>
    <row r="971" spans="1:27" ht="15">
      <c r="A971" s="81"/>
      <c r="B971" s="81"/>
      <c r="C971" s="81"/>
      <c r="D971" s="81"/>
      <c r="E971" s="81"/>
      <c r="F971" s="81"/>
      <c r="G971" s="81"/>
      <c r="H971" s="145"/>
      <c r="I971" s="145"/>
      <c r="J971" s="86"/>
      <c r="K971" s="145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</row>
    <row r="972" spans="1:27" ht="15">
      <c r="A972" s="81"/>
      <c r="B972" s="81"/>
      <c r="C972" s="81"/>
      <c r="D972" s="81"/>
      <c r="E972" s="81"/>
      <c r="F972" s="81"/>
      <c r="G972" s="81"/>
      <c r="H972" s="145"/>
      <c r="I972" s="145"/>
      <c r="J972" s="86"/>
      <c r="K972" s="145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</row>
    <row r="973" spans="1:27" ht="15">
      <c r="A973" s="81"/>
      <c r="B973" s="81"/>
      <c r="C973" s="81"/>
      <c r="D973" s="81"/>
      <c r="E973" s="81"/>
      <c r="F973" s="81"/>
      <c r="G973" s="81"/>
      <c r="H973" s="145"/>
      <c r="I973" s="145"/>
      <c r="J973" s="86"/>
      <c r="K973" s="145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</row>
    <row r="974" spans="1:27" ht="15">
      <c r="A974" s="81"/>
      <c r="B974" s="81"/>
      <c r="C974" s="81"/>
      <c r="D974" s="81"/>
      <c r="E974" s="81"/>
      <c r="F974" s="81"/>
      <c r="G974" s="81"/>
      <c r="H974" s="145"/>
      <c r="I974" s="145"/>
      <c r="J974" s="86"/>
      <c r="K974" s="145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</row>
    <row r="975" spans="1:27" ht="15">
      <c r="A975" s="81"/>
      <c r="B975" s="81"/>
      <c r="C975" s="81"/>
      <c r="D975" s="81"/>
      <c r="E975" s="81"/>
      <c r="F975" s="81"/>
      <c r="G975" s="81"/>
      <c r="H975" s="145"/>
      <c r="I975" s="145"/>
      <c r="J975" s="86"/>
      <c r="K975" s="145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</row>
    <row r="976" spans="1:27" ht="15">
      <c r="A976" s="81"/>
      <c r="B976" s="81"/>
      <c r="C976" s="81"/>
      <c r="D976" s="81"/>
      <c r="E976" s="81"/>
      <c r="F976" s="81"/>
      <c r="G976" s="81"/>
      <c r="H976" s="145"/>
      <c r="I976" s="145"/>
      <c r="J976" s="86"/>
      <c r="K976" s="145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</row>
    <row r="977" spans="1:27" ht="15">
      <c r="A977" s="81"/>
      <c r="B977" s="81"/>
      <c r="C977" s="81"/>
      <c r="D977" s="81"/>
      <c r="E977" s="81"/>
      <c r="F977" s="81"/>
      <c r="G977" s="81"/>
      <c r="H977" s="145"/>
      <c r="I977" s="145"/>
      <c r="J977" s="86"/>
      <c r="K977" s="145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</row>
    <row r="978" spans="1:27" ht="15">
      <c r="A978" s="81"/>
      <c r="B978" s="81"/>
      <c r="C978" s="81"/>
      <c r="D978" s="81"/>
      <c r="E978" s="81"/>
      <c r="F978" s="81"/>
      <c r="G978" s="81"/>
      <c r="H978" s="145"/>
      <c r="I978" s="145"/>
      <c r="J978" s="86"/>
      <c r="K978" s="145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</row>
    <row r="979" spans="1:27" ht="15">
      <c r="A979" s="81"/>
      <c r="B979" s="81"/>
      <c r="C979" s="81"/>
      <c r="D979" s="81"/>
      <c r="E979" s="81"/>
      <c r="F979" s="81"/>
      <c r="G979" s="81"/>
      <c r="H979" s="145"/>
      <c r="I979" s="145"/>
      <c r="J979" s="86"/>
      <c r="K979" s="145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</row>
    <row r="980" spans="1:27" ht="15">
      <c r="A980" s="81"/>
      <c r="B980" s="81"/>
      <c r="C980" s="81"/>
      <c r="D980" s="81"/>
      <c r="E980" s="81"/>
      <c r="F980" s="81"/>
      <c r="G980" s="81"/>
      <c r="H980" s="145"/>
      <c r="I980" s="145"/>
      <c r="J980" s="86"/>
      <c r="K980" s="145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</row>
    <row r="981" spans="1:27" ht="15">
      <c r="A981" s="81"/>
      <c r="B981" s="81"/>
      <c r="C981" s="81"/>
      <c r="D981" s="81"/>
      <c r="E981" s="81"/>
      <c r="F981" s="81"/>
      <c r="G981" s="81"/>
      <c r="H981" s="145"/>
      <c r="I981" s="145"/>
      <c r="J981" s="86"/>
      <c r="K981" s="145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</row>
    <row r="982" spans="1:27" ht="15">
      <c r="A982" s="81"/>
      <c r="B982" s="81"/>
      <c r="C982" s="81"/>
      <c r="D982" s="81"/>
      <c r="E982" s="81"/>
      <c r="F982" s="81"/>
      <c r="G982" s="81"/>
      <c r="H982" s="145"/>
      <c r="I982" s="145"/>
      <c r="J982" s="86"/>
      <c r="K982" s="145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</row>
    <row r="983" spans="1:27" ht="15">
      <c r="A983" s="81"/>
      <c r="B983" s="81"/>
      <c r="C983" s="81"/>
      <c r="D983" s="81"/>
      <c r="E983" s="81"/>
      <c r="F983" s="81"/>
      <c r="G983" s="81"/>
      <c r="H983" s="145"/>
      <c r="I983" s="145"/>
      <c r="J983" s="86"/>
      <c r="K983" s="145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</row>
    <row r="984" spans="1:27" ht="15">
      <c r="A984" s="81"/>
      <c r="B984" s="81"/>
      <c r="C984" s="81"/>
      <c r="D984" s="81"/>
      <c r="E984" s="81"/>
      <c r="F984" s="81"/>
      <c r="G984" s="81"/>
      <c r="H984" s="145"/>
      <c r="I984" s="145"/>
      <c r="J984" s="86"/>
      <c r="K984" s="145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</row>
    <row r="985" spans="1:27" ht="15">
      <c r="A985" s="81"/>
      <c r="B985" s="81"/>
      <c r="C985" s="81"/>
      <c r="D985" s="81"/>
      <c r="E985" s="81"/>
      <c r="F985" s="81"/>
      <c r="G985" s="81"/>
      <c r="H985" s="145"/>
      <c r="I985" s="145"/>
      <c r="J985" s="86"/>
      <c r="K985" s="145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</row>
    <row r="986" spans="1:27" ht="15">
      <c r="A986" s="81"/>
      <c r="B986" s="81"/>
      <c r="C986" s="81"/>
      <c r="D986" s="81"/>
      <c r="E986" s="81"/>
      <c r="F986" s="81"/>
      <c r="G986" s="81"/>
      <c r="H986" s="145"/>
      <c r="I986" s="145"/>
      <c r="J986" s="86"/>
      <c r="K986" s="145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</row>
    <row r="987" spans="1:27" ht="15">
      <c r="A987" s="81"/>
      <c r="B987" s="81"/>
      <c r="C987" s="81"/>
      <c r="D987" s="81"/>
      <c r="E987" s="81"/>
      <c r="F987" s="81"/>
      <c r="G987" s="81"/>
      <c r="H987" s="145"/>
      <c r="I987" s="145"/>
      <c r="J987" s="86"/>
      <c r="K987" s="145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</row>
    <row r="988" spans="1:27" ht="15">
      <c r="A988" s="81"/>
      <c r="B988" s="81"/>
      <c r="C988" s="81"/>
      <c r="D988" s="81"/>
      <c r="E988" s="81"/>
      <c r="F988" s="81"/>
      <c r="G988" s="81"/>
      <c r="H988" s="145"/>
      <c r="I988" s="145"/>
      <c r="J988" s="86"/>
      <c r="K988" s="145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</row>
    <row r="989" spans="1:27" ht="15">
      <c r="A989" s="81"/>
      <c r="B989" s="81"/>
      <c r="C989" s="81"/>
      <c r="D989" s="81"/>
      <c r="E989" s="81"/>
      <c r="F989" s="81"/>
      <c r="G989" s="81"/>
      <c r="H989" s="145"/>
      <c r="I989" s="145"/>
      <c r="J989" s="86"/>
      <c r="K989" s="145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</row>
    <row r="990" spans="1:27" ht="15">
      <c r="A990" s="81"/>
      <c r="B990" s="81"/>
      <c r="C990" s="81"/>
      <c r="D990" s="81"/>
      <c r="E990" s="81"/>
      <c r="F990" s="81"/>
      <c r="G990" s="81"/>
      <c r="H990" s="145"/>
      <c r="I990" s="145"/>
      <c r="J990" s="86"/>
      <c r="K990" s="145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</row>
    <row r="991" spans="1:27" ht="15">
      <c r="A991" s="81"/>
      <c r="B991" s="81"/>
      <c r="C991" s="81"/>
      <c r="D991" s="81"/>
      <c r="E991" s="81"/>
      <c r="F991" s="81"/>
      <c r="G991" s="81"/>
      <c r="H991" s="145"/>
      <c r="I991" s="145"/>
      <c r="J991" s="86"/>
      <c r="K991" s="145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</row>
    <row r="992" spans="1:27" ht="15">
      <c r="A992" s="81"/>
      <c r="B992" s="81"/>
      <c r="C992" s="81"/>
      <c r="D992" s="81"/>
      <c r="E992" s="81"/>
      <c r="F992" s="81"/>
      <c r="G992" s="81"/>
      <c r="H992" s="145"/>
      <c r="I992" s="145"/>
      <c r="J992" s="86"/>
      <c r="K992" s="145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</row>
    <row r="993" spans="1:27" ht="15">
      <c r="A993" s="81"/>
      <c r="B993" s="81"/>
      <c r="C993" s="81"/>
      <c r="D993" s="81"/>
      <c r="E993" s="81"/>
      <c r="F993" s="81"/>
      <c r="G993" s="81"/>
      <c r="H993" s="145"/>
      <c r="I993" s="145"/>
      <c r="J993" s="86"/>
      <c r="K993" s="145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  <outlinePr summaryBelow="0" summaryRight="0"/>
  </sheetPr>
  <dimension ref="A1:S994"/>
  <sheetViews>
    <sheetView showGridLines="0" workbookViewId="0">
      <selection activeCell="J32" sqref="J32:K32"/>
    </sheetView>
  </sheetViews>
  <sheetFormatPr defaultColWidth="12.5703125" defaultRowHeight="15.75" customHeight="1"/>
  <cols>
    <col min="1" max="1" width="26.28515625" customWidth="1"/>
    <col min="2" max="2" width="52.140625" customWidth="1"/>
    <col min="3" max="3" width="18.42578125" hidden="1" customWidth="1"/>
    <col min="4" max="4" width="25.5703125" hidden="1" customWidth="1"/>
    <col min="5" max="5" width="3.7109375" hidden="1" customWidth="1"/>
    <col min="6" max="6" width="18.42578125" hidden="1" customWidth="1"/>
    <col min="7" max="7" width="0.42578125" customWidth="1"/>
    <col min="8" max="8" width="7.42578125" style="92" customWidth="1"/>
    <col min="9" max="9" width="9.42578125" style="146" customWidth="1"/>
    <col min="10" max="19" width="12.7109375" customWidth="1"/>
  </cols>
  <sheetData>
    <row r="1" spans="1:19" ht="15">
      <c r="A1" s="68"/>
      <c r="B1" s="61"/>
      <c r="C1" s="61"/>
      <c r="D1" s="61"/>
      <c r="E1" s="61"/>
      <c r="F1" s="61"/>
      <c r="G1" s="61"/>
      <c r="H1" s="91"/>
      <c r="I1" s="68"/>
      <c r="J1" s="68"/>
      <c r="K1" s="68"/>
      <c r="L1" s="61"/>
      <c r="M1" s="36"/>
      <c r="N1" s="36"/>
      <c r="O1" s="36"/>
      <c r="P1" s="36"/>
      <c r="Q1" s="36"/>
      <c r="R1" s="36"/>
      <c r="S1" s="36"/>
    </row>
    <row r="2" spans="1:19" ht="14.25">
      <c r="A2" s="82" t="s">
        <v>256</v>
      </c>
      <c r="B2" s="83"/>
      <c r="C2" s="83"/>
      <c r="D2" s="83"/>
      <c r="E2" s="83"/>
      <c r="F2" s="83"/>
      <c r="G2" s="83"/>
      <c r="H2" s="174"/>
      <c r="I2" s="147"/>
      <c r="J2" s="77"/>
      <c r="K2" s="77"/>
      <c r="L2" s="60"/>
      <c r="M2" s="36"/>
      <c r="N2" s="36"/>
      <c r="O2" s="36"/>
      <c r="P2" s="36"/>
      <c r="Q2" s="36"/>
      <c r="R2" s="36"/>
      <c r="S2" s="36"/>
    </row>
    <row r="3" spans="1:19" ht="15">
      <c r="A3" s="67"/>
      <c r="B3" s="62"/>
      <c r="C3" s="62"/>
      <c r="D3" s="62"/>
      <c r="E3" s="63"/>
      <c r="F3" s="63"/>
      <c r="G3" s="64"/>
      <c r="H3" s="87"/>
      <c r="I3" s="73"/>
      <c r="J3" s="78"/>
      <c r="K3" s="78"/>
      <c r="L3" s="65"/>
      <c r="M3" s="36"/>
      <c r="N3" s="36"/>
      <c r="O3" s="36"/>
      <c r="P3" s="36"/>
      <c r="Q3" s="36"/>
      <c r="R3" s="36"/>
      <c r="S3" s="36"/>
    </row>
    <row r="4" spans="1:19" ht="15">
      <c r="A4" s="85" t="s">
        <v>220</v>
      </c>
      <c r="B4" s="83"/>
      <c r="C4" s="83"/>
      <c r="D4" s="83"/>
      <c r="E4" s="83"/>
      <c r="F4" s="63"/>
      <c r="G4" s="64"/>
      <c r="H4" s="87"/>
      <c r="I4" s="73"/>
      <c r="J4" s="78"/>
      <c r="K4" s="78"/>
      <c r="L4" s="65"/>
      <c r="M4" s="36"/>
      <c r="N4" s="36"/>
      <c r="O4" s="36"/>
      <c r="P4" s="36"/>
      <c r="Q4" s="36"/>
      <c r="R4" s="36"/>
      <c r="S4" s="36"/>
    </row>
    <row r="5" spans="1:19" ht="15">
      <c r="A5" s="68"/>
      <c r="B5" s="62"/>
      <c r="C5" s="62"/>
      <c r="D5" s="62"/>
      <c r="E5" s="62"/>
      <c r="F5" s="63"/>
      <c r="G5" s="63"/>
      <c r="H5" s="89"/>
      <c r="I5" s="71"/>
      <c r="J5" s="68"/>
      <c r="K5" s="68"/>
      <c r="L5" s="61"/>
      <c r="M5" s="36"/>
      <c r="N5" s="36"/>
      <c r="O5" s="36"/>
      <c r="P5" s="36"/>
      <c r="Q5" s="36"/>
      <c r="R5" s="36"/>
      <c r="S5" s="36"/>
    </row>
    <row r="6" spans="1:19" ht="15">
      <c r="A6" s="165" t="s">
        <v>263</v>
      </c>
      <c r="B6" s="163" t="s">
        <v>221</v>
      </c>
      <c r="C6" s="154"/>
      <c r="D6" s="154"/>
      <c r="E6" s="164"/>
      <c r="F6" s="119"/>
      <c r="G6" s="119"/>
      <c r="H6" s="166" t="s">
        <v>222</v>
      </c>
      <c r="I6" s="166" t="s">
        <v>285</v>
      </c>
      <c r="J6" s="158" t="s">
        <v>223</v>
      </c>
      <c r="K6" s="158" t="s">
        <v>281</v>
      </c>
      <c r="L6" s="65"/>
      <c r="M6" s="36"/>
      <c r="N6" s="36"/>
      <c r="O6" s="36"/>
      <c r="P6" s="36"/>
      <c r="Q6" s="36"/>
      <c r="R6" s="36"/>
      <c r="S6" s="36"/>
    </row>
    <row r="7" spans="1:19" ht="12.75">
      <c r="A7" s="152" t="s">
        <v>264</v>
      </c>
      <c r="B7" s="153" t="s">
        <v>265</v>
      </c>
      <c r="C7" s="154"/>
      <c r="D7" s="154"/>
      <c r="E7" s="154"/>
      <c r="F7" s="154"/>
      <c r="G7" s="154"/>
      <c r="H7" s="155">
        <v>1</v>
      </c>
      <c r="I7" s="125" t="s">
        <v>282</v>
      </c>
      <c r="J7" s="127">
        <f>VLOOKUP(B7,Tabela_preços[[DESCRIÇÃO]:[VALOR]],3,FALSE)</f>
        <v>967.58</v>
      </c>
      <c r="K7" s="127">
        <f>J7*H7</f>
        <v>967.58</v>
      </c>
      <c r="L7" s="70"/>
      <c r="M7" s="36"/>
      <c r="N7" s="36"/>
      <c r="O7" s="36"/>
      <c r="P7" s="36"/>
      <c r="Q7" s="36"/>
      <c r="R7" s="36"/>
      <c r="S7" s="36"/>
    </row>
    <row r="8" spans="1:19" ht="12.75">
      <c r="A8" s="152" t="s">
        <v>266</v>
      </c>
      <c r="B8" s="153" t="s">
        <v>267</v>
      </c>
      <c r="C8" s="154"/>
      <c r="D8" s="154"/>
      <c r="E8" s="154"/>
      <c r="F8" s="154"/>
      <c r="G8" s="154"/>
      <c r="H8" s="155">
        <v>1</v>
      </c>
      <c r="I8" s="125" t="s">
        <v>282</v>
      </c>
      <c r="J8" s="127">
        <f>VLOOKUP(B8,Tabela_preços[[DESCRIÇÃO]:[VALOR]],3,FALSE)</f>
        <v>772.32</v>
      </c>
      <c r="K8" s="127">
        <f t="shared" ref="K8:K12" si="0">J8*H8</f>
        <v>772.32</v>
      </c>
      <c r="L8" s="70"/>
      <c r="M8" s="36"/>
      <c r="N8" s="36"/>
      <c r="O8" s="36"/>
      <c r="P8" s="36"/>
      <c r="Q8" s="36"/>
      <c r="R8" s="36"/>
      <c r="S8" s="36"/>
    </row>
    <row r="9" spans="1:19" ht="14.25">
      <c r="A9" s="152" t="s">
        <v>268</v>
      </c>
      <c r="B9" s="153" t="s">
        <v>269</v>
      </c>
      <c r="C9" s="154"/>
      <c r="D9" s="154"/>
      <c r="E9" s="154"/>
      <c r="F9" s="154"/>
      <c r="G9" s="154"/>
      <c r="H9" s="155">
        <v>1</v>
      </c>
      <c r="I9" s="125" t="s">
        <v>282</v>
      </c>
      <c r="J9" s="127">
        <f>VLOOKUP(B9,Tabela_preços[[DESCRIÇÃO]:[VALOR]],3,FALSE)</f>
        <v>110</v>
      </c>
      <c r="K9" s="127">
        <f t="shared" si="0"/>
        <v>110</v>
      </c>
      <c r="L9" s="70"/>
      <c r="M9" s="46"/>
      <c r="N9" s="46"/>
      <c r="O9" s="46"/>
      <c r="P9" s="46"/>
      <c r="Q9" s="46"/>
      <c r="R9" s="46"/>
      <c r="S9" s="46"/>
    </row>
    <row r="10" spans="1:19" ht="14.25">
      <c r="A10" s="152" t="s">
        <v>270</v>
      </c>
      <c r="B10" s="153" t="s">
        <v>291</v>
      </c>
      <c r="C10" s="154"/>
      <c r="D10" s="154"/>
      <c r="E10" s="154"/>
      <c r="F10" s="154"/>
      <c r="G10" s="154"/>
      <c r="H10" s="155">
        <v>1</v>
      </c>
      <c r="I10" s="125" t="s">
        <v>282</v>
      </c>
      <c r="J10" s="127">
        <f>VLOOKUP(B10,Tabela_preços[[DESCRIÇÃO]:[VALOR]],3,FALSE)</f>
        <v>13.6</v>
      </c>
      <c r="K10" s="127">
        <f t="shared" si="0"/>
        <v>13.6</v>
      </c>
      <c r="L10" s="62"/>
      <c r="M10" s="176"/>
      <c r="N10" s="46"/>
      <c r="O10" s="46"/>
      <c r="P10" s="46"/>
      <c r="Q10" s="46"/>
      <c r="R10" s="46"/>
      <c r="S10" s="46"/>
    </row>
    <row r="11" spans="1:19" ht="15">
      <c r="A11" s="152" t="s">
        <v>227</v>
      </c>
      <c r="B11" s="153" t="s">
        <v>304</v>
      </c>
      <c r="C11" s="154"/>
      <c r="D11" s="154"/>
      <c r="E11" s="154"/>
      <c r="F11" s="154"/>
      <c r="G11" s="154"/>
      <c r="H11" s="155">
        <v>4</v>
      </c>
      <c r="I11" s="125" t="s">
        <v>282</v>
      </c>
      <c r="J11" s="127">
        <f>VLOOKUP(B11,Tabela_preços[[DESCRIÇÃO]:[VALOR]],3,FALSE)</f>
        <v>17.850000000000001</v>
      </c>
      <c r="K11" s="127">
        <f t="shared" si="0"/>
        <v>71.400000000000006</v>
      </c>
      <c r="L11" s="65"/>
      <c r="M11" s="46"/>
      <c r="N11" s="46"/>
      <c r="O11" s="46"/>
      <c r="P11" s="46"/>
      <c r="Q11" s="46"/>
      <c r="R11" s="46"/>
      <c r="S11" s="46"/>
    </row>
    <row r="12" spans="1:19" ht="15">
      <c r="A12" s="152" t="s">
        <v>271</v>
      </c>
      <c r="B12" s="153" t="s">
        <v>272</v>
      </c>
      <c r="C12" s="154"/>
      <c r="D12" s="154"/>
      <c r="E12" s="154"/>
      <c r="F12" s="154"/>
      <c r="G12" s="154"/>
      <c r="H12" s="155">
        <v>1</v>
      </c>
      <c r="I12" s="125" t="s">
        <v>282</v>
      </c>
      <c r="J12" s="127">
        <f>VLOOKUP(B12,Tabela_preços[[DESCRIÇÃO]:[VALOR]],3,FALSE)</f>
        <v>104.43</v>
      </c>
      <c r="K12" s="127">
        <f t="shared" si="0"/>
        <v>104.43</v>
      </c>
      <c r="L12" s="65"/>
      <c r="M12" s="46"/>
      <c r="N12" s="46"/>
      <c r="O12" s="46"/>
      <c r="P12" s="46"/>
      <c r="Q12" s="46"/>
      <c r="R12" s="46"/>
      <c r="S12" s="46"/>
    </row>
    <row r="13" spans="1:19" ht="15">
      <c r="A13" s="161" t="s">
        <v>228</v>
      </c>
      <c r="B13" s="153" t="s">
        <v>273</v>
      </c>
      <c r="C13" s="154"/>
      <c r="D13" s="154"/>
      <c r="E13" s="154"/>
      <c r="F13" s="154"/>
      <c r="G13" s="154"/>
      <c r="H13" s="155">
        <v>1</v>
      </c>
      <c r="I13" s="125" t="s">
        <v>282</v>
      </c>
      <c r="J13" s="127">
        <f>VLOOKUP(B13,Tabela_preços[[DESCRIÇÃO]:[VALOR]],3,FALSE)</f>
        <v>293</v>
      </c>
      <c r="K13" s="127">
        <f t="shared" ref="K13" si="1">J13*H13</f>
        <v>293</v>
      </c>
      <c r="L13" s="65"/>
      <c r="M13" s="46"/>
      <c r="N13" s="46"/>
      <c r="O13" s="46"/>
      <c r="P13" s="46"/>
      <c r="Q13" s="46"/>
      <c r="R13" s="46"/>
      <c r="S13" s="46"/>
    </row>
    <row r="14" spans="1:19" ht="15">
      <c r="A14" s="68"/>
      <c r="B14" s="61"/>
      <c r="C14" s="61"/>
      <c r="D14" s="61"/>
      <c r="E14" s="61"/>
      <c r="F14" s="61"/>
      <c r="G14" s="61"/>
      <c r="H14" s="91"/>
      <c r="I14" s="90"/>
      <c r="L14" s="65"/>
      <c r="M14" s="46"/>
      <c r="N14" s="46"/>
      <c r="O14" s="46"/>
      <c r="P14" s="46"/>
      <c r="Q14" s="46"/>
      <c r="R14" s="46"/>
      <c r="S14" s="46"/>
    </row>
    <row r="15" spans="1:19" ht="15">
      <c r="A15" s="101"/>
      <c r="B15" s="156" t="s">
        <v>235</v>
      </c>
      <c r="C15" s="154"/>
      <c r="D15" s="119"/>
      <c r="E15" s="122"/>
      <c r="F15" s="122"/>
      <c r="G15" s="178"/>
      <c r="H15" s="179"/>
      <c r="I15" s="157"/>
      <c r="J15" s="158" t="s">
        <v>223</v>
      </c>
      <c r="K15" s="158" t="s">
        <v>281</v>
      </c>
      <c r="L15" s="65"/>
      <c r="M15" s="46"/>
      <c r="N15" s="46"/>
      <c r="O15" s="46"/>
      <c r="P15" s="46"/>
      <c r="Q15" s="46"/>
      <c r="R15" s="46"/>
      <c r="S15" s="46"/>
    </row>
    <row r="16" spans="1:19" ht="14.25">
      <c r="A16" s="152" t="s">
        <v>236</v>
      </c>
      <c r="B16" s="153" t="s">
        <v>237</v>
      </c>
      <c r="C16" s="154"/>
      <c r="D16" s="154"/>
      <c r="E16" s="154"/>
      <c r="F16" s="154"/>
      <c r="G16" s="154"/>
      <c r="H16" s="155">
        <v>2</v>
      </c>
      <c r="I16" s="125" t="s">
        <v>283</v>
      </c>
      <c r="J16" s="127">
        <f>VLOOKUP(B16,Tabela_preços[[DESCRIÇÃO]:[VALOR]],3,FALSE)</f>
        <v>185</v>
      </c>
      <c r="K16" s="127">
        <f t="shared" ref="K16" si="2">J16*H16</f>
        <v>370</v>
      </c>
      <c r="L16" s="62"/>
      <c r="M16" s="46"/>
      <c r="N16" s="46"/>
      <c r="O16" s="46"/>
      <c r="P16" s="46"/>
      <c r="Q16" s="46"/>
      <c r="R16" s="46"/>
      <c r="S16" s="46"/>
    </row>
    <row r="17" spans="1:19" ht="15">
      <c r="A17" s="152">
        <v>865</v>
      </c>
      <c r="B17" s="153" t="s">
        <v>305</v>
      </c>
      <c r="C17" s="154"/>
      <c r="D17" s="154"/>
      <c r="E17" s="154"/>
      <c r="F17" s="154"/>
      <c r="G17" s="154"/>
      <c r="H17" s="155">
        <v>17</v>
      </c>
      <c r="I17" s="125" t="s">
        <v>287</v>
      </c>
      <c r="J17" s="127">
        <f>VLOOKUP(B17,Tabela_preços[[DESCRIÇÃO]:[VALOR]],3,FALSE)</f>
        <v>65</v>
      </c>
      <c r="K17" s="127">
        <f t="shared" ref="K17:K26" si="3">J17*H17</f>
        <v>1105</v>
      </c>
      <c r="L17" s="65"/>
      <c r="M17" s="46"/>
      <c r="N17" s="46"/>
      <c r="O17" s="46"/>
      <c r="P17" s="46"/>
      <c r="Q17" s="46"/>
      <c r="R17" s="46"/>
      <c r="S17" s="46"/>
    </row>
    <row r="18" spans="1:19" ht="15">
      <c r="A18" s="152" t="s">
        <v>243</v>
      </c>
      <c r="B18" s="153" t="s">
        <v>244</v>
      </c>
      <c r="C18" s="154"/>
      <c r="D18" s="154"/>
      <c r="E18" s="154"/>
      <c r="F18" s="154"/>
      <c r="G18" s="154"/>
      <c r="H18" s="155">
        <v>0.1</v>
      </c>
      <c r="I18" s="125" t="s">
        <v>282</v>
      </c>
      <c r="J18" s="127">
        <f>VLOOKUP(B18,Tabela_preços[[DESCRIÇÃO]:[VALOR]],3,FALSE)</f>
        <v>2900</v>
      </c>
      <c r="K18" s="127">
        <f t="shared" si="3"/>
        <v>290</v>
      </c>
      <c r="L18" s="65"/>
      <c r="M18" s="46"/>
      <c r="N18" s="46"/>
      <c r="O18" s="46"/>
      <c r="P18" s="46"/>
      <c r="Q18" s="46"/>
      <c r="R18" s="46"/>
      <c r="S18" s="46"/>
    </row>
    <row r="19" spans="1:19" ht="15">
      <c r="A19" s="152" t="s">
        <v>240</v>
      </c>
      <c r="B19" s="153" t="s">
        <v>241</v>
      </c>
      <c r="C19" s="154"/>
      <c r="D19" s="154"/>
      <c r="E19" s="154"/>
      <c r="F19" s="154"/>
      <c r="G19" s="154"/>
      <c r="H19" s="155">
        <v>0.1</v>
      </c>
      <c r="I19" s="125" t="s">
        <v>282</v>
      </c>
      <c r="J19" s="127">
        <f>VLOOKUP(B19,Tabela_preços[[DESCRIÇÃO]:[VALOR]],3,FALSE)</f>
        <v>2900</v>
      </c>
      <c r="K19" s="127">
        <f t="shared" si="3"/>
        <v>290</v>
      </c>
      <c r="L19" s="65"/>
      <c r="M19" s="46"/>
      <c r="N19" s="46"/>
      <c r="O19" s="46"/>
      <c r="P19" s="46"/>
      <c r="Q19" s="46"/>
      <c r="R19" s="46"/>
      <c r="S19" s="46"/>
    </row>
    <row r="20" spans="1:19" ht="15">
      <c r="A20" s="152" t="s">
        <v>245</v>
      </c>
      <c r="B20" s="168" t="s">
        <v>302</v>
      </c>
      <c r="C20" s="154"/>
      <c r="D20" s="154"/>
      <c r="E20" s="154"/>
      <c r="F20" s="154"/>
      <c r="G20" s="154"/>
      <c r="H20" s="155">
        <v>2</v>
      </c>
      <c r="I20" s="125" t="s">
        <v>283</v>
      </c>
      <c r="J20" s="127">
        <f>VLOOKUP(B21,Tabela_preços[[DESCRIÇÃO]:[VALOR]],3,FALSE)</f>
        <v>58.65</v>
      </c>
      <c r="K20" s="127">
        <f t="shared" si="3"/>
        <v>117.3</v>
      </c>
      <c r="L20" s="65"/>
      <c r="M20" s="46"/>
      <c r="N20" s="46"/>
      <c r="O20" s="46"/>
      <c r="P20" s="46"/>
      <c r="Q20" s="46"/>
      <c r="R20" s="46"/>
      <c r="S20" s="46"/>
    </row>
    <row r="21" spans="1:19" ht="15">
      <c r="A21" s="152" t="s">
        <v>246</v>
      </c>
      <c r="B21" s="168" t="s">
        <v>297</v>
      </c>
      <c r="C21" s="154"/>
      <c r="D21" s="154"/>
      <c r="E21" s="154"/>
      <c r="F21" s="154"/>
      <c r="G21" s="154"/>
      <c r="H21" s="155">
        <v>3</v>
      </c>
      <c r="I21" s="125" t="s">
        <v>282</v>
      </c>
      <c r="J21" s="127">
        <f>VLOOKUP(B22,Tabela_preços[[DESCRIÇÃO]:[VALOR]],3,FALSE)</f>
        <v>87.706800000000001</v>
      </c>
      <c r="K21" s="127">
        <f t="shared" ref="K21" si="4">J21*H21</f>
        <v>263.12040000000002</v>
      </c>
      <c r="L21" s="65"/>
      <c r="M21" s="46"/>
      <c r="N21" s="46"/>
      <c r="O21" s="46"/>
      <c r="P21" s="46"/>
      <c r="Q21" s="46"/>
      <c r="R21" s="46"/>
      <c r="S21" s="46"/>
    </row>
    <row r="22" spans="1:19" ht="15">
      <c r="A22" s="152" t="s">
        <v>247</v>
      </c>
      <c r="B22" s="153" t="s">
        <v>261</v>
      </c>
      <c r="C22" s="154"/>
      <c r="D22" s="154"/>
      <c r="E22" s="154"/>
      <c r="F22" s="154"/>
      <c r="G22" s="154"/>
      <c r="H22" s="155">
        <v>1.5</v>
      </c>
      <c r="I22" s="125" t="s">
        <v>282</v>
      </c>
      <c r="J22" s="127">
        <f>VLOOKUP(B22,Tabela_preços[[DESCRIÇÃO]:[VALOR]],3,FALSE)</f>
        <v>87.706800000000001</v>
      </c>
      <c r="K22" s="127">
        <f t="shared" si="3"/>
        <v>131.56020000000001</v>
      </c>
      <c r="L22" s="65"/>
      <c r="M22" s="46"/>
      <c r="N22" s="46"/>
      <c r="O22" s="46"/>
      <c r="P22" s="46"/>
      <c r="Q22" s="46"/>
      <c r="R22" s="46"/>
      <c r="S22" s="46"/>
    </row>
    <row r="23" spans="1:19" ht="15">
      <c r="A23" s="152" t="s">
        <v>248</v>
      </c>
      <c r="B23" s="153" t="s">
        <v>301</v>
      </c>
      <c r="C23" s="154"/>
      <c r="D23" s="154"/>
      <c r="E23" s="154"/>
      <c r="F23" s="154"/>
      <c r="G23" s="154"/>
      <c r="H23" s="155">
        <v>1</v>
      </c>
      <c r="I23" s="125" t="s">
        <v>282</v>
      </c>
      <c r="J23" s="127">
        <f>VLOOKUP(B23,Tabela_preços[[DESCRIÇÃO]:[VALOR]],3,FALSE)</f>
        <v>33.64</v>
      </c>
      <c r="K23" s="127">
        <f t="shared" si="3"/>
        <v>33.64</v>
      </c>
      <c r="L23" s="65"/>
      <c r="M23" s="46"/>
      <c r="N23" s="46"/>
      <c r="O23" s="46"/>
      <c r="P23" s="46"/>
      <c r="Q23" s="46"/>
      <c r="R23" s="46"/>
      <c r="S23" s="46"/>
    </row>
    <row r="24" spans="1:19" ht="15">
      <c r="A24" s="152" t="s">
        <v>249</v>
      </c>
      <c r="B24" s="153" t="s">
        <v>299</v>
      </c>
      <c r="C24" s="154"/>
      <c r="D24" s="154"/>
      <c r="E24" s="154"/>
      <c r="F24" s="154"/>
      <c r="G24" s="154"/>
      <c r="H24" s="155">
        <v>1</v>
      </c>
      <c r="I24" s="125" t="s">
        <v>282</v>
      </c>
      <c r="J24" s="127">
        <f>VLOOKUP(B24,Tabela_preços[[DESCRIÇÃO]:[VALOR]],3,FALSE)</f>
        <v>99</v>
      </c>
      <c r="K24" s="127">
        <f t="shared" si="3"/>
        <v>99</v>
      </c>
      <c r="L24" s="65"/>
      <c r="M24" s="46"/>
      <c r="N24" s="46"/>
      <c r="O24" s="46"/>
      <c r="P24" s="46"/>
      <c r="Q24" s="46"/>
      <c r="R24" s="46"/>
      <c r="S24" s="46"/>
    </row>
    <row r="25" spans="1:19" ht="15">
      <c r="A25" s="152" t="s">
        <v>250</v>
      </c>
      <c r="B25" s="153" t="s">
        <v>310</v>
      </c>
      <c r="C25" s="154"/>
      <c r="D25" s="154"/>
      <c r="E25" s="154"/>
      <c r="F25" s="154"/>
      <c r="G25" s="154"/>
      <c r="H25" s="155">
        <v>1</v>
      </c>
      <c r="I25" s="125" t="s">
        <v>300</v>
      </c>
      <c r="J25" s="127">
        <f>VLOOKUP(B25,Tabela_preços[[DESCRIÇÃO]:[VALOR]],3,FALSE)</f>
        <v>2</v>
      </c>
      <c r="K25" s="127">
        <f t="shared" si="3"/>
        <v>2</v>
      </c>
      <c r="L25" s="65"/>
      <c r="M25" s="46"/>
      <c r="N25" s="46"/>
      <c r="O25" s="46"/>
      <c r="P25" s="46"/>
      <c r="Q25" s="46"/>
      <c r="R25" s="46"/>
      <c r="S25" s="46"/>
    </row>
    <row r="26" spans="1:19" ht="15">
      <c r="A26" s="152" t="s">
        <v>251</v>
      </c>
      <c r="B26" s="153" t="s">
        <v>307</v>
      </c>
      <c r="C26" s="154"/>
      <c r="D26" s="154"/>
      <c r="E26" s="154"/>
      <c r="F26" s="154"/>
      <c r="G26" s="154"/>
      <c r="H26" s="155">
        <v>1</v>
      </c>
      <c r="I26" s="125" t="s">
        <v>300</v>
      </c>
      <c r="J26" s="127">
        <f>VLOOKUP(B26,Tabela_preços[[DESCRIÇÃO]:[VALOR]],3,FALSE)</f>
        <v>0.45200000000000001</v>
      </c>
      <c r="K26" s="127">
        <f t="shared" si="3"/>
        <v>0.45200000000000001</v>
      </c>
      <c r="L26" s="65"/>
      <c r="M26" s="46"/>
      <c r="N26" s="46"/>
      <c r="O26" s="46"/>
      <c r="P26" s="46"/>
      <c r="Q26" s="46"/>
      <c r="R26" s="46"/>
      <c r="S26" s="46"/>
    </row>
    <row r="27" spans="1:19" ht="15">
      <c r="A27" s="68"/>
      <c r="B27" s="61"/>
      <c r="C27" s="61"/>
      <c r="D27" s="61"/>
      <c r="E27" s="61"/>
      <c r="F27" s="61"/>
      <c r="G27" s="61"/>
      <c r="H27" s="91"/>
      <c r="I27" s="90"/>
      <c r="J27" s="93"/>
      <c r="K27" s="62"/>
      <c r="L27" s="65"/>
      <c r="M27" s="46"/>
      <c r="N27" s="46"/>
      <c r="O27" s="46"/>
      <c r="P27" s="46"/>
      <c r="Q27" s="46"/>
      <c r="R27" s="46"/>
      <c r="S27" s="46"/>
    </row>
    <row r="28" spans="1:19" ht="15">
      <c r="A28" s="121"/>
      <c r="B28" s="156" t="s">
        <v>252</v>
      </c>
      <c r="C28" s="154"/>
      <c r="D28" s="154"/>
      <c r="E28" s="119"/>
      <c r="F28" s="122"/>
      <c r="G28" s="122"/>
      <c r="H28" s="170"/>
      <c r="I28" s="173"/>
      <c r="J28" s="158" t="s">
        <v>223</v>
      </c>
      <c r="K28" s="158" t="s">
        <v>281</v>
      </c>
      <c r="L28" s="65"/>
      <c r="M28" s="46"/>
      <c r="N28" s="46"/>
      <c r="O28" s="46"/>
      <c r="P28" s="46"/>
      <c r="Q28" s="46"/>
      <c r="R28" s="46"/>
      <c r="S28" s="46"/>
    </row>
    <row r="29" spans="1:19" ht="14.25">
      <c r="A29" s="152" t="s">
        <v>253</v>
      </c>
      <c r="B29" s="153" t="s">
        <v>306</v>
      </c>
      <c r="C29" s="159"/>
      <c r="D29" s="159"/>
      <c r="E29" s="159"/>
      <c r="F29" s="159"/>
      <c r="G29" s="159"/>
      <c r="H29" s="157">
        <v>0.2</v>
      </c>
      <c r="I29" s="157" t="s">
        <v>300</v>
      </c>
      <c r="J29" s="127">
        <f>VLOOKUP(B29,Tabela_preços[[DESCRIÇÃO]:[VALOR]],3,FALSE)</f>
        <v>28.000000000000004</v>
      </c>
      <c r="K29" s="127">
        <f t="shared" ref="K29:K30" si="5">J29*H29</f>
        <v>5.6000000000000014</v>
      </c>
      <c r="L29" s="62"/>
      <c r="M29" s="46"/>
      <c r="N29" s="46"/>
      <c r="O29" s="46"/>
      <c r="P29" s="46"/>
      <c r="Q29" s="46"/>
      <c r="R29" s="46"/>
      <c r="S29" s="46"/>
    </row>
    <row r="30" spans="1:19" ht="15">
      <c r="A30" s="152" t="s">
        <v>254</v>
      </c>
      <c r="B30" s="153" t="s">
        <v>298</v>
      </c>
      <c r="C30" s="120"/>
      <c r="D30" s="120"/>
      <c r="E30" s="120"/>
      <c r="F30" s="120"/>
      <c r="G30" s="120"/>
      <c r="H30" s="157">
        <v>0.2</v>
      </c>
      <c r="I30" s="173" t="s">
        <v>300</v>
      </c>
      <c r="J30" s="127">
        <f>VLOOKUP(B30,Tabela_preços[[DESCRIÇÃO]:[VALOR]],3,FALSE)</f>
        <v>18</v>
      </c>
      <c r="K30" s="127">
        <f t="shared" si="5"/>
        <v>3.6</v>
      </c>
      <c r="L30" s="61"/>
      <c r="M30" s="61"/>
      <c r="N30" s="61"/>
      <c r="O30" s="61"/>
      <c r="P30" s="61"/>
      <c r="Q30" s="61"/>
      <c r="R30" s="61"/>
      <c r="S30" s="61"/>
    </row>
    <row r="31" spans="1:19" ht="15">
      <c r="A31" s="68"/>
      <c r="B31" s="61"/>
      <c r="C31" s="61"/>
      <c r="D31" s="61"/>
      <c r="E31" s="61"/>
      <c r="F31" s="61"/>
      <c r="G31" s="61"/>
      <c r="H31" s="91"/>
      <c r="I31" s="68"/>
      <c r="L31" s="61"/>
      <c r="M31" s="61"/>
      <c r="N31" s="61"/>
      <c r="O31" s="61"/>
      <c r="P31" s="61"/>
      <c r="Q31" s="61"/>
      <c r="R31" s="61"/>
      <c r="S31" s="61"/>
    </row>
    <row r="32" spans="1:19" ht="15">
      <c r="A32" s="68"/>
      <c r="B32" s="61"/>
      <c r="C32" s="61"/>
      <c r="D32" s="61"/>
      <c r="E32" s="61"/>
      <c r="F32" s="61"/>
      <c r="G32" s="61"/>
      <c r="H32" s="91"/>
      <c r="I32" s="68"/>
      <c r="J32" s="95" t="s">
        <v>288</v>
      </c>
      <c r="K32" s="177">
        <f>SUM(K7:K30)</f>
        <v>5043.6026000000011</v>
      </c>
      <c r="L32" s="61"/>
      <c r="M32" s="61"/>
      <c r="N32" s="61"/>
      <c r="O32" s="61"/>
      <c r="P32" s="61"/>
      <c r="Q32" s="61"/>
      <c r="R32" s="61"/>
      <c r="S32" s="61"/>
    </row>
    <row r="33" spans="1:19" ht="15">
      <c r="A33" s="68"/>
      <c r="B33" s="61"/>
      <c r="C33" s="61"/>
      <c r="D33" s="61"/>
      <c r="E33" s="61"/>
      <c r="F33" s="61"/>
      <c r="G33" s="61"/>
      <c r="H33" s="91"/>
      <c r="I33" s="68"/>
      <c r="J33" s="68"/>
      <c r="K33" s="68"/>
      <c r="L33" s="61"/>
      <c r="M33" s="61"/>
      <c r="N33" s="61"/>
      <c r="O33" s="61"/>
      <c r="P33" s="61"/>
      <c r="Q33" s="61"/>
      <c r="R33" s="61"/>
      <c r="S33" s="61"/>
    </row>
    <row r="34" spans="1:19" ht="15">
      <c r="A34" s="68"/>
      <c r="B34" s="61"/>
      <c r="C34" s="61"/>
      <c r="D34" s="61"/>
      <c r="E34" s="61"/>
      <c r="F34" s="61"/>
      <c r="G34" s="61"/>
      <c r="H34" s="91"/>
      <c r="I34" s="68"/>
      <c r="J34" s="68"/>
      <c r="K34" s="68"/>
      <c r="L34" s="61"/>
      <c r="M34" s="61"/>
      <c r="N34" s="61"/>
      <c r="O34" s="61"/>
      <c r="P34" s="61"/>
      <c r="Q34" s="61"/>
      <c r="R34" s="61"/>
      <c r="S34" s="61"/>
    </row>
    <row r="35" spans="1:19" ht="15">
      <c r="A35" s="68"/>
      <c r="B35" s="61"/>
      <c r="C35" s="61"/>
      <c r="D35" s="61"/>
      <c r="E35" s="61"/>
      <c r="F35" s="61"/>
      <c r="G35" s="61"/>
      <c r="H35" s="91"/>
      <c r="I35" s="68"/>
      <c r="J35" s="68"/>
      <c r="K35" s="68"/>
      <c r="L35" s="61"/>
      <c r="M35" s="61"/>
      <c r="N35" s="61"/>
      <c r="O35" s="61"/>
      <c r="P35" s="61"/>
      <c r="Q35" s="61"/>
      <c r="R35" s="61"/>
      <c r="S35" s="61"/>
    </row>
    <row r="36" spans="1:19" ht="15">
      <c r="A36" s="68"/>
      <c r="B36" s="61"/>
      <c r="C36" s="61"/>
      <c r="D36" s="61"/>
      <c r="E36" s="61"/>
      <c r="F36" s="61"/>
      <c r="G36" s="61"/>
      <c r="H36" s="91"/>
      <c r="I36" s="68"/>
      <c r="J36" s="68"/>
      <c r="K36" s="68"/>
      <c r="L36" s="61"/>
      <c r="M36" s="61"/>
      <c r="N36" s="61"/>
      <c r="O36" s="61"/>
      <c r="P36" s="61"/>
      <c r="Q36" s="61"/>
      <c r="R36" s="61"/>
      <c r="S36" s="61"/>
    </row>
    <row r="37" spans="1:19" ht="15">
      <c r="A37" s="68"/>
      <c r="B37" s="61"/>
      <c r="C37" s="61"/>
      <c r="D37" s="61"/>
      <c r="E37" s="61"/>
      <c r="F37" s="61"/>
      <c r="G37" s="61"/>
      <c r="H37" s="91"/>
      <c r="I37" s="68"/>
      <c r="J37" s="68"/>
      <c r="K37" s="68"/>
      <c r="L37" s="61"/>
      <c r="M37" s="61"/>
      <c r="N37" s="61"/>
      <c r="O37" s="61"/>
      <c r="P37" s="61"/>
      <c r="Q37" s="61"/>
      <c r="R37" s="61"/>
      <c r="S37" s="61"/>
    </row>
    <row r="38" spans="1:19" ht="15">
      <c r="A38" s="68"/>
      <c r="B38" s="61"/>
      <c r="C38" s="61"/>
      <c r="D38" s="61"/>
      <c r="E38" s="61"/>
      <c r="F38" s="61"/>
      <c r="G38" s="61"/>
      <c r="H38" s="91"/>
      <c r="I38" s="68"/>
      <c r="J38" s="68"/>
      <c r="K38" s="68"/>
      <c r="L38" s="61"/>
      <c r="M38" s="61"/>
      <c r="N38" s="61"/>
      <c r="O38" s="61"/>
      <c r="P38" s="61"/>
      <c r="Q38" s="61"/>
      <c r="R38" s="61"/>
      <c r="S38" s="61"/>
    </row>
    <row r="39" spans="1:19" ht="15">
      <c r="A39" s="68"/>
      <c r="B39" s="61"/>
      <c r="C39" s="61"/>
      <c r="D39" s="61"/>
      <c r="E39" s="61"/>
      <c r="F39" s="61"/>
      <c r="G39" s="61"/>
      <c r="H39" s="91"/>
      <c r="I39" s="68"/>
      <c r="J39" s="68"/>
      <c r="K39" s="68"/>
      <c r="L39" s="61"/>
      <c r="M39" s="61"/>
      <c r="N39" s="61"/>
      <c r="O39" s="61"/>
      <c r="P39" s="61"/>
      <c r="Q39" s="61"/>
      <c r="R39" s="61"/>
      <c r="S39" s="61"/>
    </row>
    <row r="40" spans="1:19" ht="15">
      <c r="A40" s="68"/>
      <c r="B40" s="61"/>
      <c r="C40" s="61"/>
      <c r="D40" s="61"/>
      <c r="E40" s="61"/>
      <c r="F40" s="61"/>
      <c r="G40" s="61"/>
      <c r="H40" s="91"/>
      <c r="I40" s="68"/>
      <c r="J40" s="68"/>
      <c r="K40" s="68"/>
      <c r="L40" s="61"/>
      <c r="M40" s="61"/>
      <c r="N40" s="61"/>
      <c r="O40" s="61"/>
      <c r="P40" s="61"/>
      <c r="Q40" s="61"/>
      <c r="R40" s="61"/>
      <c r="S40" s="61"/>
    </row>
    <row r="41" spans="1:19" ht="15">
      <c r="A41" s="68"/>
      <c r="B41" s="61"/>
      <c r="C41" s="61"/>
      <c r="D41" s="61"/>
      <c r="E41" s="61"/>
      <c r="F41" s="61"/>
      <c r="G41" s="61"/>
      <c r="H41" s="91"/>
      <c r="I41" s="68"/>
      <c r="J41" s="68"/>
      <c r="K41" s="68"/>
      <c r="L41" s="61"/>
      <c r="M41" s="61"/>
      <c r="N41" s="61"/>
      <c r="O41" s="61"/>
      <c r="P41" s="61"/>
      <c r="Q41" s="61"/>
      <c r="R41" s="61"/>
      <c r="S41" s="61"/>
    </row>
    <row r="42" spans="1:19" ht="15">
      <c r="A42" s="68"/>
      <c r="B42" s="61"/>
      <c r="C42" s="61"/>
      <c r="D42" s="61"/>
      <c r="E42" s="61"/>
      <c r="F42" s="61"/>
      <c r="G42" s="61"/>
      <c r="H42" s="91"/>
      <c r="I42" s="68"/>
      <c r="J42" s="68"/>
      <c r="K42" s="68"/>
      <c r="L42" s="61"/>
      <c r="M42" s="61"/>
      <c r="N42" s="61"/>
      <c r="O42" s="61"/>
      <c r="P42" s="61"/>
      <c r="Q42" s="61"/>
      <c r="R42" s="61"/>
      <c r="S42" s="61"/>
    </row>
    <row r="43" spans="1:19" ht="15">
      <c r="A43" s="68"/>
      <c r="B43" s="61"/>
      <c r="C43" s="61"/>
      <c r="D43" s="61"/>
      <c r="E43" s="61"/>
      <c r="F43" s="61"/>
      <c r="G43" s="61"/>
      <c r="H43" s="91"/>
      <c r="I43" s="68"/>
      <c r="J43" s="68"/>
      <c r="K43" s="68"/>
      <c r="L43" s="61"/>
      <c r="M43" s="61"/>
      <c r="N43" s="61"/>
      <c r="O43" s="61"/>
      <c r="P43" s="61"/>
      <c r="Q43" s="61"/>
      <c r="R43" s="61"/>
      <c r="S43" s="61"/>
    </row>
    <row r="44" spans="1:19" ht="15">
      <c r="A44" s="68"/>
      <c r="B44" s="61"/>
      <c r="C44" s="61"/>
      <c r="D44" s="61"/>
      <c r="E44" s="61"/>
      <c r="F44" s="61"/>
      <c r="G44" s="61"/>
      <c r="H44" s="91"/>
      <c r="I44" s="68"/>
      <c r="J44" s="68"/>
      <c r="K44" s="68"/>
      <c r="L44" s="61"/>
      <c r="M44" s="61"/>
      <c r="N44" s="61"/>
      <c r="O44" s="61"/>
      <c r="P44" s="61"/>
      <c r="Q44" s="61"/>
      <c r="R44" s="61"/>
      <c r="S44" s="61"/>
    </row>
    <row r="45" spans="1:19" ht="15">
      <c r="A45" s="68"/>
      <c r="B45" s="61"/>
      <c r="C45" s="61"/>
      <c r="D45" s="61"/>
      <c r="E45" s="61"/>
      <c r="F45" s="61"/>
      <c r="G45" s="61"/>
      <c r="H45" s="91"/>
      <c r="I45" s="68"/>
      <c r="J45" s="68"/>
      <c r="K45" s="68"/>
      <c r="L45" s="61"/>
      <c r="M45" s="61"/>
      <c r="N45" s="61"/>
      <c r="O45" s="61"/>
      <c r="P45" s="61"/>
      <c r="Q45" s="61"/>
      <c r="R45" s="61"/>
      <c r="S45" s="61"/>
    </row>
    <row r="46" spans="1:19" ht="15">
      <c r="A46" s="68"/>
      <c r="B46" s="61"/>
      <c r="C46" s="61"/>
      <c r="D46" s="61"/>
      <c r="E46" s="61"/>
      <c r="F46" s="61"/>
      <c r="G46" s="61"/>
      <c r="H46" s="91"/>
      <c r="I46" s="68"/>
      <c r="J46" s="68"/>
      <c r="K46" s="68"/>
      <c r="L46" s="61"/>
      <c r="M46" s="61"/>
      <c r="N46" s="61"/>
      <c r="O46" s="61"/>
      <c r="P46" s="61"/>
      <c r="Q46" s="61"/>
      <c r="R46" s="61"/>
      <c r="S46" s="61"/>
    </row>
    <row r="47" spans="1:19" ht="15">
      <c r="A47" s="68"/>
      <c r="B47" s="61"/>
      <c r="C47" s="61"/>
      <c r="D47" s="61"/>
      <c r="E47" s="61"/>
      <c r="F47" s="61"/>
      <c r="G47" s="61"/>
      <c r="H47" s="91"/>
      <c r="I47" s="68"/>
      <c r="J47" s="68"/>
      <c r="K47" s="68"/>
      <c r="L47" s="61"/>
      <c r="M47" s="61"/>
      <c r="N47" s="61"/>
      <c r="O47" s="61"/>
      <c r="P47" s="61"/>
      <c r="Q47" s="61"/>
      <c r="R47" s="61"/>
      <c r="S47" s="61"/>
    </row>
    <row r="48" spans="1:19" ht="15">
      <c r="A48" s="68"/>
      <c r="B48" s="61"/>
      <c r="C48" s="61"/>
      <c r="D48" s="61"/>
      <c r="E48" s="61"/>
      <c r="F48" s="61"/>
      <c r="G48" s="61"/>
      <c r="H48" s="91"/>
      <c r="I48" s="68"/>
      <c r="J48" s="68"/>
      <c r="K48" s="68"/>
      <c r="L48" s="61"/>
      <c r="M48" s="61"/>
      <c r="N48" s="61"/>
      <c r="O48" s="61"/>
      <c r="P48" s="61"/>
      <c r="Q48" s="61"/>
      <c r="R48" s="61"/>
      <c r="S48" s="61"/>
    </row>
    <row r="49" spans="1:19" ht="15">
      <c r="A49" s="68"/>
      <c r="B49" s="61"/>
      <c r="C49" s="61"/>
      <c r="D49" s="61"/>
      <c r="E49" s="61"/>
      <c r="F49" s="61"/>
      <c r="G49" s="61"/>
      <c r="H49" s="91"/>
      <c r="I49" s="68"/>
      <c r="J49" s="68"/>
      <c r="K49" s="68"/>
      <c r="L49" s="61"/>
      <c r="M49" s="61"/>
      <c r="N49" s="61"/>
      <c r="O49" s="61"/>
      <c r="P49" s="61"/>
      <c r="Q49" s="61"/>
      <c r="R49" s="61"/>
      <c r="S49" s="61"/>
    </row>
    <row r="50" spans="1:19" ht="15">
      <c r="A50" s="68"/>
      <c r="B50" s="61"/>
      <c r="C50" s="61"/>
      <c r="D50" s="61"/>
      <c r="E50" s="61"/>
      <c r="F50" s="61"/>
      <c r="G50" s="61"/>
      <c r="H50" s="91"/>
      <c r="I50" s="68"/>
      <c r="J50" s="68"/>
      <c r="K50" s="68"/>
      <c r="L50" s="61"/>
      <c r="M50" s="61"/>
      <c r="N50" s="61"/>
      <c r="O50" s="61"/>
      <c r="P50" s="61"/>
      <c r="Q50" s="61"/>
      <c r="R50" s="61"/>
      <c r="S50" s="61"/>
    </row>
    <row r="51" spans="1:19" ht="15">
      <c r="A51" s="68"/>
      <c r="B51" s="61"/>
      <c r="C51" s="61"/>
      <c r="D51" s="61"/>
      <c r="E51" s="61"/>
      <c r="F51" s="61"/>
      <c r="G51" s="61"/>
      <c r="H51" s="91"/>
      <c r="I51" s="68"/>
      <c r="J51" s="68"/>
      <c r="K51" s="68"/>
      <c r="L51" s="61"/>
      <c r="M51" s="61"/>
      <c r="N51" s="61"/>
      <c r="O51" s="61"/>
      <c r="P51" s="61"/>
      <c r="Q51" s="61"/>
      <c r="R51" s="61"/>
      <c r="S51" s="61"/>
    </row>
    <row r="52" spans="1:19" ht="15">
      <c r="A52" s="68"/>
      <c r="B52" s="61"/>
      <c r="C52" s="61"/>
      <c r="D52" s="61"/>
      <c r="E52" s="61"/>
      <c r="F52" s="61"/>
      <c r="G52" s="61"/>
      <c r="H52" s="91"/>
      <c r="I52" s="68"/>
      <c r="J52" s="68"/>
      <c r="K52" s="68"/>
      <c r="L52" s="61"/>
      <c r="M52" s="61"/>
      <c r="N52" s="61"/>
      <c r="O52" s="61"/>
      <c r="P52" s="61"/>
      <c r="Q52" s="61"/>
      <c r="R52" s="61"/>
      <c r="S52" s="61"/>
    </row>
    <row r="53" spans="1:19" ht="15">
      <c r="A53" s="68"/>
      <c r="B53" s="61"/>
      <c r="C53" s="61"/>
      <c r="D53" s="61"/>
      <c r="E53" s="61"/>
      <c r="F53" s="61"/>
      <c r="G53" s="61"/>
      <c r="H53" s="91"/>
      <c r="I53" s="68"/>
      <c r="J53" s="68"/>
      <c r="K53" s="68"/>
      <c r="L53" s="61"/>
      <c r="M53" s="61"/>
      <c r="N53" s="61"/>
      <c r="O53" s="61"/>
      <c r="P53" s="61"/>
      <c r="Q53" s="61"/>
      <c r="R53" s="61"/>
      <c r="S53" s="61"/>
    </row>
    <row r="54" spans="1:19" ht="15">
      <c r="A54" s="68"/>
      <c r="B54" s="61"/>
      <c r="C54" s="61"/>
      <c r="D54" s="61"/>
      <c r="E54" s="61"/>
      <c r="F54" s="61"/>
      <c r="G54" s="61"/>
      <c r="H54" s="91"/>
      <c r="I54" s="68"/>
      <c r="J54" s="68"/>
      <c r="K54" s="68"/>
      <c r="L54" s="61"/>
      <c r="M54" s="61"/>
      <c r="N54" s="61"/>
      <c r="O54" s="61"/>
      <c r="P54" s="61"/>
      <c r="Q54" s="61"/>
      <c r="R54" s="61"/>
      <c r="S54" s="61"/>
    </row>
    <row r="55" spans="1:19" ht="15">
      <c r="A55" s="68"/>
      <c r="B55" s="61"/>
      <c r="C55" s="61"/>
      <c r="D55" s="61"/>
      <c r="E55" s="61"/>
      <c r="F55" s="61"/>
      <c r="G55" s="61"/>
      <c r="H55" s="91"/>
      <c r="I55" s="68"/>
      <c r="J55" s="68"/>
      <c r="K55" s="68"/>
      <c r="L55" s="61"/>
      <c r="M55" s="61"/>
      <c r="N55" s="61"/>
      <c r="O55" s="61"/>
      <c r="P55" s="61"/>
      <c r="Q55" s="61"/>
      <c r="R55" s="61"/>
      <c r="S55" s="61"/>
    </row>
    <row r="56" spans="1:19" ht="15">
      <c r="A56" s="68"/>
      <c r="B56" s="61"/>
      <c r="C56" s="61"/>
      <c r="D56" s="61"/>
      <c r="E56" s="61"/>
      <c r="F56" s="61"/>
      <c r="G56" s="61"/>
      <c r="H56" s="91"/>
      <c r="I56" s="68"/>
      <c r="J56" s="68"/>
      <c r="K56" s="68"/>
      <c r="L56" s="61"/>
      <c r="M56" s="61"/>
      <c r="N56" s="61"/>
      <c r="O56" s="61"/>
      <c r="P56" s="61"/>
      <c r="Q56" s="61"/>
      <c r="R56" s="61"/>
      <c r="S56" s="61"/>
    </row>
    <row r="57" spans="1:19" ht="15">
      <c r="A57" s="68"/>
      <c r="B57" s="61"/>
      <c r="C57" s="61"/>
      <c r="D57" s="61"/>
      <c r="E57" s="61"/>
      <c r="F57" s="61"/>
      <c r="G57" s="61"/>
      <c r="H57" s="91"/>
      <c r="I57" s="68"/>
      <c r="J57" s="68"/>
      <c r="K57" s="68"/>
      <c r="L57" s="61"/>
      <c r="M57" s="61"/>
      <c r="N57" s="61"/>
      <c r="O57" s="61"/>
      <c r="P57" s="61"/>
      <c r="Q57" s="61"/>
      <c r="R57" s="61"/>
      <c r="S57" s="61"/>
    </row>
    <row r="58" spans="1:19" ht="15">
      <c r="A58" s="68"/>
      <c r="B58" s="61"/>
      <c r="C58" s="61"/>
      <c r="D58" s="61"/>
      <c r="E58" s="61"/>
      <c r="F58" s="61"/>
      <c r="G58" s="61"/>
      <c r="H58" s="91"/>
      <c r="I58" s="68"/>
      <c r="J58" s="68"/>
      <c r="K58" s="68"/>
      <c r="L58" s="61"/>
      <c r="M58" s="61"/>
      <c r="N58" s="61"/>
      <c r="O58" s="61"/>
      <c r="P58" s="61"/>
      <c r="Q58" s="61"/>
      <c r="R58" s="61"/>
      <c r="S58" s="61"/>
    </row>
    <row r="59" spans="1:19" ht="15">
      <c r="A59" s="68"/>
      <c r="B59" s="61"/>
      <c r="C59" s="61"/>
      <c r="D59" s="61"/>
      <c r="E59" s="61"/>
      <c r="F59" s="61"/>
      <c r="G59" s="61"/>
      <c r="H59" s="91"/>
      <c r="I59" s="68"/>
      <c r="J59" s="68"/>
      <c r="K59" s="68"/>
      <c r="L59" s="61"/>
      <c r="M59" s="61"/>
      <c r="N59" s="61"/>
      <c r="O59" s="61"/>
      <c r="P59" s="61"/>
      <c r="Q59" s="61"/>
      <c r="R59" s="61"/>
      <c r="S59" s="61"/>
    </row>
    <row r="60" spans="1:19" ht="15">
      <c r="A60" s="68"/>
      <c r="B60" s="61"/>
      <c r="C60" s="61"/>
      <c r="D60" s="61"/>
      <c r="E60" s="61"/>
      <c r="F60" s="61"/>
      <c r="G60" s="61"/>
      <c r="H60" s="91"/>
      <c r="I60" s="68"/>
      <c r="J60" s="68"/>
      <c r="K60" s="68"/>
      <c r="L60" s="61"/>
      <c r="M60" s="61"/>
      <c r="N60" s="61"/>
      <c r="O60" s="61"/>
      <c r="P60" s="61"/>
      <c r="Q60" s="61"/>
      <c r="R60" s="61"/>
      <c r="S60" s="61"/>
    </row>
    <row r="61" spans="1:19" ht="15">
      <c r="A61" s="68"/>
      <c r="B61" s="61"/>
      <c r="C61" s="61"/>
      <c r="D61" s="61"/>
      <c r="E61" s="61"/>
      <c r="F61" s="61"/>
      <c r="G61" s="61"/>
      <c r="H61" s="91"/>
      <c r="I61" s="68"/>
      <c r="J61" s="68"/>
      <c r="K61" s="68"/>
      <c r="L61" s="61"/>
      <c r="M61" s="61"/>
      <c r="N61" s="61"/>
      <c r="O61" s="61"/>
      <c r="P61" s="61"/>
      <c r="Q61" s="61"/>
      <c r="R61" s="61"/>
      <c r="S61" s="61"/>
    </row>
    <row r="62" spans="1:19" ht="15">
      <c r="A62" s="68"/>
      <c r="B62" s="61"/>
      <c r="C62" s="61"/>
      <c r="D62" s="61"/>
      <c r="E62" s="61"/>
      <c r="F62" s="61"/>
      <c r="G62" s="61"/>
      <c r="H62" s="91"/>
      <c r="I62" s="68"/>
      <c r="J62" s="68"/>
      <c r="K62" s="68"/>
      <c r="L62" s="61"/>
      <c r="M62" s="61"/>
      <c r="N62" s="61"/>
      <c r="O62" s="61"/>
      <c r="P62" s="61"/>
      <c r="Q62" s="61"/>
      <c r="R62" s="61"/>
      <c r="S62" s="61"/>
    </row>
    <row r="63" spans="1:19" ht="15">
      <c r="A63" s="68"/>
      <c r="B63" s="61"/>
      <c r="C63" s="61"/>
      <c r="D63" s="61"/>
      <c r="E63" s="61"/>
      <c r="F63" s="61"/>
      <c r="G63" s="61"/>
      <c r="H63" s="91"/>
      <c r="I63" s="68"/>
      <c r="J63" s="68"/>
      <c r="K63" s="68"/>
      <c r="L63" s="61"/>
      <c r="M63" s="61"/>
      <c r="N63" s="61"/>
      <c r="O63" s="61"/>
      <c r="P63" s="61"/>
      <c r="Q63" s="61"/>
      <c r="R63" s="61"/>
      <c r="S63" s="61"/>
    </row>
    <row r="64" spans="1:19" ht="15">
      <c r="A64" s="68"/>
      <c r="B64" s="61"/>
      <c r="C64" s="61"/>
      <c r="D64" s="61"/>
      <c r="E64" s="61"/>
      <c r="F64" s="61"/>
      <c r="G64" s="61"/>
      <c r="H64" s="91"/>
      <c r="I64" s="68"/>
      <c r="J64" s="68"/>
      <c r="K64" s="68"/>
      <c r="L64" s="61"/>
      <c r="M64" s="61"/>
      <c r="N64" s="61"/>
      <c r="O64" s="61"/>
      <c r="P64" s="61"/>
      <c r="Q64" s="61"/>
      <c r="R64" s="61"/>
      <c r="S64" s="61"/>
    </row>
    <row r="65" spans="1:19" ht="15">
      <c r="A65" s="68"/>
      <c r="B65" s="61"/>
      <c r="C65" s="61"/>
      <c r="D65" s="61"/>
      <c r="E65" s="61"/>
      <c r="F65" s="61"/>
      <c r="G65" s="61"/>
      <c r="H65" s="91"/>
      <c r="I65" s="68"/>
      <c r="J65" s="68"/>
      <c r="K65" s="68"/>
      <c r="L65" s="61"/>
      <c r="M65" s="61"/>
      <c r="N65" s="61"/>
      <c r="O65" s="61"/>
      <c r="P65" s="61"/>
      <c r="Q65" s="61"/>
      <c r="R65" s="61"/>
      <c r="S65" s="61"/>
    </row>
    <row r="66" spans="1:19" ht="15">
      <c r="A66" s="68"/>
      <c r="B66" s="61"/>
      <c r="C66" s="61"/>
      <c r="D66" s="61"/>
      <c r="E66" s="61"/>
      <c r="F66" s="61"/>
      <c r="G66" s="61"/>
      <c r="H66" s="91"/>
      <c r="I66" s="68"/>
      <c r="J66" s="68"/>
      <c r="K66" s="68"/>
      <c r="L66" s="61"/>
      <c r="M66" s="61"/>
      <c r="N66" s="61"/>
      <c r="O66" s="61"/>
      <c r="P66" s="61"/>
      <c r="Q66" s="61"/>
      <c r="R66" s="61"/>
      <c r="S66" s="61"/>
    </row>
    <row r="67" spans="1:19" ht="15">
      <c r="A67" s="68"/>
      <c r="B67" s="61"/>
      <c r="C67" s="61"/>
      <c r="D67" s="61"/>
      <c r="E67" s="61"/>
      <c r="F67" s="61"/>
      <c r="G67" s="61"/>
      <c r="H67" s="91"/>
      <c r="I67" s="68"/>
      <c r="J67" s="68"/>
      <c r="K67" s="68"/>
      <c r="L67" s="61"/>
      <c r="M67" s="61"/>
      <c r="N67" s="61"/>
      <c r="O67" s="61"/>
      <c r="P67" s="61"/>
      <c r="Q67" s="61"/>
      <c r="R67" s="61"/>
      <c r="S67" s="61"/>
    </row>
    <row r="68" spans="1:19" ht="15">
      <c r="A68" s="68"/>
      <c r="B68" s="61"/>
      <c r="C68" s="61"/>
      <c r="D68" s="61"/>
      <c r="E68" s="61"/>
      <c r="F68" s="61"/>
      <c r="G68" s="61"/>
      <c r="H68" s="91"/>
      <c r="I68" s="68"/>
      <c r="J68" s="68"/>
      <c r="K68" s="68"/>
      <c r="L68" s="61"/>
      <c r="M68" s="61"/>
      <c r="N68" s="61"/>
      <c r="O68" s="61"/>
      <c r="P68" s="61"/>
      <c r="Q68" s="61"/>
      <c r="R68" s="61"/>
      <c r="S68" s="61"/>
    </row>
    <row r="69" spans="1:19" ht="15">
      <c r="A69" s="68"/>
      <c r="B69" s="61"/>
      <c r="C69" s="61"/>
      <c r="D69" s="61"/>
      <c r="E69" s="61"/>
      <c r="F69" s="61"/>
      <c r="G69" s="61"/>
      <c r="H69" s="91"/>
      <c r="I69" s="68"/>
      <c r="J69" s="68"/>
      <c r="K69" s="68"/>
      <c r="L69" s="61"/>
      <c r="M69" s="61"/>
      <c r="N69" s="61"/>
      <c r="O69" s="61"/>
      <c r="P69" s="61"/>
      <c r="Q69" s="61"/>
      <c r="R69" s="61"/>
      <c r="S69" s="61"/>
    </row>
    <row r="70" spans="1:19" ht="15">
      <c r="A70" s="68"/>
      <c r="B70" s="61"/>
      <c r="C70" s="61"/>
      <c r="D70" s="61"/>
      <c r="E70" s="61"/>
      <c r="F70" s="61"/>
      <c r="G70" s="61"/>
      <c r="H70" s="91"/>
      <c r="I70" s="68"/>
      <c r="J70" s="68"/>
      <c r="K70" s="68"/>
      <c r="L70" s="61"/>
      <c r="M70" s="61"/>
      <c r="N70" s="61"/>
      <c r="O70" s="61"/>
      <c r="P70" s="61"/>
      <c r="Q70" s="61"/>
      <c r="R70" s="61"/>
      <c r="S70" s="61"/>
    </row>
    <row r="71" spans="1:19" ht="15">
      <c r="A71" s="68"/>
      <c r="B71" s="61"/>
      <c r="C71" s="61"/>
      <c r="D71" s="61"/>
      <c r="E71" s="61"/>
      <c r="F71" s="61"/>
      <c r="G71" s="61"/>
      <c r="H71" s="91"/>
      <c r="I71" s="68"/>
      <c r="J71" s="68"/>
      <c r="K71" s="68"/>
      <c r="L71" s="61"/>
      <c r="M71" s="61"/>
      <c r="N71" s="61"/>
      <c r="O71" s="61"/>
      <c r="P71" s="61"/>
      <c r="Q71" s="61"/>
      <c r="R71" s="61"/>
      <c r="S71" s="61"/>
    </row>
    <row r="72" spans="1:19" ht="15">
      <c r="A72" s="68"/>
      <c r="B72" s="61"/>
      <c r="C72" s="61"/>
      <c r="D72" s="61"/>
      <c r="E72" s="61"/>
      <c r="F72" s="61"/>
      <c r="G72" s="61"/>
      <c r="H72" s="91"/>
      <c r="I72" s="68"/>
      <c r="J72" s="68"/>
      <c r="K72" s="68"/>
      <c r="L72" s="61"/>
      <c r="M72" s="61"/>
      <c r="N72" s="61"/>
      <c r="O72" s="61"/>
      <c r="P72" s="61"/>
      <c r="Q72" s="61"/>
      <c r="R72" s="61"/>
      <c r="S72" s="61"/>
    </row>
    <row r="73" spans="1:19" ht="15">
      <c r="A73" s="68"/>
      <c r="B73" s="61"/>
      <c r="C73" s="61"/>
      <c r="D73" s="61"/>
      <c r="E73" s="61"/>
      <c r="F73" s="61"/>
      <c r="G73" s="61"/>
      <c r="H73" s="91"/>
      <c r="I73" s="68"/>
      <c r="J73" s="68"/>
      <c r="K73" s="68"/>
      <c r="L73" s="61"/>
      <c r="M73" s="61"/>
      <c r="N73" s="61"/>
      <c r="O73" s="61"/>
      <c r="P73" s="61"/>
      <c r="Q73" s="61"/>
      <c r="R73" s="61"/>
      <c r="S73" s="61"/>
    </row>
    <row r="74" spans="1:19" ht="15">
      <c r="A74" s="68"/>
      <c r="B74" s="61"/>
      <c r="C74" s="61"/>
      <c r="D74" s="61"/>
      <c r="E74" s="61"/>
      <c r="F74" s="61"/>
      <c r="G74" s="61"/>
      <c r="H74" s="91"/>
      <c r="I74" s="68"/>
      <c r="J74" s="68"/>
      <c r="K74" s="68"/>
      <c r="L74" s="61"/>
      <c r="M74" s="61"/>
      <c r="N74" s="61"/>
      <c r="O74" s="61"/>
      <c r="P74" s="61"/>
      <c r="Q74" s="61"/>
      <c r="R74" s="61"/>
      <c r="S74" s="61"/>
    </row>
    <row r="75" spans="1:19" ht="15">
      <c r="A75" s="68"/>
      <c r="B75" s="61"/>
      <c r="C75" s="61"/>
      <c r="D75" s="61"/>
      <c r="E75" s="61"/>
      <c r="F75" s="61"/>
      <c r="G75" s="61"/>
      <c r="H75" s="91"/>
      <c r="I75" s="68"/>
      <c r="J75" s="68"/>
      <c r="K75" s="68"/>
      <c r="L75" s="61"/>
      <c r="M75" s="61"/>
      <c r="N75" s="61"/>
      <c r="O75" s="61"/>
      <c r="P75" s="61"/>
      <c r="Q75" s="61"/>
      <c r="R75" s="61"/>
      <c r="S75" s="61"/>
    </row>
    <row r="76" spans="1:19" ht="15">
      <c r="A76" s="68"/>
      <c r="B76" s="61"/>
      <c r="C76" s="61"/>
      <c r="D76" s="61"/>
      <c r="E76" s="61"/>
      <c r="F76" s="61"/>
      <c r="G76" s="61"/>
      <c r="H76" s="91"/>
      <c r="I76" s="68"/>
      <c r="J76" s="68"/>
      <c r="K76" s="68"/>
      <c r="L76" s="61"/>
      <c r="M76" s="61"/>
      <c r="N76" s="61"/>
      <c r="O76" s="61"/>
      <c r="P76" s="61"/>
      <c r="Q76" s="61"/>
      <c r="R76" s="61"/>
      <c r="S76" s="61"/>
    </row>
    <row r="77" spans="1:19" ht="15">
      <c r="A77" s="68"/>
      <c r="B77" s="61"/>
      <c r="C77" s="61"/>
      <c r="D77" s="61"/>
      <c r="E77" s="61"/>
      <c r="F77" s="61"/>
      <c r="G77" s="61"/>
      <c r="H77" s="91"/>
      <c r="I77" s="68"/>
      <c r="J77" s="68"/>
      <c r="K77" s="68"/>
      <c r="L77" s="61"/>
      <c r="M77" s="61"/>
      <c r="N77" s="61"/>
      <c r="O77" s="61"/>
      <c r="P77" s="61"/>
      <c r="Q77" s="61"/>
      <c r="R77" s="61"/>
      <c r="S77" s="61"/>
    </row>
    <row r="78" spans="1:19" ht="15">
      <c r="A78" s="68"/>
      <c r="B78" s="61"/>
      <c r="C78" s="61"/>
      <c r="D78" s="61"/>
      <c r="E78" s="61"/>
      <c r="F78" s="61"/>
      <c r="G78" s="61"/>
      <c r="H78" s="91"/>
      <c r="I78" s="68"/>
      <c r="J78" s="68"/>
      <c r="K78" s="68"/>
      <c r="L78" s="61"/>
      <c r="M78" s="61"/>
      <c r="N78" s="61"/>
      <c r="O78" s="61"/>
      <c r="P78" s="61"/>
      <c r="Q78" s="61"/>
      <c r="R78" s="61"/>
      <c r="S78" s="61"/>
    </row>
    <row r="79" spans="1:19" ht="15">
      <c r="A79" s="68"/>
      <c r="B79" s="61"/>
      <c r="C79" s="61"/>
      <c r="D79" s="61"/>
      <c r="E79" s="61"/>
      <c r="F79" s="61"/>
      <c r="G79" s="61"/>
      <c r="H79" s="91"/>
      <c r="I79" s="68"/>
      <c r="J79" s="68"/>
      <c r="K79" s="68"/>
      <c r="L79" s="61"/>
      <c r="M79" s="61"/>
      <c r="N79" s="61"/>
      <c r="O79" s="61"/>
      <c r="P79" s="61"/>
      <c r="Q79" s="61"/>
      <c r="R79" s="61"/>
      <c r="S79" s="61"/>
    </row>
    <row r="80" spans="1:19" ht="15">
      <c r="A80" s="68"/>
      <c r="B80" s="61"/>
      <c r="C80" s="61"/>
      <c r="D80" s="61"/>
      <c r="E80" s="61"/>
      <c r="F80" s="61"/>
      <c r="G80" s="61"/>
      <c r="H80" s="91"/>
      <c r="I80" s="68"/>
      <c r="J80" s="68"/>
      <c r="K80" s="68"/>
      <c r="L80" s="61"/>
      <c r="M80" s="61"/>
      <c r="N80" s="61"/>
      <c r="O80" s="61"/>
      <c r="P80" s="61"/>
      <c r="Q80" s="61"/>
      <c r="R80" s="61"/>
      <c r="S80" s="61"/>
    </row>
    <row r="81" spans="1:19" ht="15">
      <c r="A81" s="68"/>
      <c r="B81" s="61"/>
      <c r="C81" s="61"/>
      <c r="D81" s="61"/>
      <c r="E81" s="61"/>
      <c r="F81" s="61"/>
      <c r="G81" s="61"/>
      <c r="H81" s="91"/>
      <c r="I81" s="68"/>
      <c r="J81" s="68"/>
      <c r="K81" s="68"/>
      <c r="L81" s="61"/>
      <c r="M81" s="61"/>
      <c r="N81" s="61"/>
      <c r="O81" s="61"/>
      <c r="P81" s="61"/>
      <c r="Q81" s="61"/>
      <c r="R81" s="61"/>
      <c r="S81" s="61"/>
    </row>
    <row r="82" spans="1:19" ht="15">
      <c r="A82" s="68"/>
      <c r="B82" s="61"/>
      <c r="C82" s="61"/>
      <c r="D82" s="61"/>
      <c r="E82" s="61"/>
      <c r="F82" s="61"/>
      <c r="G82" s="61"/>
      <c r="H82" s="91"/>
      <c r="I82" s="68"/>
      <c r="J82" s="68"/>
      <c r="K82" s="68"/>
      <c r="L82" s="61"/>
      <c r="M82" s="61"/>
      <c r="N82" s="61"/>
      <c r="O82" s="61"/>
      <c r="P82" s="61"/>
      <c r="Q82" s="61"/>
      <c r="R82" s="61"/>
      <c r="S82" s="61"/>
    </row>
    <row r="83" spans="1:19" ht="15">
      <c r="A83" s="68"/>
      <c r="B83" s="61"/>
      <c r="C83" s="61"/>
      <c r="D83" s="61"/>
      <c r="E83" s="61"/>
      <c r="F83" s="61"/>
      <c r="G83" s="61"/>
      <c r="H83" s="91"/>
      <c r="I83" s="68"/>
      <c r="J83" s="68"/>
      <c r="K83" s="68"/>
      <c r="L83" s="61"/>
      <c r="M83" s="61"/>
      <c r="N83" s="61"/>
      <c r="O83" s="61"/>
      <c r="P83" s="61"/>
      <c r="Q83" s="61"/>
      <c r="R83" s="61"/>
      <c r="S83" s="61"/>
    </row>
    <row r="84" spans="1:19" ht="15">
      <c r="A84" s="68"/>
      <c r="B84" s="61"/>
      <c r="C84" s="61"/>
      <c r="D84" s="61"/>
      <c r="E84" s="61"/>
      <c r="F84" s="61"/>
      <c r="G84" s="61"/>
      <c r="H84" s="91"/>
      <c r="I84" s="68"/>
      <c r="J84" s="68"/>
      <c r="K84" s="68"/>
      <c r="L84" s="61"/>
      <c r="M84" s="61"/>
      <c r="N84" s="61"/>
      <c r="O84" s="61"/>
      <c r="P84" s="61"/>
      <c r="Q84" s="61"/>
      <c r="R84" s="61"/>
      <c r="S84" s="61"/>
    </row>
    <row r="85" spans="1:19" ht="15">
      <c r="A85" s="68"/>
      <c r="B85" s="61"/>
      <c r="C85" s="61"/>
      <c r="D85" s="61"/>
      <c r="E85" s="61"/>
      <c r="F85" s="61"/>
      <c r="G85" s="61"/>
      <c r="H85" s="91"/>
      <c r="I85" s="68"/>
      <c r="J85" s="68"/>
      <c r="K85" s="68"/>
      <c r="L85" s="61"/>
      <c r="M85" s="61"/>
      <c r="N85" s="61"/>
      <c r="O85" s="61"/>
      <c r="P85" s="61"/>
      <c r="Q85" s="61"/>
      <c r="R85" s="61"/>
      <c r="S85" s="61"/>
    </row>
    <row r="86" spans="1:19" ht="15">
      <c r="A86" s="68"/>
      <c r="B86" s="61"/>
      <c r="C86" s="61"/>
      <c r="D86" s="61"/>
      <c r="E86" s="61"/>
      <c r="F86" s="61"/>
      <c r="G86" s="61"/>
      <c r="H86" s="91"/>
      <c r="I86" s="68"/>
      <c r="J86" s="68"/>
      <c r="K86" s="68"/>
      <c r="L86" s="61"/>
      <c r="M86" s="61"/>
      <c r="N86" s="61"/>
      <c r="O86" s="61"/>
      <c r="P86" s="61"/>
      <c r="Q86" s="61"/>
      <c r="R86" s="61"/>
      <c r="S86" s="61"/>
    </row>
    <row r="87" spans="1:19" ht="15">
      <c r="A87" s="68"/>
      <c r="B87" s="61"/>
      <c r="C87" s="61"/>
      <c r="D87" s="61"/>
      <c r="E87" s="61"/>
      <c r="F87" s="61"/>
      <c r="G87" s="61"/>
      <c r="H87" s="91"/>
      <c r="I87" s="68"/>
      <c r="J87" s="68"/>
      <c r="K87" s="68"/>
      <c r="L87" s="61"/>
      <c r="M87" s="61"/>
      <c r="N87" s="61"/>
      <c r="O87" s="61"/>
      <c r="P87" s="61"/>
      <c r="Q87" s="61"/>
      <c r="R87" s="61"/>
      <c r="S87" s="61"/>
    </row>
    <row r="88" spans="1:19" ht="15">
      <c r="A88" s="68"/>
      <c r="B88" s="61"/>
      <c r="C88" s="61"/>
      <c r="D88" s="61"/>
      <c r="E88" s="61"/>
      <c r="F88" s="61"/>
      <c r="G88" s="61"/>
      <c r="H88" s="91"/>
      <c r="I88" s="68"/>
      <c r="J88" s="68"/>
      <c r="K88" s="68"/>
      <c r="L88" s="61"/>
      <c r="M88" s="61"/>
      <c r="N88" s="61"/>
      <c r="O88" s="61"/>
      <c r="P88" s="61"/>
      <c r="Q88" s="61"/>
      <c r="R88" s="61"/>
      <c r="S88" s="61"/>
    </row>
    <row r="89" spans="1:19" ht="15">
      <c r="A89" s="68"/>
      <c r="B89" s="61"/>
      <c r="C89" s="61"/>
      <c r="D89" s="61"/>
      <c r="E89" s="61"/>
      <c r="F89" s="61"/>
      <c r="G89" s="61"/>
      <c r="H89" s="91"/>
      <c r="I89" s="68"/>
      <c r="J89" s="68"/>
      <c r="K89" s="68"/>
      <c r="L89" s="61"/>
      <c r="M89" s="61"/>
      <c r="N89" s="61"/>
      <c r="O89" s="61"/>
      <c r="P89" s="61"/>
      <c r="Q89" s="61"/>
      <c r="R89" s="61"/>
      <c r="S89" s="61"/>
    </row>
    <row r="90" spans="1:19" ht="15">
      <c r="A90" s="68"/>
      <c r="B90" s="61"/>
      <c r="C90" s="61"/>
      <c r="D90" s="61"/>
      <c r="E90" s="61"/>
      <c r="F90" s="61"/>
      <c r="G90" s="61"/>
      <c r="H90" s="91"/>
      <c r="I90" s="68"/>
      <c r="J90" s="68"/>
      <c r="K90" s="68"/>
      <c r="L90" s="61"/>
      <c r="M90" s="61"/>
      <c r="N90" s="61"/>
      <c r="O90" s="61"/>
      <c r="P90" s="61"/>
      <c r="Q90" s="61"/>
      <c r="R90" s="61"/>
      <c r="S90" s="61"/>
    </row>
    <row r="91" spans="1:19" ht="15">
      <c r="A91" s="68"/>
      <c r="B91" s="61"/>
      <c r="C91" s="61"/>
      <c r="D91" s="61"/>
      <c r="E91" s="61"/>
      <c r="F91" s="61"/>
      <c r="G91" s="61"/>
      <c r="H91" s="91"/>
      <c r="I91" s="68"/>
      <c r="J91" s="68"/>
      <c r="K91" s="68"/>
      <c r="L91" s="61"/>
      <c r="M91" s="61"/>
      <c r="N91" s="61"/>
      <c r="O91" s="61"/>
      <c r="P91" s="61"/>
      <c r="Q91" s="61"/>
      <c r="R91" s="61"/>
      <c r="S91" s="61"/>
    </row>
    <row r="92" spans="1:19" ht="15">
      <c r="A92" s="68"/>
      <c r="B92" s="61"/>
      <c r="C92" s="61"/>
      <c r="D92" s="61"/>
      <c r="E92" s="61"/>
      <c r="F92" s="61"/>
      <c r="G92" s="61"/>
      <c r="H92" s="91"/>
      <c r="I92" s="68"/>
      <c r="J92" s="68"/>
      <c r="K92" s="68"/>
      <c r="L92" s="61"/>
      <c r="M92" s="61"/>
      <c r="N92" s="61"/>
      <c r="O92" s="61"/>
      <c r="P92" s="61"/>
      <c r="Q92" s="61"/>
      <c r="R92" s="61"/>
      <c r="S92" s="61"/>
    </row>
    <row r="93" spans="1:19" ht="15">
      <c r="A93" s="68"/>
      <c r="B93" s="61"/>
      <c r="C93" s="61"/>
      <c r="D93" s="61"/>
      <c r="E93" s="61"/>
      <c r="F93" s="61"/>
      <c r="G93" s="61"/>
      <c r="H93" s="91"/>
      <c r="I93" s="68"/>
      <c r="J93" s="68"/>
      <c r="K93" s="68"/>
      <c r="L93" s="61"/>
      <c r="M93" s="61"/>
      <c r="N93" s="61"/>
      <c r="O93" s="61"/>
      <c r="P93" s="61"/>
      <c r="Q93" s="61"/>
      <c r="R93" s="61"/>
      <c r="S93" s="61"/>
    </row>
    <row r="94" spans="1:19" ht="15">
      <c r="A94" s="68"/>
      <c r="B94" s="61"/>
      <c r="C94" s="61"/>
      <c r="D94" s="61"/>
      <c r="E94" s="61"/>
      <c r="F94" s="61"/>
      <c r="G94" s="61"/>
      <c r="H94" s="91"/>
      <c r="I94" s="68"/>
      <c r="J94" s="68"/>
      <c r="K94" s="68"/>
      <c r="L94" s="61"/>
      <c r="M94" s="61"/>
      <c r="N94" s="61"/>
      <c r="O94" s="61"/>
      <c r="P94" s="61"/>
      <c r="Q94" s="61"/>
      <c r="R94" s="61"/>
      <c r="S94" s="61"/>
    </row>
    <row r="95" spans="1:19" ht="15">
      <c r="A95" s="68"/>
      <c r="B95" s="61"/>
      <c r="C95" s="61"/>
      <c r="D95" s="61"/>
      <c r="E95" s="61"/>
      <c r="F95" s="61"/>
      <c r="G95" s="61"/>
      <c r="H95" s="91"/>
      <c r="I95" s="68"/>
      <c r="J95" s="68"/>
      <c r="K95" s="68"/>
      <c r="L95" s="61"/>
      <c r="M95" s="61"/>
      <c r="N95" s="61"/>
      <c r="O95" s="61"/>
      <c r="P95" s="61"/>
      <c r="Q95" s="61"/>
      <c r="R95" s="61"/>
      <c r="S95" s="61"/>
    </row>
    <row r="96" spans="1:19" ht="15">
      <c r="A96" s="68"/>
      <c r="B96" s="61"/>
      <c r="C96" s="61"/>
      <c r="D96" s="61"/>
      <c r="E96" s="61"/>
      <c r="F96" s="61"/>
      <c r="G96" s="61"/>
      <c r="H96" s="91"/>
      <c r="I96" s="68"/>
      <c r="J96" s="68"/>
      <c r="K96" s="68"/>
      <c r="L96" s="61"/>
      <c r="M96" s="61"/>
      <c r="N96" s="61"/>
      <c r="O96" s="61"/>
      <c r="P96" s="61"/>
      <c r="Q96" s="61"/>
      <c r="R96" s="61"/>
      <c r="S96" s="61"/>
    </row>
    <row r="97" spans="1:19" ht="15">
      <c r="A97" s="68"/>
      <c r="B97" s="61"/>
      <c r="C97" s="61"/>
      <c r="D97" s="61"/>
      <c r="E97" s="61"/>
      <c r="F97" s="61"/>
      <c r="G97" s="61"/>
      <c r="H97" s="91"/>
      <c r="I97" s="68"/>
      <c r="J97" s="68"/>
      <c r="K97" s="68"/>
      <c r="L97" s="61"/>
      <c r="M97" s="61"/>
      <c r="N97" s="61"/>
      <c r="O97" s="61"/>
      <c r="P97" s="61"/>
      <c r="Q97" s="61"/>
      <c r="R97" s="61"/>
      <c r="S97" s="61"/>
    </row>
    <row r="98" spans="1:19" ht="15">
      <c r="A98" s="68"/>
      <c r="B98" s="61"/>
      <c r="C98" s="61"/>
      <c r="D98" s="61"/>
      <c r="E98" s="61"/>
      <c r="F98" s="61"/>
      <c r="G98" s="61"/>
      <c r="H98" s="91"/>
      <c r="I98" s="68"/>
      <c r="J98" s="68"/>
      <c r="K98" s="68"/>
      <c r="L98" s="61"/>
      <c r="M98" s="61"/>
      <c r="N98" s="61"/>
      <c r="O98" s="61"/>
      <c r="P98" s="61"/>
      <c r="Q98" s="61"/>
      <c r="R98" s="61"/>
      <c r="S98" s="61"/>
    </row>
    <row r="99" spans="1:19" ht="15">
      <c r="A99" s="68"/>
      <c r="B99" s="61"/>
      <c r="C99" s="61"/>
      <c r="D99" s="61"/>
      <c r="E99" s="61"/>
      <c r="F99" s="61"/>
      <c r="G99" s="61"/>
      <c r="H99" s="91"/>
      <c r="I99" s="68"/>
      <c r="J99" s="68"/>
      <c r="K99" s="68"/>
      <c r="L99" s="61"/>
      <c r="M99" s="61"/>
      <c r="N99" s="61"/>
      <c r="O99" s="61"/>
      <c r="P99" s="61"/>
      <c r="Q99" s="61"/>
      <c r="R99" s="61"/>
      <c r="S99" s="61"/>
    </row>
    <row r="100" spans="1:19" ht="15">
      <c r="A100" s="68"/>
      <c r="B100" s="61"/>
      <c r="C100" s="61"/>
      <c r="D100" s="61"/>
      <c r="E100" s="61"/>
      <c r="F100" s="61"/>
      <c r="G100" s="61"/>
      <c r="H100" s="91"/>
      <c r="I100" s="68"/>
      <c r="J100" s="68"/>
      <c r="K100" s="68"/>
      <c r="L100" s="61"/>
      <c r="M100" s="61"/>
      <c r="N100" s="61"/>
      <c r="O100" s="61"/>
      <c r="P100" s="61"/>
      <c r="Q100" s="61"/>
      <c r="R100" s="61"/>
      <c r="S100" s="61"/>
    </row>
    <row r="101" spans="1:19" ht="15">
      <c r="A101" s="68"/>
      <c r="B101" s="61"/>
      <c r="C101" s="61"/>
      <c r="D101" s="61"/>
      <c r="E101" s="61"/>
      <c r="F101" s="61"/>
      <c r="G101" s="61"/>
      <c r="H101" s="91"/>
      <c r="I101" s="68"/>
      <c r="J101" s="68"/>
      <c r="K101" s="68"/>
      <c r="L101" s="61"/>
      <c r="M101" s="61"/>
      <c r="N101" s="61"/>
      <c r="O101" s="61"/>
      <c r="P101" s="61"/>
      <c r="Q101" s="61"/>
      <c r="R101" s="61"/>
      <c r="S101" s="61"/>
    </row>
    <row r="102" spans="1:19" ht="15">
      <c r="A102" s="68"/>
      <c r="B102" s="61"/>
      <c r="C102" s="61"/>
      <c r="D102" s="61"/>
      <c r="E102" s="61"/>
      <c r="F102" s="61"/>
      <c r="G102" s="61"/>
      <c r="H102" s="91"/>
      <c r="I102" s="68"/>
      <c r="J102" s="68"/>
      <c r="K102" s="68"/>
      <c r="L102" s="61"/>
      <c r="M102" s="61"/>
      <c r="N102" s="61"/>
      <c r="O102" s="61"/>
      <c r="P102" s="61"/>
      <c r="Q102" s="61"/>
      <c r="R102" s="61"/>
      <c r="S102" s="61"/>
    </row>
    <row r="103" spans="1:19" ht="15">
      <c r="A103" s="68"/>
      <c r="B103" s="61"/>
      <c r="C103" s="61"/>
      <c r="D103" s="61"/>
      <c r="E103" s="61"/>
      <c r="F103" s="61"/>
      <c r="G103" s="61"/>
      <c r="H103" s="91"/>
      <c r="I103" s="68"/>
      <c r="J103" s="68"/>
      <c r="K103" s="68"/>
      <c r="L103" s="61"/>
      <c r="M103" s="61"/>
      <c r="N103" s="61"/>
      <c r="O103" s="61"/>
      <c r="P103" s="61"/>
      <c r="Q103" s="61"/>
      <c r="R103" s="61"/>
      <c r="S103" s="61"/>
    </row>
    <row r="104" spans="1:19" ht="15">
      <c r="A104" s="68"/>
      <c r="B104" s="61"/>
      <c r="C104" s="61"/>
      <c r="D104" s="61"/>
      <c r="E104" s="61"/>
      <c r="F104" s="61"/>
      <c r="G104" s="61"/>
      <c r="H104" s="91"/>
      <c r="I104" s="68"/>
      <c r="J104" s="68"/>
      <c r="K104" s="68"/>
      <c r="L104" s="61"/>
      <c r="M104" s="61"/>
      <c r="N104" s="61"/>
      <c r="O104" s="61"/>
      <c r="P104" s="61"/>
      <c r="Q104" s="61"/>
      <c r="R104" s="61"/>
      <c r="S104" s="61"/>
    </row>
    <row r="105" spans="1:19" ht="15">
      <c r="A105" s="68"/>
      <c r="B105" s="61"/>
      <c r="C105" s="61"/>
      <c r="D105" s="61"/>
      <c r="E105" s="61"/>
      <c r="F105" s="61"/>
      <c r="G105" s="61"/>
      <c r="H105" s="91"/>
      <c r="I105" s="68"/>
      <c r="J105" s="68"/>
      <c r="K105" s="68"/>
      <c r="L105" s="61"/>
      <c r="M105" s="61"/>
      <c r="N105" s="61"/>
      <c r="O105" s="61"/>
      <c r="P105" s="61"/>
      <c r="Q105" s="61"/>
      <c r="R105" s="61"/>
      <c r="S105" s="61"/>
    </row>
    <row r="106" spans="1:19" ht="15">
      <c r="A106" s="68"/>
      <c r="B106" s="61"/>
      <c r="C106" s="61"/>
      <c r="D106" s="61"/>
      <c r="E106" s="61"/>
      <c r="F106" s="61"/>
      <c r="G106" s="61"/>
      <c r="H106" s="91"/>
      <c r="I106" s="68"/>
      <c r="J106" s="68"/>
      <c r="K106" s="68"/>
      <c r="L106" s="61"/>
      <c r="M106" s="61"/>
      <c r="N106" s="61"/>
      <c r="O106" s="61"/>
      <c r="P106" s="61"/>
      <c r="Q106" s="61"/>
      <c r="R106" s="61"/>
      <c r="S106" s="61"/>
    </row>
    <row r="107" spans="1:19" ht="15">
      <c r="A107" s="68"/>
      <c r="B107" s="61"/>
      <c r="C107" s="61"/>
      <c r="D107" s="61"/>
      <c r="E107" s="61"/>
      <c r="F107" s="61"/>
      <c r="G107" s="61"/>
      <c r="H107" s="91"/>
      <c r="I107" s="68"/>
      <c r="J107" s="68"/>
      <c r="K107" s="68"/>
      <c r="L107" s="61"/>
      <c r="M107" s="61"/>
      <c r="N107" s="61"/>
      <c r="O107" s="61"/>
      <c r="P107" s="61"/>
      <c r="Q107" s="61"/>
      <c r="R107" s="61"/>
      <c r="S107" s="61"/>
    </row>
    <row r="108" spans="1:19" ht="15">
      <c r="A108" s="68"/>
      <c r="B108" s="61"/>
      <c r="C108" s="61"/>
      <c r="D108" s="61"/>
      <c r="E108" s="61"/>
      <c r="F108" s="61"/>
      <c r="G108" s="61"/>
      <c r="H108" s="91"/>
      <c r="I108" s="68"/>
      <c r="J108" s="68"/>
      <c r="K108" s="68"/>
      <c r="L108" s="61"/>
      <c r="M108" s="61"/>
      <c r="N108" s="61"/>
      <c r="O108" s="61"/>
      <c r="P108" s="61"/>
      <c r="Q108" s="61"/>
      <c r="R108" s="61"/>
      <c r="S108" s="61"/>
    </row>
    <row r="109" spans="1:19" ht="15">
      <c r="A109" s="68"/>
      <c r="B109" s="61"/>
      <c r="C109" s="61"/>
      <c r="D109" s="61"/>
      <c r="E109" s="61"/>
      <c r="F109" s="61"/>
      <c r="G109" s="61"/>
      <c r="H109" s="91"/>
      <c r="I109" s="68"/>
      <c r="J109" s="68"/>
      <c r="K109" s="68"/>
      <c r="L109" s="61"/>
      <c r="M109" s="61"/>
      <c r="N109" s="61"/>
      <c r="O109" s="61"/>
      <c r="P109" s="61"/>
      <c r="Q109" s="61"/>
      <c r="R109" s="61"/>
      <c r="S109" s="61"/>
    </row>
    <row r="110" spans="1:19" ht="15">
      <c r="A110" s="68"/>
      <c r="B110" s="61"/>
      <c r="C110" s="61"/>
      <c r="D110" s="61"/>
      <c r="E110" s="61"/>
      <c r="F110" s="61"/>
      <c r="G110" s="61"/>
      <c r="H110" s="91"/>
      <c r="I110" s="68"/>
      <c r="J110" s="68"/>
      <c r="K110" s="68"/>
      <c r="L110" s="61"/>
      <c r="M110" s="61"/>
      <c r="N110" s="61"/>
      <c r="O110" s="61"/>
      <c r="P110" s="61"/>
      <c r="Q110" s="61"/>
      <c r="R110" s="61"/>
      <c r="S110" s="61"/>
    </row>
    <row r="111" spans="1:19" ht="15">
      <c r="A111" s="68"/>
      <c r="B111" s="61"/>
      <c r="C111" s="61"/>
      <c r="D111" s="61"/>
      <c r="E111" s="61"/>
      <c r="F111" s="61"/>
      <c r="G111" s="61"/>
      <c r="H111" s="91"/>
      <c r="I111" s="68"/>
      <c r="J111" s="68"/>
      <c r="K111" s="68"/>
      <c r="L111" s="61"/>
      <c r="M111" s="61"/>
      <c r="N111" s="61"/>
      <c r="O111" s="61"/>
      <c r="P111" s="61"/>
      <c r="Q111" s="61"/>
      <c r="R111" s="61"/>
      <c r="S111" s="61"/>
    </row>
    <row r="112" spans="1:19" ht="15">
      <c r="A112" s="68"/>
      <c r="B112" s="61"/>
      <c r="C112" s="61"/>
      <c r="D112" s="61"/>
      <c r="E112" s="61"/>
      <c r="F112" s="61"/>
      <c r="G112" s="61"/>
      <c r="H112" s="91"/>
      <c r="I112" s="68"/>
      <c r="J112" s="68"/>
      <c r="K112" s="68"/>
      <c r="L112" s="61"/>
      <c r="M112" s="61"/>
      <c r="N112" s="61"/>
      <c r="O112" s="61"/>
      <c r="P112" s="61"/>
      <c r="Q112" s="61"/>
      <c r="R112" s="61"/>
      <c r="S112" s="61"/>
    </row>
    <row r="113" spans="1:19" ht="15">
      <c r="A113" s="68"/>
      <c r="B113" s="61"/>
      <c r="C113" s="61"/>
      <c r="D113" s="61"/>
      <c r="E113" s="61"/>
      <c r="F113" s="61"/>
      <c r="G113" s="61"/>
      <c r="H113" s="91"/>
      <c r="I113" s="68"/>
      <c r="J113" s="68"/>
      <c r="K113" s="68"/>
      <c r="L113" s="61"/>
      <c r="M113" s="61"/>
      <c r="N113" s="61"/>
      <c r="O113" s="61"/>
      <c r="P113" s="61"/>
      <c r="Q113" s="61"/>
      <c r="R113" s="61"/>
      <c r="S113" s="61"/>
    </row>
    <row r="114" spans="1:19" ht="15">
      <c r="A114" s="68"/>
      <c r="B114" s="61"/>
      <c r="C114" s="61"/>
      <c r="D114" s="61"/>
      <c r="E114" s="61"/>
      <c r="F114" s="61"/>
      <c r="G114" s="61"/>
      <c r="H114" s="91"/>
      <c r="I114" s="68"/>
      <c r="J114" s="68"/>
      <c r="K114" s="68"/>
      <c r="L114" s="61"/>
      <c r="M114" s="61"/>
      <c r="N114" s="61"/>
      <c r="O114" s="61"/>
      <c r="P114" s="61"/>
      <c r="Q114" s="61"/>
      <c r="R114" s="61"/>
      <c r="S114" s="61"/>
    </row>
    <row r="115" spans="1:19" ht="15">
      <c r="A115" s="68"/>
      <c r="B115" s="61"/>
      <c r="C115" s="61"/>
      <c r="D115" s="61"/>
      <c r="E115" s="61"/>
      <c r="F115" s="61"/>
      <c r="G115" s="61"/>
      <c r="H115" s="91"/>
      <c r="I115" s="68"/>
      <c r="J115" s="68"/>
      <c r="K115" s="68"/>
      <c r="L115" s="61"/>
      <c r="M115" s="61"/>
      <c r="N115" s="61"/>
      <c r="O115" s="61"/>
      <c r="P115" s="61"/>
      <c r="Q115" s="61"/>
      <c r="R115" s="61"/>
      <c r="S115" s="61"/>
    </row>
    <row r="116" spans="1:19" ht="15">
      <c r="A116" s="68"/>
      <c r="B116" s="61"/>
      <c r="C116" s="61"/>
      <c r="D116" s="61"/>
      <c r="E116" s="61"/>
      <c r="F116" s="61"/>
      <c r="G116" s="61"/>
      <c r="H116" s="91"/>
      <c r="I116" s="68"/>
      <c r="J116" s="68"/>
      <c r="K116" s="68"/>
      <c r="L116" s="61"/>
      <c r="M116" s="61"/>
      <c r="N116" s="61"/>
      <c r="O116" s="61"/>
      <c r="P116" s="61"/>
      <c r="Q116" s="61"/>
      <c r="R116" s="61"/>
      <c r="S116" s="61"/>
    </row>
    <row r="117" spans="1:19" ht="15">
      <c r="A117" s="68"/>
      <c r="B117" s="61"/>
      <c r="C117" s="61"/>
      <c r="D117" s="61"/>
      <c r="E117" s="61"/>
      <c r="F117" s="61"/>
      <c r="G117" s="61"/>
      <c r="H117" s="91"/>
      <c r="I117" s="68"/>
      <c r="J117" s="68"/>
      <c r="K117" s="68"/>
      <c r="L117" s="61"/>
      <c r="M117" s="61"/>
      <c r="N117" s="61"/>
      <c r="O117" s="61"/>
      <c r="P117" s="61"/>
      <c r="Q117" s="61"/>
      <c r="R117" s="61"/>
      <c r="S117" s="61"/>
    </row>
    <row r="118" spans="1:19" ht="15">
      <c r="A118" s="68"/>
      <c r="B118" s="61"/>
      <c r="C118" s="61"/>
      <c r="D118" s="61"/>
      <c r="E118" s="61"/>
      <c r="F118" s="61"/>
      <c r="G118" s="61"/>
      <c r="H118" s="91"/>
      <c r="I118" s="68"/>
      <c r="J118" s="68"/>
      <c r="K118" s="68"/>
      <c r="L118" s="61"/>
      <c r="M118" s="61"/>
      <c r="N118" s="61"/>
      <c r="O118" s="61"/>
      <c r="P118" s="61"/>
      <c r="Q118" s="61"/>
      <c r="R118" s="61"/>
      <c r="S118" s="61"/>
    </row>
    <row r="119" spans="1:19" ht="15">
      <c r="A119" s="68"/>
      <c r="B119" s="61"/>
      <c r="C119" s="61"/>
      <c r="D119" s="61"/>
      <c r="E119" s="61"/>
      <c r="F119" s="61"/>
      <c r="G119" s="61"/>
      <c r="H119" s="91"/>
      <c r="I119" s="68"/>
      <c r="J119" s="68"/>
      <c r="K119" s="68"/>
      <c r="L119" s="61"/>
      <c r="M119" s="61"/>
      <c r="N119" s="61"/>
      <c r="O119" s="61"/>
      <c r="P119" s="61"/>
      <c r="Q119" s="61"/>
      <c r="R119" s="61"/>
      <c r="S119" s="61"/>
    </row>
    <row r="120" spans="1:19" ht="15">
      <c r="A120" s="68"/>
      <c r="B120" s="61"/>
      <c r="C120" s="61"/>
      <c r="D120" s="61"/>
      <c r="E120" s="61"/>
      <c r="F120" s="61"/>
      <c r="G120" s="61"/>
      <c r="H120" s="91"/>
      <c r="I120" s="68"/>
      <c r="J120" s="68"/>
      <c r="K120" s="68"/>
      <c r="L120" s="61"/>
      <c r="M120" s="61"/>
      <c r="N120" s="61"/>
      <c r="O120" s="61"/>
      <c r="P120" s="61"/>
      <c r="Q120" s="61"/>
      <c r="R120" s="61"/>
      <c r="S120" s="61"/>
    </row>
    <row r="121" spans="1:19" ht="15">
      <c r="A121" s="68"/>
      <c r="B121" s="61"/>
      <c r="C121" s="61"/>
      <c r="D121" s="61"/>
      <c r="E121" s="61"/>
      <c r="F121" s="61"/>
      <c r="G121" s="61"/>
      <c r="H121" s="91"/>
      <c r="I121" s="68"/>
      <c r="J121" s="68"/>
      <c r="K121" s="68"/>
      <c r="L121" s="61"/>
      <c r="M121" s="61"/>
      <c r="N121" s="61"/>
      <c r="O121" s="61"/>
      <c r="P121" s="61"/>
      <c r="Q121" s="61"/>
      <c r="R121" s="61"/>
      <c r="S121" s="61"/>
    </row>
    <row r="122" spans="1:19" ht="15">
      <c r="A122" s="68"/>
      <c r="B122" s="61"/>
      <c r="C122" s="61"/>
      <c r="D122" s="61"/>
      <c r="E122" s="61"/>
      <c r="F122" s="61"/>
      <c r="G122" s="61"/>
      <c r="H122" s="91"/>
      <c r="I122" s="68"/>
      <c r="J122" s="68"/>
      <c r="K122" s="68"/>
      <c r="L122" s="61"/>
      <c r="M122" s="61"/>
      <c r="N122" s="61"/>
      <c r="O122" s="61"/>
      <c r="P122" s="61"/>
      <c r="Q122" s="61"/>
      <c r="R122" s="61"/>
      <c r="S122" s="61"/>
    </row>
    <row r="123" spans="1:19" ht="15">
      <c r="A123" s="68"/>
      <c r="B123" s="61"/>
      <c r="C123" s="61"/>
      <c r="D123" s="61"/>
      <c r="E123" s="61"/>
      <c r="F123" s="61"/>
      <c r="G123" s="61"/>
      <c r="H123" s="91"/>
      <c r="I123" s="68"/>
      <c r="J123" s="68"/>
      <c r="K123" s="68"/>
      <c r="L123" s="61"/>
      <c r="M123" s="61"/>
      <c r="N123" s="61"/>
      <c r="O123" s="61"/>
      <c r="P123" s="61"/>
      <c r="Q123" s="61"/>
      <c r="R123" s="61"/>
      <c r="S123" s="61"/>
    </row>
    <row r="124" spans="1:19" ht="15">
      <c r="A124" s="68"/>
      <c r="B124" s="61"/>
      <c r="C124" s="61"/>
      <c r="D124" s="61"/>
      <c r="E124" s="61"/>
      <c r="F124" s="61"/>
      <c r="G124" s="61"/>
      <c r="H124" s="91"/>
      <c r="I124" s="68"/>
      <c r="J124" s="68"/>
      <c r="K124" s="68"/>
      <c r="L124" s="61"/>
      <c r="M124" s="61"/>
      <c r="N124" s="61"/>
      <c r="O124" s="61"/>
      <c r="P124" s="61"/>
      <c r="Q124" s="61"/>
      <c r="R124" s="61"/>
      <c r="S124" s="61"/>
    </row>
    <row r="125" spans="1:19" ht="15">
      <c r="A125" s="68"/>
      <c r="B125" s="61"/>
      <c r="C125" s="61"/>
      <c r="D125" s="61"/>
      <c r="E125" s="61"/>
      <c r="F125" s="61"/>
      <c r="G125" s="61"/>
      <c r="H125" s="91"/>
      <c r="I125" s="68"/>
      <c r="J125" s="68"/>
      <c r="K125" s="68"/>
      <c r="L125" s="61"/>
      <c r="M125" s="61"/>
      <c r="N125" s="61"/>
      <c r="O125" s="61"/>
      <c r="P125" s="61"/>
      <c r="Q125" s="61"/>
      <c r="R125" s="61"/>
      <c r="S125" s="61"/>
    </row>
    <row r="126" spans="1:19" ht="15">
      <c r="A126" s="68"/>
      <c r="B126" s="61"/>
      <c r="C126" s="61"/>
      <c r="D126" s="61"/>
      <c r="E126" s="61"/>
      <c r="F126" s="61"/>
      <c r="G126" s="61"/>
      <c r="H126" s="91"/>
      <c r="I126" s="68"/>
      <c r="J126" s="68"/>
      <c r="K126" s="68"/>
      <c r="L126" s="61"/>
      <c r="M126" s="61"/>
      <c r="N126" s="61"/>
      <c r="O126" s="61"/>
      <c r="P126" s="61"/>
      <c r="Q126" s="61"/>
      <c r="R126" s="61"/>
      <c r="S126" s="61"/>
    </row>
    <row r="127" spans="1:19" ht="15">
      <c r="A127" s="68"/>
      <c r="B127" s="61"/>
      <c r="C127" s="61"/>
      <c r="D127" s="61"/>
      <c r="E127" s="61"/>
      <c r="F127" s="61"/>
      <c r="G127" s="61"/>
      <c r="H127" s="91"/>
      <c r="I127" s="68"/>
      <c r="J127" s="68"/>
      <c r="K127" s="68"/>
      <c r="L127" s="61"/>
      <c r="M127" s="61"/>
      <c r="N127" s="61"/>
      <c r="O127" s="61"/>
      <c r="P127" s="61"/>
      <c r="Q127" s="61"/>
      <c r="R127" s="61"/>
      <c r="S127" s="61"/>
    </row>
    <row r="128" spans="1:19" ht="15">
      <c r="A128" s="68"/>
      <c r="B128" s="61"/>
      <c r="C128" s="61"/>
      <c r="D128" s="61"/>
      <c r="E128" s="61"/>
      <c r="F128" s="61"/>
      <c r="G128" s="61"/>
      <c r="H128" s="91"/>
      <c r="I128" s="68"/>
      <c r="J128" s="68"/>
      <c r="K128" s="68"/>
      <c r="L128" s="61"/>
      <c r="M128" s="61"/>
      <c r="N128" s="61"/>
      <c r="O128" s="61"/>
      <c r="P128" s="61"/>
      <c r="Q128" s="61"/>
      <c r="R128" s="61"/>
      <c r="S128" s="61"/>
    </row>
    <row r="129" spans="1:19" ht="15">
      <c r="A129" s="68"/>
      <c r="B129" s="61"/>
      <c r="C129" s="61"/>
      <c r="D129" s="61"/>
      <c r="E129" s="61"/>
      <c r="F129" s="61"/>
      <c r="G129" s="61"/>
      <c r="H129" s="91"/>
      <c r="I129" s="68"/>
      <c r="J129" s="68"/>
      <c r="K129" s="68"/>
      <c r="L129" s="61"/>
      <c r="M129" s="61"/>
      <c r="N129" s="61"/>
      <c r="O129" s="61"/>
      <c r="P129" s="61"/>
      <c r="Q129" s="61"/>
      <c r="R129" s="61"/>
      <c r="S129" s="61"/>
    </row>
    <row r="130" spans="1:19" ht="15">
      <c r="A130" s="68"/>
      <c r="B130" s="61"/>
      <c r="C130" s="61"/>
      <c r="D130" s="61"/>
      <c r="E130" s="61"/>
      <c r="F130" s="61"/>
      <c r="G130" s="61"/>
      <c r="H130" s="91"/>
      <c r="I130" s="68"/>
      <c r="J130" s="68"/>
      <c r="K130" s="68"/>
      <c r="L130" s="61"/>
      <c r="M130" s="61"/>
      <c r="N130" s="61"/>
      <c r="O130" s="61"/>
      <c r="P130" s="61"/>
      <c r="Q130" s="61"/>
      <c r="R130" s="61"/>
      <c r="S130" s="61"/>
    </row>
    <row r="131" spans="1:19" ht="15">
      <c r="A131" s="68"/>
      <c r="B131" s="61"/>
      <c r="C131" s="61"/>
      <c r="D131" s="61"/>
      <c r="E131" s="61"/>
      <c r="F131" s="61"/>
      <c r="G131" s="61"/>
      <c r="H131" s="91"/>
      <c r="I131" s="68"/>
      <c r="J131" s="68"/>
      <c r="K131" s="68"/>
      <c r="L131" s="61"/>
      <c r="M131" s="61"/>
      <c r="N131" s="61"/>
      <c r="O131" s="61"/>
      <c r="P131" s="61"/>
      <c r="Q131" s="61"/>
      <c r="R131" s="61"/>
      <c r="S131" s="61"/>
    </row>
    <row r="132" spans="1:19" ht="15">
      <c r="A132" s="68"/>
      <c r="B132" s="61"/>
      <c r="C132" s="61"/>
      <c r="D132" s="61"/>
      <c r="E132" s="61"/>
      <c r="F132" s="61"/>
      <c r="G132" s="61"/>
      <c r="H132" s="91"/>
      <c r="I132" s="68"/>
      <c r="J132" s="68"/>
      <c r="K132" s="68"/>
      <c r="L132" s="61"/>
      <c r="M132" s="61"/>
      <c r="N132" s="61"/>
      <c r="O132" s="61"/>
      <c r="P132" s="61"/>
      <c r="Q132" s="61"/>
      <c r="R132" s="61"/>
      <c r="S132" s="61"/>
    </row>
    <row r="133" spans="1:19" ht="15">
      <c r="A133" s="68"/>
      <c r="B133" s="61"/>
      <c r="C133" s="61"/>
      <c r="D133" s="61"/>
      <c r="E133" s="61"/>
      <c r="F133" s="61"/>
      <c r="G133" s="61"/>
      <c r="H133" s="91"/>
      <c r="I133" s="68"/>
      <c r="J133" s="68"/>
      <c r="K133" s="68"/>
      <c r="L133" s="61"/>
      <c r="M133" s="61"/>
      <c r="N133" s="61"/>
      <c r="O133" s="61"/>
      <c r="P133" s="61"/>
      <c r="Q133" s="61"/>
      <c r="R133" s="61"/>
      <c r="S133" s="61"/>
    </row>
    <row r="134" spans="1:19" ht="15">
      <c r="A134" s="68"/>
      <c r="B134" s="61"/>
      <c r="C134" s="61"/>
      <c r="D134" s="61"/>
      <c r="E134" s="61"/>
      <c r="F134" s="61"/>
      <c r="G134" s="61"/>
      <c r="H134" s="91"/>
      <c r="I134" s="68"/>
      <c r="J134" s="68"/>
      <c r="K134" s="68"/>
      <c r="L134" s="61"/>
      <c r="M134" s="61"/>
      <c r="N134" s="61"/>
      <c r="O134" s="61"/>
      <c r="P134" s="61"/>
      <c r="Q134" s="61"/>
      <c r="R134" s="61"/>
      <c r="S134" s="61"/>
    </row>
    <row r="135" spans="1:19" ht="15">
      <c r="A135" s="68"/>
      <c r="B135" s="61"/>
      <c r="C135" s="61"/>
      <c r="D135" s="61"/>
      <c r="E135" s="61"/>
      <c r="F135" s="61"/>
      <c r="G135" s="61"/>
      <c r="H135" s="91"/>
      <c r="I135" s="68"/>
      <c r="J135" s="68"/>
      <c r="K135" s="68"/>
      <c r="L135" s="61"/>
      <c r="M135" s="61"/>
      <c r="N135" s="61"/>
      <c r="O135" s="61"/>
      <c r="P135" s="61"/>
      <c r="Q135" s="61"/>
      <c r="R135" s="61"/>
      <c r="S135" s="61"/>
    </row>
    <row r="136" spans="1:19" ht="15">
      <c r="A136" s="68"/>
      <c r="B136" s="61"/>
      <c r="C136" s="61"/>
      <c r="D136" s="61"/>
      <c r="E136" s="61"/>
      <c r="F136" s="61"/>
      <c r="G136" s="61"/>
      <c r="H136" s="91"/>
      <c r="I136" s="68"/>
      <c r="J136" s="68"/>
      <c r="K136" s="68"/>
      <c r="L136" s="61"/>
      <c r="M136" s="61"/>
      <c r="N136" s="61"/>
      <c r="O136" s="61"/>
      <c r="P136" s="61"/>
      <c r="Q136" s="61"/>
      <c r="R136" s="61"/>
      <c r="S136" s="61"/>
    </row>
    <row r="137" spans="1:19" ht="15">
      <c r="A137" s="68"/>
      <c r="B137" s="61"/>
      <c r="C137" s="61"/>
      <c r="D137" s="61"/>
      <c r="E137" s="61"/>
      <c r="F137" s="61"/>
      <c r="G137" s="61"/>
      <c r="H137" s="91"/>
      <c r="I137" s="68"/>
      <c r="J137" s="68"/>
      <c r="K137" s="68"/>
      <c r="L137" s="61"/>
      <c r="M137" s="61"/>
      <c r="N137" s="61"/>
      <c r="O137" s="61"/>
      <c r="P137" s="61"/>
      <c r="Q137" s="61"/>
      <c r="R137" s="61"/>
      <c r="S137" s="61"/>
    </row>
    <row r="138" spans="1:19" ht="15">
      <c r="A138" s="68"/>
      <c r="B138" s="61"/>
      <c r="C138" s="61"/>
      <c r="D138" s="61"/>
      <c r="E138" s="61"/>
      <c r="F138" s="61"/>
      <c r="G138" s="61"/>
      <c r="H138" s="91"/>
      <c r="I138" s="68"/>
      <c r="J138" s="68"/>
      <c r="K138" s="68"/>
      <c r="L138" s="61"/>
      <c r="M138" s="61"/>
      <c r="N138" s="61"/>
      <c r="O138" s="61"/>
      <c r="P138" s="61"/>
      <c r="Q138" s="61"/>
      <c r="R138" s="61"/>
      <c r="S138" s="61"/>
    </row>
    <row r="139" spans="1:19" ht="15">
      <c r="A139" s="68"/>
      <c r="B139" s="61"/>
      <c r="C139" s="61"/>
      <c r="D139" s="61"/>
      <c r="E139" s="61"/>
      <c r="F139" s="61"/>
      <c r="G139" s="61"/>
      <c r="H139" s="91"/>
      <c r="I139" s="68"/>
      <c r="J139" s="68"/>
      <c r="K139" s="68"/>
      <c r="L139" s="61"/>
      <c r="M139" s="61"/>
      <c r="N139" s="61"/>
      <c r="O139" s="61"/>
      <c r="P139" s="61"/>
      <c r="Q139" s="61"/>
      <c r="R139" s="61"/>
      <c r="S139" s="61"/>
    </row>
    <row r="140" spans="1:19" ht="15">
      <c r="A140" s="68"/>
      <c r="B140" s="61"/>
      <c r="C140" s="61"/>
      <c r="D140" s="61"/>
      <c r="E140" s="61"/>
      <c r="F140" s="61"/>
      <c r="G140" s="61"/>
      <c r="H140" s="91"/>
      <c r="I140" s="68"/>
      <c r="J140" s="68"/>
      <c r="K140" s="68"/>
      <c r="L140" s="61"/>
      <c r="M140" s="61"/>
      <c r="N140" s="61"/>
      <c r="O140" s="61"/>
      <c r="P140" s="61"/>
      <c r="Q140" s="61"/>
      <c r="R140" s="61"/>
      <c r="S140" s="61"/>
    </row>
    <row r="141" spans="1:19" ht="15">
      <c r="A141" s="68"/>
      <c r="B141" s="61"/>
      <c r="C141" s="61"/>
      <c r="D141" s="61"/>
      <c r="E141" s="61"/>
      <c r="F141" s="61"/>
      <c r="G141" s="61"/>
      <c r="H141" s="91"/>
      <c r="I141" s="68"/>
      <c r="J141" s="68"/>
      <c r="K141" s="68"/>
      <c r="L141" s="61"/>
      <c r="M141" s="61"/>
      <c r="N141" s="61"/>
      <c r="O141" s="61"/>
      <c r="P141" s="61"/>
      <c r="Q141" s="61"/>
      <c r="R141" s="61"/>
      <c r="S141" s="61"/>
    </row>
    <row r="142" spans="1:19" ht="15">
      <c r="A142" s="68"/>
      <c r="B142" s="61"/>
      <c r="C142" s="61"/>
      <c r="D142" s="61"/>
      <c r="E142" s="61"/>
      <c r="F142" s="61"/>
      <c r="G142" s="61"/>
      <c r="H142" s="91"/>
      <c r="I142" s="68"/>
      <c r="J142" s="68"/>
      <c r="K142" s="68"/>
      <c r="L142" s="61"/>
      <c r="M142" s="61"/>
      <c r="N142" s="61"/>
      <c r="O142" s="61"/>
      <c r="P142" s="61"/>
      <c r="Q142" s="61"/>
      <c r="R142" s="61"/>
      <c r="S142" s="61"/>
    </row>
    <row r="143" spans="1:19" ht="15">
      <c r="A143" s="68"/>
      <c r="B143" s="61"/>
      <c r="C143" s="61"/>
      <c r="D143" s="61"/>
      <c r="E143" s="61"/>
      <c r="F143" s="61"/>
      <c r="G143" s="61"/>
      <c r="H143" s="91"/>
      <c r="I143" s="68"/>
      <c r="J143" s="68"/>
      <c r="K143" s="68"/>
      <c r="L143" s="61"/>
      <c r="M143" s="61"/>
      <c r="N143" s="61"/>
      <c r="O143" s="61"/>
      <c r="P143" s="61"/>
      <c r="Q143" s="61"/>
      <c r="R143" s="61"/>
      <c r="S143" s="61"/>
    </row>
    <row r="144" spans="1:19" ht="15">
      <c r="A144" s="68"/>
      <c r="B144" s="61"/>
      <c r="C144" s="61"/>
      <c r="D144" s="61"/>
      <c r="E144" s="61"/>
      <c r="F144" s="61"/>
      <c r="G144" s="61"/>
      <c r="H144" s="91"/>
      <c r="I144" s="68"/>
      <c r="J144" s="68"/>
      <c r="K144" s="68"/>
      <c r="L144" s="61"/>
      <c r="M144" s="61"/>
      <c r="N144" s="61"/>
      <c r="O144" s="61"/>
      <c r="P144" s="61"/>
      <c r="Q144" s="61"/>
      <c r="R144" s="61"/>
      <c r="S144" s="61"/>
    </row>
    <row r="145" spans="1:19" ht="15">
      <c r="A145" s="68"/>
      <c r="B145" s="61"/>
      <c r="C145" s="61"/>
      <c r="D145" s="61"/>
      <c r="E145" s="61"/>
      <c r="F145" s="61"/>
      <c r="G145" s="61"/>
      <c r="H145" s="91"/>
      <c r="I145" s="68"/>
      <c r="J145" s="68"/>
      <c r="K145" s="68"/>
      <c r="L145" s="61"/>
      <c r="M145" s="61"/>
      <c r="N145" s="61"/>
      <c r="O145" s="61"/>
      <c r="P145" s="61"/>
      <c r="Q145" s="61"/>
      <c r="R145" s="61"/>
      <c r="S145" s="61"/>
    </row>
    <row r="146" spans="1:19" ht="15">
      <c r="A146" s="68"/>
      <c r="B146" s="61"/>
      <c r="C146" s="61"/>
      <c r="D146" s="61"/>
      <c r="E146" s="61"/>
      <c r="F146" s="61"/>
      <c r="G146" s="61"/>
      <c r="H146" s="91"/>
      <c r="I146" s="68"/>
      <c r="J146" s="68"/>
      <c r="K146" s="68"/>
      <c r="L146" s="61"/>
      <c r="M146" s="61"/>
      <c r="N146" s="61"/>
      <c r="O146" s="61"/>
      <c r="P146" s="61"/>
      <c r="Q146" s="61"/>
      <c r="R146" s="61"/>
      <c r="S146" s="61"/>
    </row>
    <row r="147" spans="1:19" ht="15">
      <c r="A147" s="68"/>
      <c r="B147" s="61"/>
      <c r="C147" s="61"/>
      <c r="D147" s="61"/>
      <c r="E147" s="61"/>
      <c r="F147" s="61"/>
      <c r="G147" s="61"/>
      <c r="H147" s="91"/>
      <c r="I147" s="68"/>
      <c r="J147" s="68"/>
      <c r="K147" s="68"/>
      <c r="L147" s="61"/>
      <c r="M147" s="61"/>
      <c r="N147" s="61"/>
      <c r="O147" s="61"/>
      <c r="P147" s="61"/>
      <c r="Q147" s="61"/>
      <c r="R147" s="61"/>
      <c r="S147" s="61"/>
    </row>
    <row r="148" spans="1:19" ht="15">
      <c r="A148" s="68"/>
      <c r="B148" s="61"/>
      <c r="C148" s="61"/>
      <c r="D148" s="61"/>
      <c r="E148" s="61"/>
      <c r="F148" s="61"/>
      <c r="G148" s="61"/>
      <c r="H148" s="91"/>
      <c r="I148" s="68"/>
      <c r="J148" s="68"/>
      <c r="K148" s="68"/>
      <c r="L148" s="61"/>
      <c r="M148" s="61"/>
      <c r="N148" s="61"/>
      <c r="O148" s="61"/>
      <c r="P148" s="61"/>
      <c r="Q148" s="61"/>
      <c r="R148" s="61"/>
      <c r="S148" s="61"/>
    </row>
    <row r="149" spans="1:19" ht="15">
      <c r="A149" s="68"/>
      <c r="B149" s="61"/>
      <c r="C149" s="61"/>
      <c r="D149" s="61"/>
      <c r="E149" s="61"/>
      <c r="F149" s="61"/>
      <c r="G149" s="61"/>
      <c r="H149" s="91"/>
      <c r="I149" s="68"/>
      <c r="J149" s="68"/>
      <c r="K149" s="68"/>
      <c r="L149" s="61"/>
      <c r="M149" s="61"/>
      <c r="N149" s="61"/>
      <c r="O149" s="61"/>
      <c r="P149" s="61"/>
      <c r="Q149" s="61"/>
      <c r="R149" s="61"/>
      <c r="S149" s="61"/>
    </row>
    <row r="150" spans="1:19" ht="15">
      <c r="A150" s="68"/>
      <c r="B150" s="61"/>
      <c r="C150" s="61"/>
      <c r="D150" s="61"/>
      <c r="E150" s="61"/>
      <c r="F150" s="61"/>
      <c r="G150" s="61"/>
      <c r="H150" s="91"/>
      <c r="I150" s="68"/>
      <c r="J150" s="68"/>
      <c r="K150" s="68"/>
      <c r="L150" s="61"/>
      <c r="M150" s="61"/>
      <c r="N150" s="61"/>
      <c r="O150" s="61"/>
      <c r="P150" s="61"/>
      <c r="Q150" s="61"/>
      <c r="R150" s="61"/>
      <c r="S150" s="61"/>
    </row>
    <row r="151" spans="1:19" ht="15">
      <c r="A151" s="68"/>
      <c r="B151" s="61"/>
      <c r="C151" s="61"/>
      <c r="D151" s="61"/>
      <c r="E151" s="61"/>
      <c r="F151" s="61"/>
      <c r="G151" s="61"/>
      <c r="H151" s="91"/>
      <c r="I151" s="68"/>
      <c r="J151" s="68"/>
      <c r="K151" s="68"/>
      <c r="L151" s="61"/>
      <c r="M151" s="61"/>
      <c r="N151" s="61"/>
      <c r="O151" s="61"/>
      <c r="P151" s="61"/>
      <c r="Q151" s="61"/>
      <c r="R151" s="61"/>
      <c r="S151" s="61"/>
    </row>
    <row r="152" spans="1:19" ht="15">
      <c r="A152" s="68"/>
      <c r="B152" s="61"/>
      <c r="C152" s="61"/>
      <c r="D152" s="61"/>
      <c r="E152" s="61"/>
      <c r="F152" s="61"/>
      <c r="G152" s="61"/>
      <c r="H152" s="91"/>
      <c r="I152" s="68"/>
      <c r="J152" s="68"/>
      <c r="K152" s="68"/>
      <c r="L152" s="61"/>
      <c r="M152" s="61"/>
      <c r="N152" s="61"/>
      <c r="O152" s="61"/>
      <c r="P152" s="61"/>
      <c r="Q152" s="61"/>
      <c r="R152" s="61"/>
      <c r="S152" s="61"/>
    </row>
    <row r="153" spans="1:19" ht="15">
      <c r="A153" s="68"/>
      <c r="B153" s="61"/>
      <c r="C153" s="61"/>
      <c r="D153" s="61"/>
      <c r="E153" s="61"/>
      <c r="F153" s="61"/>
      <c r="G153" s="61"/>
      <c r="H153" s="91"/>
      <c r="I153" s="68"/>
      <c r="J153" s="68"/>
      <c r="K153" s="68"/>
      <c r="L153" s="61"/>
      <c r="M153" s="61"/>
      <c r="N153" s="61"/>
      <c r="O153" s="61"/>
      <c r="P153" s="61"/>
      <c r="Q153" s="61"/>
      <c r="R153" s="61"/>
      <c r="S153" s="61"/>
    </row>
    <row r="154" spans="1:19" ht="15">
      <c r="A154" s="68"/>
      <c r="B154" s="61"/>
      <c r="C154" s="61"/>
      <c r="D154" s="61"/>
      <c r="E154" s="61"/>
      <c r="F154" s="61"/>
      <c r="G154" s="61"/>
      <c r="H154" s="91"/>
      <c r="I154" s="68"/>
      <c r="J154" s="68"/>
      <c r="K154" s="68"/>
      <c r="L154" s="61"/>
      <c r="M154" s="61"/>
      <c r="N154" s="61"/>
      <c r="O154" s="61"/>
      <c r="P154" s="61"/>
      <c r="Q154" s="61"/>
      <c r="R154" s="61"/>
      <c r="S154" s="61"/>
    </row>
    <row r="155" spans="1:19" ht="15">
      <c r="A155" s="68"/>
      <c r="B155" s="61"/>
      <c r="C155" s="61"/>
      <c r="D155" s="61"/>
      <c r="E155" s="61"/>
      <c r="F155" s="61"/>
      <c r="G155" s="61"/>
      <c r="H155" s="91"/>
      <c r="I155" s="68"/>
      <c r="J155" s="68"/>
      <c r="K155" s="68"/>
      <c r="L155" s="61"/>
      <c r="M155" s="61"/>
      <c r="N155" s="61"/>
      <c r="O155" s="61"/>
      <c r="P155" s="61"/>
      <c r="Q155" s="61"/>
      <c r="R155" s="61"/>
      <c r="S155" s="61"/>
    </row>
    <row r="156" spans="1:19" ht="15">
      <c r="A156" s="68"/>
      <c r="B156" s="61"/>
      <c r="C156" s="61"/>
      <c r="D156" s="61"/>
      <c r="E156" s="61"/>
      <c r="F156" s="61"/>
      <c r="G156" s="61"/>
      <c r="H156" s="91"/>
      <c r="I156" s="68"/>
      <c r="J156" s="68"/>
      <c r="K156" s="68"/>
      <c r="L156" s="61"/>
      <c r="M156" s="61"/>
      <c r="N156" s="61"/>
      <c r="O156" s="61"/>
      <c r="P156" s="61"/>
      <c r="Q156" s="61"/>
      <c r="R156" s="61"/>
      <c r="S156" s="61"/>
    </row>
    <row r="157" spans="1:19" ht="15">
      <c r="A157" s="68"/>
      <c r="B157" s="61"/>
      <c r="C157" s="61"/>
      <c r="D157" s="61"/>
      <c r="E157" s="61"/>
      <c r="F157" s="61"/>
      <c r="G157" s="61"/>
      <c r="H157" s="91"/>
      <c r="I157" s="68"/>
      <c r="J157" s="68"/>
      <c r="K157" s="68"/>
      <c r="L157" s="61"/>
      <c r="M157" s="61"/>
      <c r="N157" s="61"/>
      <c r="O157" s="61"/>
      <c r="P157" s="61"/>
      <c r="Q157" s="61"/>
      <c r="R157" s="61"/>
      <c r="S157" s="61"/>
    </row>
    <row r="158" spans="1:19" ht="15">
      <c r="A158" s="68"/>
      <c r="B158" s="61"/>
      <c r="C158" s="61"/>
      <c r="D158" s="61"/>
      <c r="E158" s="61"/>
      <c r="F158" s="61"/>
      <c r="G158" s="61"/>
      <c r="H158" s="91"/>
      <c r="I158" s="68"/>
      <c r="J158" s="68"/>
      <c r="K158" s="68"/>
      <c r="L158" s="61"/>
      <c r="M158" s="61"/>
      <c r="N158" s="61"/>
      <c r="O158" s="61"/>
      <c r="P158" s="61"/>
      <c r="Q158" s="61"/>
      <c r="R158" s="61"/>
      <c r="S158" s="61"/>
    </row>
    <row r="159" spans="1:19" ht="15">
      <c r="A159" s="68"/>
      <c r="B159" s="61"/>
      <c r="C159" s="61"/>
      <c r="D159" s="61"/>
      <c r="E159" s="61"/>
      <c r="F159" s="61"/>
      <c r="G159" s="61"/>
      <c r="H159" s="91"/>
      <c r="I159" s="68"/>
      <c r="J159" s="68"/>
      <c r="K159" s="68"/>
      <c r="L159" s="61"/>
      <c r="M159" s="61"/>
      <c r="N159" s="61"/>
      <c r="O159" s="61"/>
      <c r="P159" s="61"/>
      <c r="Q159" s="61"/>
      <c r="R159" s="61"/>
      <c r="S159" s="61"/>
    </row>
    <row r="160" spans="1:19" ht="15">
      <c r="A160" s="68"/>
      <c r="B160" s="61"/>
      <c r="C160" s="61"/>
      <c r="D160" s="61"/>
      <c r="E160" s="61"/>
      <c r="F160" s="61"/>
      <c r="G160" s="61"/>
      <c r="H160" s="91"/>
      <c r="I160" s="68"/>
      <c r="J160" s="68"/>
      <c r="K160" s="68"/>
      <c r="L160" s="61"/>
      <c r="M160" s="61"/>
      <c r="N160" s="61"/>
      <c r="O160" s="61"/>
      <c r="P160" s="61"/>
      <c r="Q160" s="61"/>
      <c r="R160" s="61"/>
      <c r="S160" s="61"/>
    </row>
    <row r="161" spans="1:19" ht="15">
      <c r="A161" s="68"/>
      <c r="B161" s="61"/>
      <c r="C161" s="61"/>
      <c r="D161" s="61"/>
      <c r="E161" s="61"/>
      <c r="F161" s="61"/>
      <c r="G161" s="61"/>
      <c r="H161" s="91"/>
      <c r="I161" s="68"/>
      <c r="J161" s="68"/>
      <c r="K161" s="68"/>
      <c r="L161" s="61"/>
      <c r="M161" s="61"/>
      <c r="N161" s="61"/>
      <c r="O161" s="61"/>
      <c r="P161" s="61"/>
      <c r="Q161" s="61"/>
      <c r="R161" s="61"/>
      <c r="S161" s="61"/>
    </row>
    <row r="162" spans="1:19" ht="15">
      <c r="A162" s="68"/>
      <c r="B162" s="61"/>
      <c r="C162" s="61"/>
      <c r="D162" s="61"/>
      <c r="E162" s="61"/>
      <c r="F162" s="61"/>
      <c r="G162" s="61"/>
      <c r="H162" s="91"/>
      <c r="I162" s="68"/>
      <c r="J162" s="68"/>
      <c r="K162" s="68"/>
      <c r="L162" s="61"/>
      <c r="M162" s="61"/>
      <c r="N162" s="61"/>
      <c r="O162" s="61"/>
      <c r="P162" s="61"/>
      <c r="Q162" s="61"/>
      <c r="R162" s="61"/>
      <c r="S162" s="61"/>
    </row>
    <row r="163" spans="1:19" ht="15">
      <c r="A163" s="68"/>
      <c r="B163" s="61"/>
      <c r="C163" s="61"/>
      <c r="D163" s="61"/>
      <c r="E163" s="61"/>
      <c r="F163" s="61"/>
      <c r="G163" s="61"/>
      <c r="H163" s="91"/>
      <c r="I163" s="68"/>
      <c r="J163" s="68"/>
      <c r="K163" s="68"/>
      <c r="L163" s="61"/>
      <c r="M163" s="61"/>
      <c r="N163" s="61"/>
      <c r="O163" s="61"/>
      <c r="P163" s="61"/>
      <c r="Q163" s="61"/>
      <c r="R163" s="61"/>
      <c r="S163" s="61"/>
    </row>
    <row r="164" spans="1:19" ht="15">
      <c r="A164" s="68"/>
      <c r="B164" s="61"/>
      <c r="C164" s="61"/>
      <c r="D164" s="61"/>
      <c r="E164" s="61"/>
      <c r="F164" s="61"/>
      <c r="G164" s="61"/>
      <c r="H164" s="91"/>
      <c r="I164" s="68"/>
      <c r="J164" s="68"/>
      <c r="K164" s="68"/>
      <c r="L164" s="61"/>
      <c r="M164" s="61"/>
      <c r="N164" s="61"/>
      <c r="O164" s="61"/>
      <c r="P164" s="61"/>
      <c r="Q164" s="61"/>
      <c r="R164" s="61"/>
      <c r="S164" s="61"/>
    </row>
    <row r="165" spans="1:19" ht="15">
      <c r="A165" s="68"/>
      <c r="B165" s="61"/>
      <c r="C165" s="61"/>
      <c r="D165" s="61"/>
      <c r="E165" s="61"/>
      <c r="F165" s="61"/>
      <c r="G165" s="61"/>
      <c r="H165" s="91"/>
      <c r="I165" s="68"/>
      <c r="J165" s="68"/>
      <c r="K165" s="68"/>
      <c r="L165" s="61"/>
      <c r="M165" s="61"/>
      <c r="N165" s="61"/>
      <c r="O165" s="61"/>
      <c r="P165" s="61"/>
      <c r="Q165" s="61"/>
      <c r="R165" s="61"/>
      <c r="S165" s="61"/>
    </row>
    <row r="166" spans="1:19" ht="15">
      <c r="A166" s="68"/>
      <c r="B166" s="61"/>
      <c r="C166" s="61"/>
      <c r="D166" s="61"/>
      <c r="E166" s="61"/>
      <c r="F166" s="61"/>
      <c r="G166" s="61"/>
      <c r="H166" s="91"/>
      <c r="I166" s="68"/>
      <c r="J166" s="68"/>
      <c r="K166" s="68"/>
      <c r="L166" s="61"/>
      <c r="M166" s="61"/>
      <c r="N166" s="61"/>
      <c r="O166" s="61"/>
      <c r="P166" s="61"/>
      <c r="Q166" s="61"/>
      <c r="R166" s="61"/>
      <c r="S166" s="61"/>
    </row>
    <row r="167" spans="1:19" ht="15">
      <c r="A167" s="68"/>
      <c r="B167" s="61"/>
      <c r="C167" s="61"/>
      <c r="D167" s="61"/>
      <c r="E167" s="61"/>
      <c r="F167" s="61"/>
      <c r="G167" s="61"/>
      <c r="H167" s="91"/>
      <c r="I167" s="68"/>
      <c r="J167" s="68"/>
      <c r="K167" s="68"/>
      <c r="L167" s="61"/>
      <c r="M167" s="61"/>
      <c r="N167" s="61"/>
      <c r="O167" s="61"/>
      <c r="P167" s="61"/>
      <c r="Q167" s="61"/>
      <c r="R167" s="61"/>
      <c r="S167" s="61"/>
    </row>
    <row r="168" spans="1:19" ht="15">
      <c r="A168" s="68"/>
      <c r="B168" s="61"/>
      <c r="C168" s="61"/>
      <c r="D168" s="61"/>
      <c r="E168" s="61"/>
      <c r="F168" s="61"/>
      <c r="G168" s="61"/>
      <c r="H168" s="91"/>
      <c r="I168" s="68"/>
      <c r="J168" s="68"/>
      <c r="K168" s="68"/>
      <c r="L168" s="61"/>
      <c r="M168" s="61"/>
      <c r="N168" s="61"/>
      <c r="O168" s="61"/>
      <c r="P168" s="61"/>
      <c r="Q168" s="61"/>
      <c r="R168" s="61"/>
      <c r="S168" s="61"/>
    </row>
    <row r="169" spans="1:19" ht="15">
      <c r="A169" s="68"/>
      <c r="B169" s="61"/>
      <c r="C169" s="61"/>
      <c r="D169" s="61"/>
      <c r="E169" s="61"/>
      <c r="F169" s="61"/>
      <c r="G169" s="61"/>
      <c r="H169" s="91"/>
      <c r="I169" s="68"/>
      <c r="J169" s="68"/>
      <c r="K169" s="68"/>
      <c r="L169" s="61"/>
      <c r="M169" s="61"/>
      <c r="N169" s="61"/>
      <c r="O169" s="61"/>
      <c r="P169" s="61"/>
      <c r="Q169" s="61"/>
      <c r="R169" s="61"/>
      <c r="S169" s="61"/>
    </row>
    <row r="170" spans="1:19" ht="15">
      <c r="A170" s="68"/>
      <c r="B170" s="61"/>
      <c r="C170" s="61"/>
      <c r="D170" s="61"/>
      <c r="E170" s="61"/>
      <c r="F170" s="61"/>
      <c r="G170" s="61"/>
      <c r="H170" s="91"/>
      <c r="I170" s="68"/>
      <c r="J170" s="68"/>
      <c r="K170" s="68"/>
      <c r="L170" s="61"/>
      <c r="M170" s="61"/>
      <c r="N170" s="61"/>
      <c r="O170" s="61"/>
      <c r="P170" s="61"/>
      <c r="Q170" s="61"/>
      <c r="R170" s="61"/>
      <c r="S170" s="61"/>
    </row>
    <row r="171" spans="1:19" ht="15">
      <c r="A171" s="68"/>
      <c r="B171" s="61"/>
      <c r="C171" s="61"/>
      <c r="D171" s="61"/>
      <c r="E171" s="61"/>
      <c r="F171" s="61"/>
      <c r="G171" s="61"/>
      <c r="H171" s="91"/>
      <c r="I171" s="68"/>
      <c r="J171" s="68"/>
      <c r="K171" s="68"/>
      <c r="L171" s="61"/>
      <c r="M171" s="61"/>
      <c r="N171" s="61"/>
      <c r="O171" s="61"/>
      <c r="P171" s="61"/>
      <c r="Q171" s="61"/>
      <c r="R171" s="61"/>
      <c r="S171" s="61"/>
    </row>
    <row r="172" spans="1:19" ht="15">
      <c r="A172" s="68"/>
      <c r="B172" s="61"/>
      <c r="C172" s="61"/>
      <c r="D172" s="61"/>
      <c r="E172" s="61"/>
      <c r="F172" s="61"/>
      <c r="G172" s="61"/>
      <c r="H172" s="91"/>
      <c r="I172" s="68"/>
      <c r="J172" s="68"/>
      <c r="K172" s="68"/>
      <c r="L172" s="61"/>
      <c r="M172" s="61"/>
      <c r="N172" s="61"/>
      <c r="O172" s="61"/>
      <c r="P172" s="61"/>
      <c r="Q172" s="61"/>
      <c r="R172" s="61"/>
      <c r="S172" s="61"/>
    </row>
    <row r="173" spans="1:19" ht="15">
      <c r="A173" s="68"/>
      <c r="B173" s="61"/>
      <c r="C173" s="61"/>
      <c r="D173" s="61"/>
      <c r="E173" s="61"/>
      <c r="F173" s="61"/>
      <c r="G173" s="61"/>
      <c r="H173" s="91"/>
      <c r="I173" s="68"/>
      <c r="J173" s="68"/>
      <c r="K173" s="68"/>
      <c r="L173" s="61"/>
      <c r="M173" s="61"/>
      <c r="N173" s="61"/>
      <c r="O173" s="61"/>
      <c r="P173" s="61"/>
      <c r="Q173" s="61"/>
      <c r="R173" s="61"/>
      <c r="S173" s="61"/>
    </row>
    <row r="174" spans="1:19" ht="15">
      <c r="A174" s="68"/>
      <c r="B174" s="61"/>
      <c r="C174" s="61"/>
      <c r="D174" s="61"/>
      <c r="E174" s="61"/>
      <c r="F174" s="61"/>
      <c r="G174" s="61"/>
      <c r="H174" s="91"/>
      <c r="I174" s="68"/>
      <c r="J174" s="68"/>
      <c r="K174" s="68"/>
      <c r="L174" s="61"/>
      <c r="M174" s="61"/>
      <c r="N174" s="61"/>
      <c r="O174" s="61"/>
      <c r="P174" s="61"/>
      <c r="Q174" s="61"/>
      <c r="R174" s="61"/>
      <c r="S174" s="61"/>
    </row>
    <row r="175" spans="1:19" ht="15">
      <c r="A175" s="68"/>
      <c r="B175" s="61"/>
      <c r="C175" s="61"/>
      <c r="D175" s="61"/>
      <c r="E175" s="61"/>
      <c r="F175" s="61"/>
      <c r="G175" s="61"/>
      <c r="H175" s="91"/>
      <c r="I175" s="68"/>
      <c r="J175" s="68"/>
      <c r="K175" s="68"/>
      <c r="L175" s="61"/>
      <c r="M175" s="61"/>
      <c r="N175" s="61"/>
      <c r="O175" s="61"/>
      <c r="P175" s="61"/>
      <c r="Q175" s="61"/>
      <c r="R175" s="61"/>
      <c r="S175" s="61"/>
    </row>
    <row r="176" spans="1:19" ht="15">
      <c r="A176" s="68"/>
      <c r="B176" s="61"/>
      <c r="C176" s="61"/>
      <c r="D176" s="61"/>
      <c r="E176" s="61"/>
      <c r="F176" s="61"/>
      <c r="G176" s="61"/>
      <c r="H176" s="91"/>
      <c r="I176" s="68"/>
      <c r="J176" s="68"/>
      <c r="K176" s="68"/>
      <c r="L176" s="61"/>
      <c r="M176" s="61"/>
      <c r="N176" s="61"/>
      <c r="O176" s="61"/>
      <c r="P176" s="61"/>
      <c r="Q176" s="61"/>
      <c r="R176" s="61"/>
      <c r="S176" s="61"/>
    </row>
    <row r="177" spans="1:19" ht="15">
      <c r="A177" s="68"/>
      <c r="B177" s="61"/>
      <c r="C177" s="61"/>
      <c r="D177" s="61"/>
      <c r="E177" s="61"/>
      <c r="F177" s="61"/>
      <c r="G177" s="61"/>
      <c r="H177" s="91"/>
      <c r="I177" s="68"/>
      <c r="J177" s="68"/>
      <c r="K177" s="68"/>
      <c r="L177" s="61"/>
      <c r="M177" s="61"/>
      <c r="N177" s="61"/>
      <c r="O177" s="61"/>
      <c r="P177" s="61"/>
      <c r="Q177" s="61"/>
      <c r="R177" s="61"/>
      <c r="S177" s="61"/>
    </row>
    <row r="178" spans="1:19" ht="15">
      <c r="A178" s="68"/>
      <c r="B178" s="61"/>
      <c r="C178" s="61"/>
      <c r="D178" s="61"/>
      <c r="E178" s="61"/>
      <c r="F178" s="61"/>
      <c r="G178" s="61"/>
      <c r="H178" s="91"/>
      <c r="I178" s="68"/>
      <c r="J178" s="68"/>
      <c r="K178" s="68"/>
      <c r="L178" s="61"/>
      <c r="M178" s="61"/>
      <c r="N178" s="61"/>
      <c r="O178" s="61"/>
      <c r="P178" s="61"/>
      <c r="Q178" s="61"/>
      <c r="R178" s="61"/>
      <c r="S178" s="61"/>
    </row>
    <row r="179" spans="1:19" ht="15">
      <c r="A179" s="68"/>
      <c r="B179" s="61"/>
      <c r="C179" s="61"/>
      <c r="D179" s="61"/>
      <c r="E179" s="61"/>
      <c r="F179" s="61"/>
      <c r="G179" s="61"/>
      <c r="H179" s="91"/>
      <c r="I179" s="68"/>
      <c r="J179" s="68"/>
      <c r="K179" s="68"/>
      <c r="L179" s="61"/>
      <c r="M179" s="61"/>
      <c r="N179" s="61"/>
      <c r="O179" s="61"/>
      <c r="P179" s="61"/>
      <c r="Q179" s="61"/>
      <c r="R179" s="61"/>
      <c r="S179" s="61"/>
    </row>
    <row r="180" spans="1:19" ht="15">
      <c r="A180" s="68"/>
      <c r="B180" s="61"/>
      <c r="C180" s="61"/>
      <c r="D180" s="61"/>
      <c r="E180" s="61"/>
      <c r="F180" s="61"/>
      <c r="G180" s="61"/>
      <c r="H180" s="91"/>
      <c r="I180" s="68"/>
      <c r="J180" s="68"/>
      <c r="K180" s="68"/>
      <c r="L180" s="61"/>
      <c r="M180" s="61"/>
      <c r="N180" s="61"/>
      <c r="O180" s="61"/>
      <c r="P180" s="61"/>
      <c r="Q180" s="61"/>
      <c r="R180" s="61"/>
      <c r="S180" s="61"/>
    </row>
    <row r="181" spans="1:19" ht="15">
      <c r="A181" s="68"/>
      <c r="B181" s="61"/>
      <c r="C181" s="61"/>
      <c r="D181" s="61"/>
      <c r="E181" s="61"/>
      <c r="F181" s="61"/>
      <c r="G181" s="61"/>
      <c r="H181" s="91"/>
      <c r="I181" s="68"/>
      <c r="J181" s="68"/>
      <c r="K181" s="68"/>
      <c r="L181" s="61"/>
      <c r="M181" s="61"/>
      <c r="N181" s="61"/>
      <c r="O181" s="61"/>
      <c r="P181" s="61"/>
      <c r="Q181" s="61"/>
      <c r="R181" s="61"/>
      <c r="S181" s="61"/>
    </row>
    <row r="182" spans="1:19" ht="15">
      <c r="A182" s="68"/>
      <c r="B182" s="61"/>
      <c r="C182" s="61"/>
      <c r="D182" s="61"/>
      <c r="E182" s="61"/>
      <c r="F182" s="61"/>
      <c r="G182" s="61"/>
      <c r="H182" s="91"/>
      <c r="I182" s="68"/>
      <c r="J182" s="68"/>
      <c r="K182" s="68"/>
      <c r="L182" s="61"/>
      <c r="M182" s="61"/>
      <c r="N182" s="61"/>
      <c r="O182" s="61"/>
      <c r="P182" s="61"/>
      <c r="Q182" s="61"/>
      <c r="R182" s="61"/>
      <c r="S182" s="61"/>
    </row>
    <row r="183" spans="1:19" ht="15">
      <c r="A183" s="68"/>
      <c r="B183" s="61"/>
      <c r="C183" s="61"/>
      <c r="D183" s="61"/>
      <c r="E183" s="61"/>
      <c r="F183" s="61"/>
      <c r="G183" s="61"/>
      <c r="H183" s="91"/>
      <c r="I183" s="68"/>
      <c r="J183" s="68"/>
      <c r="K183" s="68"/>
      <c r="L183" s="61"/>
      <c r="M183" s="61"/>
      <c r="N183" s="61"/>
      <c r="O183" s="61"/>
      <c r="P183" s="61"/>
      <c r="Q183" s="61"/>
      <c r="R183" s="61"/>
      <c r="S183" s="61"/>
    </row>
    <row r="184" spans="1:19" ht="15">
      <c r="A184" s="68"/>
      <c r="B184" s="61"/>
      <c r="C184" s="61"/>
      <c r="D184" s="61"/>
      <c r="E184" s="61"/>
      <c r="F184" s="61"/>
      <c r="G184" s="61"/>
      <c r="H184" s="91"/>
      <c r="I184" s="68"/>
      <c r="J184" s="68"/>
      <c r="K184" s="68"/>
      <c r="L184" s="61"/>
      <c r="M184" s="61"/>
      <c r="N184" s="61"/>
      <c r="O184" s="61"/>
      <c r="P184" s="61"/>
      <c r="Q184" s="61"/>
      <c r="R184" s="61"/>
      <c r="S184" s="61"/>
    </row>
    <row r="185" spans="1:19" ht="15">
      <c r="A185" s="68"/>
      <c r="B185" s="61"/>
      <c r="C185" s="61"/>
      <c r="D185" s="61"/>
      <c r="E185" s="61"/>
      <c r="F185" s="61"/>
      <c r="G185" s="61"/>
      <c r="H185" s="91"/>
      <c r="I185" s="68"/>
      <c r="J185" s="68"/>
      <c r="K185" s="68"/>
      <c r="L185" s="61"/>
      <c r="M185" s="61"/>
      <c r="N185" s="61"/>
      <c r="O185" s="61"/>
      <c r="P185" s="61"/>
      <c r="Q185" s="61"/>
      <c r="R185" s="61"/>
      <c r="S185" s="61"/>
    </row>
    <row r="186" spans="1:19" ht="15">
      <c r="A186" s="68"/>
      <c r="B186" s="61"/>
      <c r="C186" s="61"/>
      <c r="D186" s="61"/>
      <c r="E186" s="61"/>
      <c r="F186" s="61"/>
      <c r="G186" s="61"/>
      <c r="H186" s="91"/>
      <c r="I186" s="68"/>
      <c r="J186" s="68"/>
      <c r="K186" s="68"/>
      <c r="L186" s="61"/>
      <c r="M186" s="61"/>
      <c r="N186" s="61"/>
      <c r="O186" s="61"/>
      <c r="P186" s="61"/>
      <c r="Q186" s="61"/>
      <c r="R186" s="61"/>
      <c r="S186" s="61"/>
    </row>
    <row r="187" spans="1:19" ht="15">
      <c r="A187" s="68"/>
      <c r="B187" s="61"/>
      <c r="C187" s="61"/>
      <c r="D187" s="61"/>
      <c r="E187" s="61"/>
      <c r="F187" s="61"/>
      <c r="G187" s="61"/>
      <c r="H187" s="91"/>
      <c r="I187" s="68"/>
      <c r="J187" s="68"/>
      <c r="K187" s="68"/>
      <c r="L187" s="61"/>
      <c r="M187" s="61"/>
      <c r="N187" s="61"/>
      <c r="O187" s="61"/>
      <c r="P187" s="61"/>
      <c r="Q187" s="61"/>
      <c r="R187" s="61"/>
      <c r="S187" s="61"/>
    </row>
    <row r="188" spans="1:19" ht="15">
      <c r="A188" s="68"/>
      <c r="B188" s="61"/>
      <c r="C188" s="61"/>
      <c r="D188" s="61"/>
      <c r="E188" s="61"/>
      <c r="F188" s="61"/>
      <c r="G188" s="61"/>
      <c r="H188" s="91"/>
      <c r="I188" s="68"/>
      <c r="J188" s="68"/>
      <c r="K188" s="68"/>
      <c r="L188" s="61"/>
      <c r="M188" s="61"/>
      <c r="N188" s="61"/>
      <c r="O188" s="61"/>
      <c r="P188" s="61"/>
      <c r="Q188" s="61"/>
      <c r="R188" s="61"/>
      <c r="S188" s="61"/>
    </row>
    <row r="189" spans="1:19" ht="15">
      <c r="A189" s="68"/>
      <c r="B189" s="61"/>
      <c r="C189" s="61"/>
      <c r="D189" s="61"/>
      <c r="E189" s="61"/>
      <c r="F189" s="61"/>
      <c r="G189" s="61"/>
      <c r="H189" s="91"/>
      <c r="I189" s="68"/>
      <c r="J189" s="68"/>
      <c r="K189" s="68"/>
      <c r="L189" s="61"/>
      <c r="M189" s="61"/>
      <c r="N189" s="61"/>
      <c r="O189" s="61"/>
      <c r="P189" s="61"/>
      <c r="Q189" s="61"/>
      <c r="R189" s="61"/>
      <c r="S189" s="61"/>
    </row>
    <row r="190" spans="1:19" ht="15">
      <c r="A190" s="68"/>
      <c r="B190" s="61"/>
      <c r="C190" s="61"/>
      <c r="D190" s="61"/>
      <c r="E190" s="61"/>
      <c r="F190" s="61"/>
      <c r="G190" s="61"/>
      <c r="H190" s="91"/>
      <c r="I190" s="68"/>
      <c r="J190" s="68"/>
      <c r="K190" s="68"/>
      <c r="L190" s="61"/>
      <c r="M190" s="61"/>
      <c r="N190" s="61"/>
      <c r="O190" s="61"/>
      <c r="P190" s="61"/>
      <c r="Q190" s="61"/>
      <c r="R190" s="61"/>
      <c r="S190" s="61"/>
    </row>
    <row r="191" spans="1:19" ht="15">
      <c r="A191" s="68"/>
      <c r="B191" s="61"/>
      <c r="C191" s="61"/>
      <c r="D191" s="61"/>
      <c r="E191" s="61"/>
      <c r="F191" s="61"/>
      <c r="G191" s="61"/>
      <c r="H191" s="91"/>
      <c r="I191" s="68"/>
      <c r="J191" s="68"/>
      <c r="K191" s="68"/>
      <c r="L191" s="61"/>
      <c r="M191" s="61"/>
      <c r="N191" s="61"/>
      <c r="O191" s="61"/>
      <c r="P191" s="61"/>
      <c r="Q191" s="61"/>
      <c r="R191" s="61"/>
      <c r="S191" s="61"/>
    </row>
    <row r="192" spans="1:19" ht="15">
      <c r="A192" s="68"/>
      <c r="B192" s="61"/>
      <c r="C192" s="61"/>
      <c r="D192" s="61"/>
      <c r="E192" s="61"/>
      <c r="F192" s="61"/>
      <c r="G192" s="61"/>
      <c r="H192" s="91"/>
      <c r="I192" s="68"/>
      <c r="J192" s="68"/>
      <c r="K192" s="68"/>
      <c r="L192" s="61"/>
      <c r="M192" s="61"/>
      <c r="N192" s="61"/>
      <c r="O192" s="61"/>
      <c r="P192" s="61"/>
      <c r="Q192" s="61"/>
      <c r="R192" s="61"/>
      <c r="S192" s="61"/>
    </row>
    <row r="193" spans="1:19" ht="15">
      <c r="A193" s="68"/>
      <c r="B193" s="61"/>
      <c r="C193" s="61"/>
      <c r="D193" s="61"/>
      <c r="E193" s="61"/>
      <c r="F193" s="61"/>
      <c r="G193" s="61"/>
      <c r="H193" s="91"/>
      <c r="I193" s="68"/>
      <c r="J193" s="68"/>
      <c r="K193" s="68"/>
      <c r="L193" s="61"/>
      <c r="M193" s="61"/>
      <c r="N193" s="61"/>
      <c r="O193" s="61"/>
      <c r="P193" s="61"/>
      <c r="Q193" s="61"/>
      <c r="R193" s="61"/>
      <c r="S193" s="61"/>
    </row>
    <row r="194" spans="1:19" ht="15">
      <c r="A194" s="68"/>
      <c r="B194" s="61"/>
      <c r="C194" s="61"/>
      <c r="D194" s="61"/>
      <c r="E194" s="61"/>
      <c r="F194" s="61"/>
      <c r="G194" s="61"/>
      <c r="H194" s="91"/>
      <c r="I194" s="68"/>
      <c r="J194" s="68"/>
      <c r="K194" s="68"/>
      <c r="L194" s="61"/>
      <c r="M194" s="61"/>
      <c r="N194" s="61"/>
      <c r="O194" s="61"/>
      <c r="P194" s="61"/>
      <c r="Q194" s="61"/>
      <c r="R194" s="61"/>
      <c r="S194" s="61"/>
    </row>
    <row r="195" spans="1:19" ht="15">
      <c r="A195" s="68"/>
      <c r="B195" s="61"/>
      <c r="C195" s="61"/>
      <c r="D195" s="61"/>
      <c r="E195" s="61"/>
      <c r="F195" s="61"/>
      <c r="G195" s="61"/>
      <c r="H195" s="91"/>
      <c r="I195" s="68"/>
      <c r="J195" s="68"/>
      <c r="K195" s="68"/>
      <c r="L195" s="61"/>
      <c r="M195" s="61"/>
      <c r="N195" s="61"/>
      <c r="O195" s="61"/>
      <c r="P195" s="61"/>
      <c r="Q195" s="61"/>
      <c r="R195" s="61"/>
      <c r="S195" s="61"/>
    </row>
    <row r="196" spans="1:19" ht="15">
      <c r="A196" s="68"/>
      <c r="B196" s="61"/>
      <c r="C196" s="61"/>
      <c r="D196" s="61"/>
      <c r="E196" s="61"/>
      <c r="F196" s="61"/>
      <c r="G196" s="61"/>
      <c r="H196" s="91"/>
      <c r="I196" s="68"/>
      <c r="J196" s="68"/>
      <c r="K196" s="68"/>
      <c r="L196" s="61"/>
      <c r="M196" s="61"/>
      <c r="N196" s="61"/>
      <c r="O196" s="61"/>
      <c r="P196" s="61"/>
      <c r="Q196" s="61"/>
      <c r="R196" s="61"/>
      <c r="S196" s="61"/>
    </row>
    <row r="197" spans="1:19" ht="15">
      <c r="A197" s="68"/>
      <c r="B197" s="61"/>
      <c r="C197" s="61"/>
      <c r="D197" s="61"/>
      <c r="E197" s="61"/>
      <c r="F197" s="61"/>
      <c r="G197" s="61"/>
      <c r="H197" s="91"/>
      <c r="I197" s="68"/>
      <c r="J197" s="68"/>
      <c r="K197" s="68"/>
      <c r="L197" s="61"/>
      <c r="M197" s="61"/>
      <c r="N197" s="61"/>
      <c r="O197" s="61"/>
      <c r="P197" s="61"/>
      <c r="Q197" s="61"/>
      <c r="R197" s="61"/>
      <c r="S197" s="61"/>
    </row>
    <row r="198" spans="1:19" ht="15">
      <c r="A198" s="68"/>
      <c r="B198" s="61"/>
      <c r="C198" s="61"/>
      <c r="D198" s="61"/>
      <c r="E198" s="61"/>
      <c r="F198" s="61"/>
      <c r="G198" s="61"/>
      <c r="H198" s="91"/>
      <c r="I198" s="68"/>
      <c r="J198" s="68"/>
      <c r="K198" s="68"/>
      <c r="L198" s="61"/>
      <c r="M198" s="61"/>
      <c r="N198" s="61"/>
      <c r="O198" s="61"/>
      <c r="P198" s="61"/>
      <c r="Q198" s="61"/>
      <c r="R198" s="61"/>
      <c r="S198" s="61"/>
    </row>
    <row r="199" spans="1:19" ht="15">
      <c r="A199" s="68"/>
      <c r="B199" s="61"/>
      <c r="C199" s="61"/>
      <c r="D199" s="61"/>
      <c r="E199" s="61"/>
      <c r="F199" s="61"/>
      <c r="G199" s="61"/>
      <c r="H199" s="91"/>
      <c r="I199" s="68"/>
      <c r="J199" s="68"/>
      <c r="K199" s="68"/>
      <c r="L199" s="61"/>
      <c r="M199" s="61"/>
      <c r="N199" s="61"/>
      <c r="O199" s="61"/>
      <c r="P199" s="61"/>
      <c r="Q199" s="61"/>
      <c r="R199" s="61"/>
      <c r="S199" s="61"/>
    </row>
    <row r="200" spans="1:19" ht="15">
      <c r="A200" s="68"/>
      <c r="B200" s="61"/>
      <c r="C200" s="61"/>
      <c r="D200" s="61"/>
      <c r="E200" s="61"/>
      <c r="F200" s="61"/>
      <c r="G200" s="61"/>
      <c r="H200" s="91"/>
      <c r="I200" s="68"/>
      <c r="J200" s="68"/>
      <c r="K200" s="68"/>
      <c r="L200" s="61"/>
      <c r="M200" s="61"/>
      <c r="N200" s="61"/>
      <c r="O200" s="61"/>
      <c r="P200" s="61"/>
      <c r="Q200" s="61"/>
      <c r="R200" s="61"/>
      <c r="S200" s="61"/>
    </row>
    <row r="201" spans="1:19" ht="15">
      <c r="A201" s="68"/>
      <c r="B201" s="61"/>
      <c r="C201" s="61"/>
      <c r="D201" s="61"/>
      <c r="E201" s="61"/>
      <c r="F201" s="61"/>
      <c r="G201" s="61"/>
      <c r="H201" s="91"/>
      <c r="I201" s="68"/>
      <c r="J201" s="68"/>
      <c r="K201" s="68"/>
      <c r="L201" s="61"/>
      <c r="M201" s="61"/>
      <c r="N201" s="61"/>
      <c r="O201" s="61"/>
      <c r="P201" s="61"/>
      <c r="Q201" s="61"/>
      <c r="R201" s="61"/>
      <c r="S201" s="61"/>
    </row>
    <row r="202" spans="1:19" ht="15">
      <c r="A202" s="68"/>
      <c r="B202" s="61"/>
      <c r="C202" s="61"/>
      <c r="D202" s="61"/>
      <c r="E202" s="61"/>
      <c r="F202" s="61"/>
      <c r="G202" s="61"/>
      <c r="H202" s="91"/>
      <c r="I202" s="68"/>
      <c r="J202" s="68"/>
      <c r="K202" s="68"/>
      <c r="L202" s="61"/>
      <c r="M202" s="61"/>
      <c r="N202" s="61"/>
      <c r="O202" s="61"/>
      <c r="P202" s="61"/>
      <c r="Q202" s="61"/>
      <c r="R202" s="61"/>
      <c r="S202" s="61"/>
    </row>
    <row r="203" spans="1:19" ht="15">
      <c r="A203" s="68"/>
      <c r="B203" s="61"/>
      <c r="C203" s="61"/>
      <c r="D203" s="61"/>
      <c r="E203" s="61"/>
      <c r="F203" s="61"/>
      <c r="G203" s="61"/>
      <c r="H203" s="91"/>
      <c r="I203" s="68"/>
      <c r="J203" s="68"/>
      <c r="K203" s="68"/>
      <c r="L203" s="61"/>
      <c r="M203" s="61"/>
      <c r="N203" s="61"/>
      <c r="O203" s="61"/>
      <c r="P203" s="61"/>
      <c r="Q203" s="61"/>
      <c r="R203" s="61"/>
      <c r="S203" s="61"/>
    </row>
    <row r="204" spans="1:19" ht="15">
      <c r="A204" s="68"/>
      <c r="B204" s="61"/>
      <c r="C204" s="61"/>
      <c r="D204" s="61"/>
      <c r="E204" s="61"/>
      <c r="F204" s="61"/>
      <c r="G204" s="61"/>
      <c r="H204" s="91"/>
      <c r="I204" s="68"/>
      <c r="J204" s="68"/>
      <c r="K204" s="68"/>
      <c r="L204" s="61"/>
      <c r="M204" s="61"/>
      <c r="N204" s="61"/>
      <c r="O204" s="61"/>
      <c r="P204" s="61"/>
      <c r="Q204" s="61"/>
      <c r="R204" s="61"/>
      <c r="S204" s="61"/>
    </row>
    <row r="205" spans="1:19" ht="15">
      <c r="A205" s="68"/>
      <c r="B205" s="61"/>
      <c r="C205" s="61"/>
      <c r="D205" s="61"/>
      <c r="E205" s="61"/>
      <c r="F205" s="61"/>
      <c r="G205" s="61"/>
      <c r="H205" s="91"/>
      <c r="I205" s="68"/>
      <c r="J205" s="68"/>
      <c r="K205" s="68"/>
      <c r="L205" s="61"/>
      <c r="M205" s="61"/>
      <c r="N205" s="61"/>
      <c r="O205" s="61"/>
      <c r="P205" s="61"/>
      <c r="Q205" s="61"/>
      <c r="R205" s="61"/>
      <c r="S205" s="61"/>
    </row>
    <row r="206" spans="1:19" ht="15">
      <c r="A206" s="68"/>
      <c r="B206" s="61"/>
      <c r="C206" s="61"/>
      <c r="D206" s="61"/>
      <c r="E206" s="61"/>
      <c r="F206" s="61"/>
      <c r="G206" s="61"/>
      <c r="H206" s="91"/>
      <c r="I206" s="68"/>
      <c r="J206" s="68"/>
      <c r="K206" s="68"/>
      <c r="L206" s="61"/>
      <c r="M206" s="61"/>
      <c r="N206" s="61"/>
      <c r="O206" s="61"/>
      <c r="P206" s="61"/>
      <c r="Q206" s="61"/>
      <c r="R206" s="61"/>
      <c r="S206" s="61"/>
    </row>
    <row r="207" spans="1:19" ht="15">
      <c r="A207" s="68"/>
      <c r="B207" s="61"/>
      <c r="C207" s="61"/>
      <c r="D207" s="61"/>
      <c r="E207" s="61"/>
      <c r="F207" s="61"/>
      <c r="G207" s="61"/>
      <c r="H207" s="91"/>
      <c r="I207" s="68"/>
      <c r="J207" s="68"/>
      <c r="K207" s="68"/>
      <c r="L207" s="61"/>
      <c r="M207" s="61"/>
      <c r="N207" s="61"/>
      <c r="O207" s="61"/>
      <c r="P207" s="61"/>
      <c r="Q207" s="61"/>
      <c r="R207" s="61"/>
      <c r="S207" s="61"/>
    </row>
    <row r="208" spans="1:19" ht="15">
      <c r="A208" s="68"/>
      <c r="B208" s="61"/>
      <c r="C208" s="61"/>
      <c r="D208" s="61"/>
      <c r="E208" s="61"/>
      <c r="F208" s="61"/>
      <c r="G208" s="61"/>
      <c r="H208" s="91"/>
      <c r="I208" s="68"/>
      <c r="J208" s="68"/>
      <c r="K208" s="68"/>
      <c r="L208" s="61"/>
      <c r="M208" s="61"/>
      <c r="N208" s="61"/>
      <c r="O208" s="61"/>
      <c r="P208" s="61"/>
      <c r="Q208" s="61"/>
      <c r="R208" s="61"/>
      <c r="S208" s="61"/>
    </row>
    <row r="209" spans="1:19" ht="15">
      <c r="A209" s="68"/>
      <c r="B209" s="61"/>
      <c r="C209" s="61"/>
      <c r="D209" s="61"/>
      <c r="E209" s="61"/>
      <c r="F209" s="61"/>
      <c r="G209" s="61"/>
      <c r="H209" s="91"/>
      <c r="I209" s="68"/>
      <c r="J209" s="68"/>
      <c r="K209" s="68"/>
      <c r="L209" s="61"/>
      <c r="M209" s="61"/>
      <c r="N209" s="61"/>
      <c r="O209" s="61"/>
      <c r="P209" s="61"/>
      <c r="Q209" s="61"/>
      <c r="R209" s="61"/>
      <c r="S209" s="61"/>
    </row>
    <row r="210" spans="1:19" ht="15">
      <c r="A210" s="68"/>
      <c r="B210" s="61"/>
      <c r="C210" s="61"/>
      <c r="D210" s="61"/>
      <c r="E210" s="61"/>
      <c r="F210" s="61"/>
      <c r="G210" s="61"/>
      <c r="H210" s="91"/>
      <c r="I210" s="68"/>
      <c r="J210" s="68"/>
      <c r="K210" s="68"/>
      <c r="L210" s="61"/>
      <c r="M210" s="61"/>
      <c r="N210" s="61"/>
      <c r="O210" s="61"/>
      <c r="P210" s="61"/>
      <c r="Q210" s="61"/>
      <c r="R210" s="61"/>
      <c r="S210" s="61"/>
    </row>
    <row r="211" spans="1:19" ht="15">
      <c r="A211" s="68"/>
      <c r="B211" s="61"/>
      <c r="C211" s="61"/>
      <c r="D211" s="61"/>
      <c r="E211" s="61"/>
      <c r="F211" s="61"/>
      <c r="G211" s="61"/>
      <c r="H211" s="91"/>
      <c r="I211" s="68"/>
      <c r="J211" s="68"/>
      <c r="K211" s="68"/>
      <c r="L211" s="61"/>
      <c r="M211" s="61"/>
      <c r="N211" s="61"/>
      <c r="O211" s="61"/>
      <c r="P211" s="61"/>
      <c r="Q211" s="61"/>
      <c r="R211" s="61"/>
      <c r="S211" s="61"/>
    </row>
    <row r="212" spans="1:19" ht="15">
      <c r="A212" s="68"/>
      <c r="B212" s="61"/>
      <c r="C212" s="61"/>
      <c r="D212" s="61"/>
      <c r="E212" s="61"/>
      <c r="F212" s="61"/>
      <c r="G212" s="61"/>
      <c r="H212" s="91"/>
      <c r="I212" s="68"/>
      <c r="J212" s="68"/>
      <c r="K212" s="68"/>
      <c r="L212" s="61"/>
      <c r="M212" s="61"/>
      <c r="N212" s="61"/>
      <c r="O212" s="61"/>
      <c r="P212" s="61"/>
      <c r="Q212" s="61"/>
      <c r="R212" s="61"/>
      <c r="S212" s="61"/>
    </row>
    <row r="213" spans="1:19" ht="15">
      <c r="A213" s="68"/>
      <c r="B213" s="61"/>
      <c r="C213" s="61"/>
      <c r="D213" s="61"/>
      <c r="E213" s="61"/>
      <c r="F213" s="61"/>
      <c r="G213" s="61"/>
      <c r="H213" s="91"/>
      <c r="I213" s="68"/>
      <c r="J213" s="68"/>
      <c r="K213" s="68"/>
      <c r="L213" s="61"/>
      <c r="M213" s="61"/>
      <c r="N213" s="61"/>
      <c r="O213" s="61"/>
      <c r="P213" s="61"/>
      <c r="Q213" s="61"/>
      <c r="R213" s="61"/>
      <c r="S213" s="61"/>
    </row>
    <row r="214" spans="1:19" ht="15">
      <c r="A214" s="68"/>
      <c r="B214" s="61"/>
      <c r="C214" s="61"/>
      <c r="D214" s="61"/>
      <c r="E214" s="61"/>
      <c r="F214" s="61"/>
      <c r="G214" s="61"/>
      <c r="H214" s="91"/>
      <c r="I214" s="68"/>
      <c r="J214" s="68"/>
      <c r="K214" s="68"/>
      <c r="L214" s="61"/>
      <c r="M214" s="61"/>
      <c r="N214" s="61"/>
      <c r="O214" s="61"/>
      <c r="P214" s="61"/>
      <c r="Q214" s="61"/>
      <c r="R214" s="61"/>
      <c r="S214" s="61"/>
    </row>
    <row r="215" spans="1:19" ht="15">
      <c r="A215" s="68"/>
      <c r="B215" s="61"/>
      <c r="C215" s="61"/>
      <c r="D215" s="61"/>
      <c r="E215" s="61"/>
      <c r="F215" s="61"/>
      <c r="G215" s="61"/>
      <c r="H215" s="91"/>
      <c r="I215" s="68"/>
      <c r="J215" s="68"/>
      <c r="K215" s="68"/>
      <c r="L215" s="61"/>
      <c r="M215" s="61"/>
      <c r="N215" s="61"/>
      <c r="O215" s="61"/>
      <c r="P215" s="61"/>
      <c r="Q215" s="61"/>
      <c r="R215" s="61"/>
      <c r="S215" s="61"/>
    </row>
    <row r="216" spans="1:19" ht="15">
      <c r="A216" s="68"/>
      <c r="B216" s="61"/>
      <c r="C216" s="61"/>
      <c r="D216" s="61"/>
      <c r="E216" s="61"/>
      <c r="F216" s="61"/>
      <c r="G216" s="61"/>
      <c r="H216" s="91"/>
      <c r="I216" s="68"/>
      <c r="J216" s="68"/>
      <c r="K216" s="68"/>
      <c r="L216" s="61"/>
      <c r="M216" s="61"/>
      <c r="N216" s="61"/>
      <c r="O216" s="61"/>
      <c r="P216" s="61"/>
      <c r="Q216" s="61"/>
      <c r="R216" s="61"/>
      <c r="S216" s="61"/>
    </row>
    <row r="217" spans="1:19" ht="15">
      <c r="A217" s="68"/>
      <c r="B217" s="61"/>
      <c r="C217" s="61"/>
      <c r="D217" s="61"/>
      <c r="E217" s="61"/>
      <c r="F217" s="61"/>
      <c r="G217" s="61"/>
      <c r="H217" s="91"/>
      <c r="I217" s="68"/>
      <c r="J217" s="68"/>
      <c r="K217" s="68"/>
      <c r="L217" s="61"/>
      <c r="M217" s="61"/>
      <c r="N217" s="61"/>
      <c r="O217" s="61"/>
      <c r="P217" s="61"/>
      <c r="Q217" s="61"/>
      <c r="R217" s="61"/>
      <c r="S217" s="61"/>
    </row>
    <row r="218" spans="1:19" ht="15">
      <c r="A218" s="68"/>
      <c r="B218" s="61"/>
      <c r="C218" s="61"/>
      <c r="D218" s="61"/>
      <c r="E218" s="61"/>
      <c r="F218" s="61"/>
      <c r="G218" s="61"/>
      <c r="H218" s="91"/>
      <c r="I218" s="68"/>
      <c r="J218" s="68"/>
      <c r="K218" s="68"/>
      <c r="L218" s="61"/>
      <c r="M218" s="61"/>
      <c r="N218" s="61"/>
      <c r="O218" s="61"/>
      <c r="P218" s="61"/>
      <c r="Q218" s="61"/>
      <c r="R218" s="61"/>
      <c r="S218" s="61"/>
    </row>
    <row r="219" spans="1:19" ht="15">
      <c r="A219" s="68"/>
      <c r="B219" s="61"/>
      <c r="C219" s="61"/>
      <c r="D219" s="61"/>
      <c r="E219" s="61"/>
      <c r="F219" s="61"/>
      <c r="G219" s="61"/>
      <c r="H219" s="91"/>
      <c r="I219" s="68"/>
      <c r="J219" s="68"/>
      <c r="K219" s="68"/>
      <c r="L219" s="61"/>
      <c r="M219" s="61"/>
      <c r="N219" s="61"/>
      <c r="O219" s="61"/>
      <c r="P219" s="61"/>
      <c r="Q219" s="61"/>
      <c r="R219" s="61"/>
      <c r="S219" s="61"/>
    </row>
    <row r="220" spans="1:19" ht="15">
      <c r="A220" s="68"/>
      <c r="B220" s="61"/>
      <c r="C220" s="61"/>
      <c r="D220" s="61"/>
      <c r="E220" s="61"/>
      <c r="F220" s="61"/>
      <c r="G220" s="61"/>
      <c r="H220" s="91"/>
      <c r="I220" s="68"/>
      <c r="J220" s="68"/>
      <c r="K220" s="68"/>
      <c r="L220" s="61"/>
      <c r="M220" s="61"/>
      <c r="N220" s="61"/>
      <c r="O220" s="61"/>
      <c r="P220" s="61"/>
      <c r="Q220" s="61"/>
      <c r="R220" s="61"/>
      <c r="S220" s="61"/>
    </row>
    <row r="221" spans="1:19" ht="15">
      <c r="A221" s="68"/>
      <c r="B221" s="61"/>
      <c r="C221" s="61"/>
      <c r="D221" s="61"/>
      <c r="E221" s="61"/>
      <c r="F221" s="61"/>
      <c r="G221" s="61"/>
      <c r="H221" s="91"/>
      <c r="I221" s="68"/>
      <c r="J221" s="68"/>
      <c r="K221" s="68"/>
      <c r="L221" s="61"/>
      <c r="M221" s="61"/>
      <c r="N221" s="61"/>
      <c r="O221" s="61"/>
      <c r="P221" s="61"/>
      <c r="Q221" s="61"/>
      <c r="R221" s="61"/>
      <c r="S221" s="61"/>
    </row>
    <row r="222" spans="1:19" ht="15">
      <c r="A222" s="68"/>
      <c r="B222" s="61"/>
      <c r="C222" s="61"/>
      <c r="D222" s="61"/>
      <c r="E222" s="61"/>
      <c r="F222" s="61"/>
      <c r="G222" s="61"/>
      <c r="H222" s="91"/>
      <c r="I222" s="68"/>
      <c r="J222" s="68"/>
      <c r="K222" s="68"/>
      <c r="L222" s="61"/>
      <c r="M222" s="61"/>
      <c r="N222" s="61"/>
      <c r="O222" s="61"/>
      <c r="P222" s="61"/>
      <c r="Q222" s="61"/>
      <c r="R222" s="61"/>
      <c r="S222" s="61"/>
    </row>
    <row r="223" spans="1:19" ht="15">
      <c r="A223" s="68"/>
      <c r="B223" s="61"/>
      <c r="C223" s="61"/>
      <c r="D223" s="61"/>
      <c r="E223" s="61"/>
      <c r="F223" s="61"/>
      <c r="G223" s="61"/>
      <c r="H223" s="91"/>
      <c r="I223" s="68"/>
      <c r="J223" s="68"/>
      <c r="K223" s="68"/>
      <c r="L223" s="61"/>
      <c r="M223" s="61"/>
      <c r="N223" s="61"/>
      <c r="O223" s="61"/>
      <c r="P223" s="61"/>
      <c r="Q223" s="61"/>
      <c r="R223" s="61"/>
      <c r="S223" s="61"/>
    </row>
    <row r="224" spans="1:19" ht="15">
      <c r="A224" s="68"/>
      <c r="B224" s="61"/>
      <c r="C224" s="61"/>
      <c r="D224" s="61"/>
      <c r="E224" s="61"/>
      <c r="F224" s="61"/>
      <c r="G224" s="61"/>
      <c r="H224" s="91"/>
      <c r="I224" s="68"/>
      <c r="J224" s="68"/>
      <c r="K224" s="68"/>
      <c r="L224" s="61"/>
      <c r="M224" s="61"/>
      <c r="N224" s="61"/>
      <c r="O224" s="61"/>
      <c r="P224" s="61"/>
      <c r="Q224" s="61"/>
      <c r="R224" s="61"/>
      <c r="S224" s="61"/>
    </row>
    <row r="225" spans="1:19" ht="15">
      <c r="A225" s="68"/>
      <c r="B225" s="61"/>
      <c r="C225" s="61"/>
      <c r="D225" s="61"/>
      <c r="E225" s="61"/>
      <c r="F225" s="61"/>
      <c r="G225" s="61"/>
      <c r="H225" s="91"/>
      <c r="I225" s="68"/>
      <c r="J225" s="68"/>
      <c r="K225" s="68"/>
      <c r="L225" s="61"/>
      <c r="M225" s="61"/>
      <c r="N225" s="61"/>
      <c r="O225" s="61"/>
      <c r="P225" s="61"/>
      <c r="Q225" s="61"/>
      <c r="R225" s="61"/>
      <c r="S225" s="61"/>
    </row>
    <row r="226" spans="1:19" ht="15">
      <c r="A226" s="68"/>
      <c r="B226" s="61"/>
      <c r="C226" s="61"/>
      <c r="D226" s="61"/>
      <c r="E226" s="61"/>
      <c r="F226" s="61"/>
      <c r="G226" s="61"/>
      <c r="H226" s="91"/>
      <c r="I226" s="68"/>
      <c r="J226" s="68"/>
      <c r="K226" s="68"/>
      <c r="L226" s="61"/>
      <c r="M226" s="61"/>
      <c r="N226" s="61"/>
      <c r="O226" s="61"/>
      <c r="P226" s="61"/>
      <c r="Q226" s="61"/>
      <c r="R226" s="61"/>
      <c r="S226" s="61"/>
    </row>
    <row r="227" spans="1:19" ht="15">
      <c r="A227" s="68"/>
      <c r="B227" s="61"/>
      <c r="C227" s="61"/>
      <c r="D227" s="61"/>
      <c r="E227" s="61"/>
      <c r="F227" s="61"/>
      <c r="G227" s="61"/>
      <c r="H227" s="91"/>
      <c r="I227" s="68"/>
      <c r="J227" s="68"/>
      <c r="K227" s="68"/>
      <c r="L227" s="61"/>
      <c r="M227" s="61"/>
      <c r="N227" s="61"/>
      <c r="O227" s="61"/>
      <c r="P227" s="61"/>
      <c r="Q227" s="61"/>
      <c r="R227" s="61"/>
      <c r="S227" s="61"/>
    </row>
    <row r="228" spans="1:19" ht="15">
      <c r="A228" s="68"/>
      <c r="B228" s="61"/>
      <c r="C228" s="61"/>
      <c r="D228" s="61"/>
      <c r="E228" s="61"/>
      <c r="F228" s="61"/>
      <c r="G228" s="61"/>
      <c r="H228" s="91"/>
      <c r="I228" s="68"/>
      <c r="J228" s="68"/>
      <c r="K228" s="68"/>
      <c r="L228" s="61"/>
      <c r="M228" s="61"/>
      <c r="N228" s="61"/>
      <c r="O228" s="61"/>
      <c r="P228" s="61"/>
      <c r="Q228" s="61"/>
      <c r="R228" s="61"/>
      <c r="S228" s="61"/>
    </row>
    <row r="229" spans="1:19" ht="15">
      <c r="A229" s="68"/>
      <c r="B229" s="61"/>
      <c r="C229" s="61"/>
      <c r="D229" s="61"/>
      <c r="E229" s="61"/>
      <c r="F229" s="61"/>
      <c r="G229" s="61"/>
      <c r="H229" s="91"/>
      <c r="I229" s="68"/>
      <c r="J229" s="68"/>
      <c r="K229" s="68"/>
      <c r="L229" s="61"/>
      <c r="M229" s="61"/>
      <c r="N229" s="61"/>
      <c r="O229" s="61"/>
      <c r="P229" s="61"/>
      <c r="Q229" s="61"/>
      <c r="R229" s="61"/>
      <c r="S229" s="61"/>
    </row>
    <row r="230" spans="1:19" ht="15">
      <c r="A230" s="68"/>
      <c r="B230" s="61"/>
      <c r="C230" s="61"/>
      <c r="D230" s="61"/>
      <c r="E230" s="61"/>
      <c r="F230" s="61"/>
      <c r="G230" s="61"/>
      <c r="H230" s="91"/>
      <c r="I230" s="68"/>
      <c r="J230" s="68"/>
      <c r="K230" s="68"/>
      <c r="L230" s="61"/>
      <c r="M230" s="61"/>
      <c r="N230" s="61"/>
      <c r="O230" s="61"/>
      <c r="P230" s="61"/>
      <c r="Q230" s="61"/>
      <c r="R230" s="61"/>
      <c r="S230" s="61"/>
    </row>
    <row r="231" spans="1:19" ht="15">
      <c r="A231" s="68"/>
      <c r="B231" s="61"/>
      <c r="C231" s="61"/>
      <c r="D231" s="61"/>
      <c r="E231" s="61"/>
      <c r="F231" s="61"/>
      <c r="G231" s="61"/>
      <c r="H231" s="91"/>
      <c r="I231" s="68"/>
      <c r="J231" s="68"/>
      <c r="K231" s="68"/>
      <c r="L231" s="61"/>
      <c r="M231" s="61"/>
      <c r="N231" s="61"/>
      <c r="O231" s="61"/>
      <c r="P231" s="61"/>
      <c r="Q231" s="61"/>
      <c r="R231" s="61"/>
      <c r="S231" s="61"/>
    </row>
    <row r="232" spans="1:19" ht="15">
      <c r="A232" s="68"/>
      <c r="B232" s="61"/>
      <c r="C232" s="61"/>
      <c r="D232" s="61"/>
      <c r="E232" s="61"/>
      <c r="F232" s="61"/>
      <c r="G232" s="61"/>
      <c r="H232" s="91"/>
      <c r="I232" s="68"/>
      <c r="J232" s="68"/>
      <c r="K232" s="68"/>
      <c r="L232" s="61"/>
      <c r="M232" s="61"/>
      <c r="N232" s="61"/>
      <c r="O232" s="61"/>
      <c r="P232" s="61"/>
      <c r="Q232" s="61"/>
      <c r="R232" s="61"/>
      <c r="S232" s="61"/>
    </row>
    <row r="233" spans="1:19" ht="15">
      <c r="A233" s="68"/>
      <c r="B233" s="61"/>
      <c r="C233" s="61"/>
      <c r="D233" s="61"/>
      <c r="E233" s="61"/>
      <c r="F233" s="61"/>
      <c r="G233" s="61"/>
      <c r="H233" s="91"/>
      <c r="I233" s="68"/>
      <c r="J233" s="68"/>
      <c r="K233" s="68"/>
      <c r="L233" s="61"/>
      <c r="M233" s="61"/>
      <c r="N233" s="61"/>
      <c r="O233" s="61"/>
      <c r="P233" s="61"/>
      <c r="Q233" s="61"/>
      <c r="R233" s="61"/>
      <c r="S233" s="61"/>
    </row>
    <row r="234" spans="1:19" ht="15">
      <c r="A234" s="68"/>
      <c r="B234" s="61"/>
      <c r="C234" s="61"/>
      <c r="D234" s="61"/>
      <c r="E234" s="61"/>
      <c r="F234" s="61"/>
      <c r="G234" s="61"/>
      <c r="H234" s="91"/>
      <c r="I234" s="68"/>
      <c r="J234" s="68"/>
      <c r="K234" s="68"/>
      <c r="L234" s="61"/>
      <c r="M234" s="61"/>
      <c r="N234" s="61"/>
      <c r="O234" s="61"/>
      <c r="P234" s="61"/>
      <c r="Q234" s="61"/>
      <c r="R234" s="61"/>
      <c r="S234" s="61"/>
    </row>
    <row r="235" spans="1:19" ht="15">
      <c r="A235" s="68"/>
      <c r="B235" s="61"/>
      <c r="C235" s="61"/>
      <c r="D235" s="61"/>
      <c r="E235" s="61"/>
      <c r="F235" s="61"/>
      <c r="G235" s="61"/>
      <c r="H235" s="91"/>
      <c r="I235" s="68"/>
      <c r="J235" s="68"/>
      <c r="K235" s="68"/>
      <c r="L235" s="61"/>
      <c r="M235" s="61"/>
      <c r="N235" s="61"/>
      <c r="O235" s="61"/>
      <c r="P235" s="61"/>
      <c r="Q235" s="61"/>
      <c r="R235" s="61"/>
      <c r="S235" s="61"/>
    </row>
    <row r="236" spans="1:19" ht="15">
      <c r="A236" s="68"/>
      <c r="B236" s="61"/>
      <c r="C236" s="61"/>
      <c r="D236" s="61"/>
      <c r="E236" s="61"/>
      <c r="F236" s="61"/>
      <c r="G236" s="61"/>
      <c r="H236" s="91"/>
      <c r="I236" s="68"/>
      <c r="J236" s="68"/>
      <c r="K236" s="68"/>
      <c r="L236" s="61"/>
      <c r="M236" s="61"/>
      <c r="N236" s="61"/>
      <c r="O236" s="61"/>
      <c r="P236" s="61"/>
      <c r="Q236" s="61"/>
      <c r="R236" s="61"/>
      <c r="S236" s="61"/>
    </row>
    <row r="237" spans="1:19" ht="15">
      <c r="A237" s="68"/>
      <c r="B237" s="61"/>
      <c r="C237" s="61"/>
      <c r="D237" s="61"/>
      <c r="E237" s="61"/>
      <c r="F237" s="61"/>
      <c r="G237" s="61"/>
      <c r="H237" s="91"/>
      <c r="I237" s="68"/>
      <c r="J237" s="68"/>
      <c r="K237" s="68"/>
      <c r="L237" s="61"/>
      <c r="M237" s="61"/>
      <c r="N237" s="61"/>
      <c r="O237" s="61"/>
      <c r="P237" s="61"/>
      <c r="Q237" s="61"/>
      <c r="R237" s="61"/>
      <c r="S237" s="61"/>
    </row>
    <row r="238" spans="1:19" ht="15">
      <c r="A238" s="68"/>
      <c r="B238" s="61"/>
      <c r="C238" s="61"/>
      <c r="D238" s="61"/>
      <c r="E238" s="61"/>
      <c r="F238" s="61"/>
      <c r="G238" s="61"/>
      <c r="H238" s="91"/>
      <c r="I238" s="68"/>
      <c r="J238" s="68"/>
      <c r="K238" s="68"/>
      <c r="L238" s="61"/>
      <c r="M238" s="61"/>
      <c r="N238" s="61"/>
      <c r="O238" s="61"/>
      <c r="P238" s="61"/>
      <c r="Q238" s="61"/>
      <c r="R238" s="61"/>
      <c r="S238" s="61"/>
    </row>
    <row r="239" spans="1:19" ht="15">
      <c r="A239" s="68"/>
      <c r="B239" s="61"/>
      <c r="C239" s="61"/>
      <c r="D239" s="61"/>
      <c r="E239" s="61"/>
      <c r="F239" s="61"/>
      <c r="G239" s="61"/>
      <c r="H239" s="91"/>
      <c r="I239" s="68"/>
      <c r="J239" s="68"/>
      <c r="K239" s="68"/>
      <c r="L239" s="61"/>
      <c r="M239" s="61"/>
      <c r="N239" s="61"/>
      <c r="O239" s="61"/>
      <c r="P239" s="61"/>
      <c r="Q239" s="61"/>
      <c r="R239" s="61"/>
      <c r="S239" s="61"/>
    </row>
    <row r="240" spans="1:19" ht="15">
      <c r="A240" s="68"/>
      <c r="B240" s="61"/>
      <c r="C240" s="61"/>
      <c r="D240" s="61"/>
      <c r="E240" s="61"/>
      <c r="F240" s="61"/>
      <c r="G240" s="61"/>
      <c r="H240" s="91"/>
      <c r="I240" s="68"/>
      <c r="J240" s="68"/>
      <c r="K240" s="68"/>
      <c r="L240" s="61"/>
      <c r="M240" s="61"/>
      <c r="N240" s="61"/>
      <c r="O240" s="61"/>
      <c r="P240" s="61"/>
      <c r="Q240" s="61"/>
      <c r="R240" s="61"/>
      <c r="S240" s="61"/>
    </row>
    <row r="241" spans="1:19" ht="15">
      <c r="A241" s="68"/>
      <c r="B241" s="61"/>
      <c r="C241" s="61"/>
      <c r="D241" s="61"/>
      <c r="E241" s="61"/>
      <c r="F241" s="61"/>
      <c r="G241" s="61"/>
      <c r="H241" s="91"/>
      <c r="I241" s="68"/>
      <c r="J241" s="68"/>
      <c r="K241" s="68"/>
      <c r="L241" s="61"/>
      <c r="M241" s="61"/>
      <c r="N241" s="61"/>
      <c r="O241" s="61"/>
      <c r="P241" s="61"/>
      <c r="Q241" s="61"/>
      <c r="R241" s="61"/>
      <c r="S241" s="61"/>
    </row>
    <row r="242" spans="1:19" ht="15">
      <c r="A242" s="68"/>
      <c r="B242" s="61"/>
      <c r="C242" s="61"/>
      <c r="D242" s="61"/>
      <c r="E242" s="61"/>
      <c r="F242" s="61"/>
      <c r="G242" s="61"/>
      <c r="H242" s="91"/>
      <c r="I242" s="68"/>
      <c r="J242" s="68"/>
      <c r="K242" s="68"/>
      <c r="L242" s="61"/>
      <c r="M242" s="61"/>
      <c r="N242" s="61"/>
      <c r="O242" s="61"/>
      <c r="P242" s="61"/>
      <c r="Q242" s="61"/>
      <c r="R242" s="61"/>
      <c r="S242" s="61"/>
    </row>
    <row r="243" spans="1:19" ht="15">
      <c r="A243" s="68"/>
      <c r="B243" s="61"/>
      <c r="C243" s="61"/>
      <c r="D243" s="61"/>
      <c r="E243" s="61"/>
      <c r="F243" s="61"/>
      <c r="G243" s="61"/>
      <c r="H243" s="91"/>
      <c r="I243" s="68"/>
      <c r="J243" s="68"/>
      <c r="K243" s="68"/>
      <c r="L243" s="61"/>
      <c r="M243" s="61"/>
      <c r="N243" s="61"/>
      <c r="O243" s="61"/>
      <c r="P243" s="61"/>
      <c r="Q243" s="61"/>
      <c r="R243" s="61"/>
      <c r="S243" s="61"/>
    </row>
    <row r="244" spans="1:19" ht="15">
      <c r="A244" s="68"/>
      <c r="B244" s="61"/>
      <c r="C244" s="61"/>
      <c r="D244" s="61"/>
      <c r="E244" s="61"/>
      <c r="F244" s="61"/>
      <c r="G244" s="61"/>
      <c r="H244" s="91"/>
      <c r="I244" s="68"/>
      <c r="J244" s="68"/>
      <c r="K244" s="68"/>
      <c r="L244" s="61"/>
      <c r="M244" s="61"/>
      <c r="N244" s="61"/>
      <c r="O244" s="61"/>
      <c r="P244" s="61"/>
      <c r="Q244" s="61"/>
      <c r="R244" s="61"/>
      <c r="S244" s="61"/>
    </row>
    <row r="245" spans="1:19" ht="15">
      <c r="A245" s="68"/>
      <c r="B245" s="61"/>
      <c r="C245" s="61"/>
      <c r="D245" s="61"/>
      <c r="E245" s="61"/>
      <c r="F245" s="61"/>
      <c r="G245" s="61"/>
      <c r="H245" s="91"/>
      <c r="I245" s="68"/>
      <c r="J245" s="68"/>
      <c r="K245" s="68"/>
      <c r="L245" s="61"/>
      <c r="M245" s="61"/>
      <c r="N245" s="61"/>
      <c r="O245" s="61"/>
      <c r="P245" s="61"/>
      <c r="Q245" s="61"/>
      <c r="R245" s="61"/>
      <c r="S245" s="61"/>
    </row>
    <row r="246" spans="1:19" ht="15">
      <c r="A246" s="68"/>
      <c r="B246" s="61"/>
      <c r="C246" s="61"/>
      <c r="D246" s="61"/>
      <c r="E246" s="61"/>
      <c r="F246" s="61"/>
      <c r="G246" s="61"/>
      <c r="H246" s="91"/>
      <c r="I246" s="68"/>
      <c r="J246" s="68"/>
      <c r="K246" s="68"/>
      <c r="L246" s="61"/>
      <c r="M246" s="61"/>
      <c r="N246" s="61"/>
      <c r="O246" s="61"/>
      <c r="P246" s="61"/>
      <c r="Q246" s="61"/>
      <c r="R246" s="61"/>
      <c r="S246" s="61"/>
    </row>
    <row r="247" spans="1:19" ht="15">
      <c r="A247" s="68"/>
      <c r="B247" s="61"/>
      <c r="C247" s="61"/>
      <c r="D247" s="61"/>
      <c r="E247" s="61"/>
      <c r="F247" s="61"/>
      <c r="G247" s="61"/>
      <c r="H247" s="91"/>
      <c r="I247" s="68"/>
      <c r="J247" s="68"/>
      <c r="K247" s="68"/>
      <c r="L247" s="61"/>
      <c r="M247" s="61"/>
      <c r="N247" s="61"/>
      <c r="O247" s="61"/>
      <c r="P247" s="61"/>
      <c r="Q247" s="61"/>
      <c r="R247" s="61"/>
      <c r="S247" s="61"/>
    </row>
    <row r="248" spans="1:19" ht="15">
      <c r="A248" s="68"/>
      <c r="B248" s="61"/>
      <c r="C248" s="61"/>
      <c r="D248" s="61"/>
      <c r="E248" s="61"/>
      <c r="F248" s="61"/>
      <c r="G248" s="61"/>
      <c r="H248" s="91"/>
      <c r="I248" s="68"/>
      <c r="J248" s="68"/>
      <c r="K248" s="68"/>
      <c r="L248" s="61"/>
      <c r="M248" s="61"/>
      <c r="N248" s="61"/>
      <c r="O248" s="61"/>
      <c r="P248" s="61"/>
      <c r="Q248" s="61"/>
      <c r="R248" s="61"/>
      <c r="S248" s="61"/>
    </row>
    <row r="249" spans="1:19" ht="15">
      <c r="A249" s="68"/>
      <c r="B249" s="61"/>
      <c r="C249" s="61"/>
      <c r="D249" s="61"/>
      <c r="E249" s="61"/>
      <c r="F249" s="61"/>
      <c r="G249" s="61"/>
      <c r="H249" s="91"/>
      <c r="I249" s="68"/>
      <c r="J249" s="68"/>
      <c r="K249" s="68"/>
      <c r="L249" s="61"/>
      <c r="M249" s="61"/>
      <c r="N249" s="61"/>
      <c r="O249" s="61"/>
      <c r="P249" s="61"/>
      <c r="Q249" s="61"/>
      <c r="R249" s="61"/>
      <c r="S249" s="61"/>
    </row>
    <row r="250" spans="1:19" ht="15">
      <c r="A250" s="68"/>
      <c r="B250" s="61"/>
      <c r="C250" s="61"/>
      <c r="D250" s="61"/>
      <c r="E250" s="61"/>
      <c r="F250" s="61"/>
      <c r="G250" s="61"/>
      <c r="H250" s="91"/>
      <c r="I250" s="68"/>
      <c r="J250" s="68"/>
      <c r="K250" s="68"/>
      <c r="L250" s="61"/>
      <c r="M250" s="61"/>
      <c r="N250" s="61"/>
      <c r="O250" s="61"/>
      <c r="P250" s="61"/>
      <c r="Q250" s="61"/>
      <c r="R250" s="61"/>
      <c r="S250" s="61"/>
    </row>
    <row r="251" spans="1:19" ht="15">
      <c r="A251" s="68"/>
      <c r="B251" s="61"/>
      <c r="C251" s="61"/>
      <c r="D251" s="61"/>
      <c r="E251" s="61"/>
      <c r="F251" s="61"/>
      <c r="G251" s="61"/>
      <c r="H251" s="91"/>
      <c r="I251" s="68"/>
      <c r="J251" s="68"/>
      <c r="K251" s="68"/>
      <c r="L251" s="61"/>
      <c r="M251" s="61"/>
      <c r="N251" s="61"/>
      <c r="O251" s="61"/>
      <c r="P251" s="61"/>
      <c r="Q251" s="61"/>
      <c r="R251" s="61"/>
      <c r="S251" s="61"/>
    </row>
    <row r="252" spans="1:19" ht="15">
      <c r="A252" s="68"/>
      <c r="B252" s="61"/>
      <c r="C252" s="61"/>
      <c r="D252" s="61"/>
      <c r="E252" s="61"/>
      <c r="F252" s="61"/>
      <c r="G252" s="61"/>
      <c r="H252" s="91"/>
      <c r="I252" s="68"/>
      <c r="J252" s="68"/>
      <c r="K252" s="68"/>
      <c r="L252" s="61"/>
      <c r="M252" s="61"/>
      <c r="N252" s="61"/>
      <c r="O252" s="61"/>
      <c r="P252" s="61"/>
      <c r="Q252" s="61"/>
      <c r="R252" s="61"/>
      <c r="S252" s="61"/>
    </row>
    <row r="253" spans="1:19" ht="15">
      <c r="A253" s="68"/>
      <c r="B253" s="61"/>
      <c r="C253" s="61"/>
      <c r="D253" s="61"/>
      <c r="E253" s="61"/>
      <c r="F253" s="61"/>
      <c r="G253" s="61"/>
      <c r="H253" s="91"/>
      <c r="I253" s="68"/>
      <c r="J253" s="68"/>
      <c r="K253" s="68"/>
      <c r="L253" s="61"/>
      <c r="M253" s="61"/>
      <c r="N253" s="61"/>
      <c r="O253" s="61"/>
      <c r="P253" s="61"/>
      <c r="Q253" s="61"/>
      <c r="R253" s="61"/>
      <c r="S253" s="61"/>
    </row>
    <row r="254" spans="1:19" ht="15">
      <c r="A254" s="68"/>
      <c r="B254" s="61"/>
      <c r="C254" s="61"/>
      <c r="D254" s="61"/>
      <c r="E254" s="61"/>
      <c r="F254" s="61"/>
      <c r="G254" s="61"/>
      <c r="H254" s="91"/>
      <c r="I254" s="68"/>
      <c r="J254" s="68"/>
      <c r="K254" s="68"/>
      <c r="L254" s="61"/>
      <c r="M254" s="61"/>
      <c r="N254" s="61"/>
      <c r="O254" s="61"/>
      <c r="P254" s="61"/>
      <c r="Q254" s="61"/>
      <c r="R254" s="61"/>
      <c r="S254" s="61"/>
    </row>
    <row r="255" spans="1:19" ht="15">
      <c r="A255" s="68"/>
      <c r="B255" s="61"/>
      <c r="C255" s="61"/>
      <c r="D255" s="61"/>
      <c r="E255" s="61"/>
      <c r="F255" s="61"/>
      <c r="G255" s="61"/>
      <c r="H255" s="91"/>
      <c r="I255" s="68"/>
      <c r="J255" s="68"/>
      <c r="K255" s="68"/>
      <c r="L255" s="61"/>
      <c r="M255" s="61"/>
      <c r="N255" s="61"/>
      <c r="O255" s="61"/>
      <c r="P255" s="61"/>
      <c r="Q255" s="61"/>
      <c r="R255" s="61"/>
      <c r="S255" s="61"/>
    </row>
    <row r="256" spans="1:19" ht="15">
      <c r="A256" s="68"/>
      <c r="B256" s="61"/>
      <c r="C256" s="61"/>
      <c r="D256" s="61"/>
      <c r="E256" s="61"/>
      <c r="F256" s="61"/>
      <c r="G256" s="61"/>
      <c r="H256" s="91"/>
      <c r="I256" s="68"/>
      <c r="J256" s="68"/>
      <c r="K256" s="68"/>
      <c r="L256" s="61"/>
      <c r="M256" s="61"/>
      <c r="N256" s="61"/>
      <c r="O256" s="61"/>
      <c r="P256" s="61"/>
      <c r="Q256" s="61"/>
      <c r="R256" s="61"/>
      <c r="S256" s="61"/>
    </row>
    <row r="257" spans="1:19" ht="15">
      <c r="A257" s="68"/>
      <c r="B257" s="61"/>
      <c r="C257" s="61"/>
      <c r="D257" s="61"/>
      <c r="E257" s="61"/>
      <c r="F257" s="61"/>
      <c r="G257" s="61"/>
      <c r="H257" s="91"/>
      <c r="I257" s="68"/>
      <c r="J257" s="68"/>
      <c r="K257" s="68"/>
      <c r="L257" s="61"/>
      <c r="M257" s="61"/>
      <c r="N257" s="61"/>
      <c r="O257" s="61"/>
      <c r="P257" s="61"/>
      <c r="Q257" s="61"/>
      <c r="R257" s="61"/>
      <c r="S257" s="61"/>
    </row>
    <row r="258" spans="1:19" ht="15">
      <c r="A258" s="68"/>
      <c r="B258" s="61"/>
      <c r="C258" s="61"/>
      <c r="D258" s="61"/>
      <c r="E258" s="61"/>
      <c r="F258" s="61"/>
      <c r="G258" s="61"/>
      <c r="H258" s="91"/>
      <c r="I258" s="68"/>
      <c r="J258" s="68"/>
      <c r="K258" s="68"/>
      <c r="L258" s="61"/>
      <c r="M258" s="61"/>
      <c r="N258" s="61"/>
      <c r="O258" s="61"/>
      <c r="P258" s="61"/>
      <c r="Q258" s="61"/>
      <c r="R258" s="61"/>
      <c r="S258" s="61"/>
    </row>
    <row r="259" spans="1:19" ht="15">
      <c r="A259" s="68"/>
      <c r="B259" s="61"/>
      <c r="C259" s="61"/>
      <c r="D259" s="61"/>
      <c r="E259" s="61"/>
      <c r="F259" s="61"/>
      <c r="G259" s="61"/>
      <c r="H259" s="91"/>
      <c r="I259" s="68"/>
      <c r="J259" s="68"/>
      <c r="K259" s="68"/>
      <c r="L259" s="61"/>
      <c r="M259" s="61"/>
      <c r="N259" s="61"/>
      <c r="O259" s="61"/>
      <c r="P259" s="61"/>
      <c r="Q259" s="61"/>
      <c r="R259" s="61"/>
      <c r="S259" s="61"/>
    </row>
    <row r="260" spans="1:19" ht="15">
      <c r="A260" s="68"/>
      <c r="B260" s="61"/>
      <c r="C260" s="61"/>
      <c r="D260" s="61"/>
      <c r="E260" s="61"/>
      <c r="F260" s="61"/>
      <c r="G260" s="61"/>
      <c r="H260" s="91"/>
      <c r="I260" s="68"/>
      <c r="J260" s="68"/>
      <c r="K260" s="68"/>
      <c r="L260" s="61"/>
      <c r="M260" s="61"/>
      <c r="N260" s="61"/>
      <c r="O260" s="61"/>
      <c r="P260" s="61"/>
      <c r="Q260" s="61"/>
      <c r="R260" s="61"/>
      <c r="S260" s="61"/>
    </row>
    <row r="261" spans="1:19" ht="15">
      <c r="A261" s="68"/>
      <c r="B261" s="61"/>
      <c r="C261" s="61"/>
      <c r="D261" s="61"/>
      <c r="E261" s="61"/>
      <c r="F261" s="61"/>
      <c r="G261" s="61"/>
      <c r="H261" s="91"/>
      <c r="I261" s="68"/>
      <c r="J261" s="68"/>
      <c r="K261" s="68"/>
      <c r="L261" s="61"/>
      <c r="M261" s="61"/>
      <c r="N261" s="61"/>
      <c r="O261" s="61"/>
      <c r="P261" s="61"/>
      <c r="Q261" s="61"/>
      <c r="R261" s="61"/>
      <c r="S261" s="61"/>
    </row>
    <row r="262" spans="1:19" ht="15">
      <c r="A262" s="68"/>
      <c r="B262" s="61"/>
      <c r="C262" s="61"/>
      <c r="D262" s="61"/>
      <c r="E262" s="61"/>
      <c r="F262" s="61"/>
      <c r="G262" s="61"/>
      <c r="H262" s="91"/>
      <c r="I262" s="68"/>
      <c r="J262" s="68"/>
      <c r="K262" s="68"/>
      <c r="L262" s="61"/>
      <c r="M262" s="61"/>
      <c r="N262" s="61"/>
      <c r="O262" s="61"/>
      <c r="P262" s="61"/>
      <c r="Q262" s="61"/>
      <c r="R262" s="61"/>
      <c r="S262" s="61"/>
    </row>
    <row r="263" spans="1:19" ht="15">
      <c r="A263" s="68"/>
      <c r="B263" s="61"/>
      <c r="C263" s="61"/>
      <c r="D263" s="61"/>
      <c r="E263" s="61"/>
      <c r="F263" s="61"/>
      <c r="G263" s="61"/>
      <c r="H263" s="91"/>
      <c r="I263" s="68"/>
      <c r="J263" s="68"/>
      <c r="K263" s="68"/>
      <c r="L263" s="61"/>
      <c r="M263" s="61"/>
      <c r="N263" s="61"/>
      <c r="O263" s="61"/>
      <c r="P263" s="61"/>
      <c r="Q263" s="61"/>
      <c r="R263" s="61"/>
      <c r="S263" s="61"/>
    </row>
    <row r="264" spans="1:19" ht="15">
      <c r="A264" s="68"/>
      <c r="B264" s="61"/>
      <c r="C264" s="61"/>
      <c r="D264" s="61"/>
      <c r="E264" s="61"/>
      <c r="F264" s="61"/>
      <c r="G264" s="61"/>
      <c r="H264" s="91"/>
      <c r="I264" s="68"/>
      <c r="J264" s="68"/>
      <c r="K264" s="68"/>
      <c r="L264" s="61"/>
      <c r="M264" s="61"/>
      <c r="N264" s="61"/>
      <c r="O264" s="61"/>
      <c r="P264" s="61"/>
      <c r="Q264" s="61"/>
      <c r="R264" s="61"/>
      <c r="S264" s="61"/>
    </row>
    <row r="265" spans="1:19" ht="15">
      <c r="A265" s="68"/>
      <c r="B265" s="61"/>
      <c r="C265" s="61"/>
      <c r="D265" s="61"/>
      <c r="E265" s="61"/>
      <c r="F265" s="61"/>
      <c r="G265" s="61"/>
      <c r="H265" s="91"/>
      <c r="I265" s="68"/>
      <c r="J265" s="68"/>
      <c r="K265" s="68"/>
      <c r="L265" s="61"/>
      <c r="M265" s="61"/>
      <c r="N265" s="61"/>
      <c r="O265" s="61"/>
      <c r="P265" s="61"/>
      <c r="Q265" s="61"/>
      <c r="R265" s="61"/>
      <c r="S265" s="61"/>
    </row>
    <row r="266" spans="1:19" ht="15">
      <c r="A266" s="68"/>
      <c r="B266" s="61"/>
      <c r="C266" s="61"/>
      <c r="D266" s="61"/>
      <c r="E266" s="61"/>
      <c r="F266" s="61"/>
      <c r="G266" s="61"/>
      <c r="H266" s="91"/>
      <c r="I266" s="68"/>
      <c r="J266" s="68"/>
      <c r="K266" s="68"/>
      <c r="L266" s="61"/>
      <c r="M266" s="61"/>
      <c r="N266" s="61"/>
      <c r="O266" s="61"/>
      <c r="P266" s="61"/>
      <c r="Q266" s="61"/>
      <c r="R266" s="61"/>
      <c r="S266" s="61"/>
    </row>
    <row r="267" spans="1:19" ht="15">
      <c r="A267" s="68"/>
      <c r="B267" s="61"/>
      <c r="C267" s="61"/>
      <c r="D267" s="61"/>
      <c r="E267" s="61"/>
      <c r="F267" s="61"/>
      <c r="G267" s="61"/>
      <c r="H267" s="91"/>
      <c r="I267" s="68"/>
      <c r="J267" s="68"/>
      <c r="K267" s="68"/>
      <c r="L267" s="61"/>
      <c r="M267" s="61"/>
      <c r="N267" s="61"/>
      <c r="O267" s="61"/>
      <c r="P267" s="61"/>
      <c r="Q267" s="61"/>
      <c r="R267" s="61"/>
      <c r="S267" s="61"/>
    </row>
    <row r="268" spans="1:19" ht="15">
      <c r="A268" s="68"/>
      <c r="B268" s="61"/>
      <c r="C268" s="61"/>
      <c r="D268" s="61"/>
      <c r="E268" s="61"/>
      <c r="F268" s="61"/>
      <c r="G268" s="61"/>
      <c r="H268" s="91"/>
      <c r="I268" s="68"/>
      <c r="J268" s="68"/>
      <c r="K268" s="68"/>
      <c r="L268" s="61"/>
      <c r="M268" s="61"/>
      <c r="N268" s="61"/>
      <c r="O268" s="61"/>
      <c r="P268" s="61"/>
      <c r="Q268" s="61"/>
      <c r="R268" s="61"/>
      <c r="S268" s="61"/>
    </row>
    <row r="269" spans="1:19" ht="15">
      <c r="A269" s="68"/>
      <c r="B269" s="61"/>
      <c r="C269" s="61"/>
      <c r="D269" s="61"/>
      <c r="E269" s="61"/>
      <c r="F269" s="61"/>
      <c r="G269" s="61"/>
      <c r="H269" s="91"/>
      <c r="I269" s="68"/>
      <c r="J269" s="68"/>
      <c r="K269" s="68"/>
      <c r="L269" s="61"/>
      <c r="M269" s="61"/>
      <c r="N269" s="61"/>
      <c r="O269" s="61"/>
      <c r="P269" s="61"/>
      <c r="Q269" s="61"/>
      <c r="R269" s="61"/>
      <c r="S269" s="61"/>
    </row>
    <row r="270" spans="1:19" ht="15">
      <c r="A270" s="68"/>
      <c r="B270" s="61"/>
      <c r="C270" s="61"/>
      <c r="D270" s="61"/>
      <c r="E270" s="61"/>
      <c r="F270" s="61"/>
      <c r="G270" s="61"/>
      <c r="H270" s="91"/>
      <c r="I270" s="68"/>
      <c r="J270" s="68"/>
      <c r="K270" s="68"/>
      <c r="L270" s="61"/>
      <c r="M270" s="61"/>
      <c r="N270" s="61"/>
      <c r="O270" s="61"/>
      <c r="P270" s="61"/>
      <c r="Q270" s="61"/>
      <c r="R270" s="61"/>
      <c r="S270" s="61"/>
    </row>
    <row r="271" spans="1:19" ht="15">
      <c r="A271" s="68"/>
      <c r="B271" s="61"/>
      <c r="C271" s="61"/>
      <c r="D271" s="61"/>
      <c r="E271" s="61"/>
      <c r="F271" s="61"/>
      <c r="G271" s="61"/>
      <c r="H271" s="91"/>
      <c r="I271" s="68"/>
      <c r="J271" s="68"/>
      <c r="K271" s="68"/>
      <c r="L271" s="61"/>
      <c r="M271" s="61"/>
      <c r="N271" s="61"/>
      <c r="O271" s="61"/>
      <c r="P271" s="61"/>
      <c r="Q271" s="61"/>
      <c r="R271" s="61"/>
      <c r="S271" s="61"/>
    </row>
    <row r="272" spans="1:19" ht="15">
      <c r="A272" s="68"/>
      <c r="B272" s="61"/>
      <c r="C272" s="61"/>
      <c r="D272" s="61"/>
      <c r="E272" s="61"/>
      <c r="F272" s="61"/>
      <c r="G272" s="61"/>
      <c r="H272" s="91"/>
      <c r="I272" s="68"/>
      <c r="J272" s="68"/>
      <c r="K272" s="68"/>
      <c r="L272" s="61"/>
      <c r="M272" s="61"/>
      <c r="N272" s="61"/>
      <c r="O272" s="61"/>
      <c r="P272" s="61"/>
      <c r="Q272" s="61"/>
      <c r="R272" s="61"/>
      <c r="S272" s="61"/>
    </row>
    <row r="273" spans="1:19" ht="15">
      <c r="A273" s="68"/>
      <c r="B273" s="61"/>
      <c r="C273" s="61"/>
      <c r="D273" s="61"/>
      <c r="E273" s="61"/>
      <c r="F273" s="61"/>
      <c r="G273" s="61"/>
      <c r="H273" s="91"/>
      <c r="I273" s="68"/>
      <c r="J273" s="68"/>
      <c r="K273" s="68"/>
      <c r="L273" s="61"/>
      <c r="M273" s="61"/>
      <c r="N273" s="61"/>
      <c r="O273" s="61"/>
      <c r="P273" s="61"/>
      <c r="Q273" s="61"/>
      <c r="R273" s="61"/>
      <c r="S273" s="61"/>
    </row>
    <row r="274" spans="1:19" ht="15">
      <c r="A274" s="68"/>
      <c r="B274" s="61"/>
      <c r="C274" s="61"/>
      <c r="D274" s="61"/>
      <c r="E274" s="61"/>
      <c r="F274" s="61"/>
      <c r="G274" s="61"/>
      <c r="H274" s="91"/>
      <c r="I274" s="68"/>
      <c r="J274" s="68"/>
      <c r="K274" s="68"/>
      <c r="L274" s="61"/>
      <c r="M274" s="61"/>
      <c r="N274" s="61"/>
      <c r="O274" s="61"/>
      <c r="P274" s="61"/>
      <c r="Q274" s="61"/>
      <c r="R274" s="61"/>
      <c r="S274" s="61"/>
    </row>
    <row r="275" spans="1:19" ht="15">
      <c r="A275" s="68"/>
      <c r="B275" s="61"/>
      <c r="C275" s="61"/>
      <c r="D275" s="61"/>
      <c r="E275" s="61"/>
      <c r="F275" s="61"/>
      <c r="G275" s="61"/>
      <c r="H275" s="91"/>
      <c r="I275" s="68"/>
      <c r="J275" s="68"/>
      <c r="K275" s="68"/>
      <c r="L275" s="61"/>
      <c r="M275" s="61"/>
      <c r="N275" s="61"/>
      <c r="O275" s="61"/>
      <c r="P275" s="61"/>
      <c r="Q275" s="61"/>
      <c r="R275" s="61"/>
      <c r="S275" s="61"/>
    </row>
    <row r="276" spans="1:19" ht="15">
      <c r="A276" s="68"/>
      <c r="B276" s="61"/>
      <c r="C276" s="61"/>
      <c r="D276" s="61"/>
      <c r="E276" s="61"/>
      <c r="F276" s="61"/>
      <c r="G276" s="61"/>
      <c r="H276" s="91"/>
      <c r="I276" s="68"/>
      <c r="J276" s="68"/>
      <c r="K276" s="68"/>
      <c r="L276" s="61"/>
      <c r="M276" s="61"/>
      <c r="N276" s="61"/>
      <c r="O276" s="61"/>
      <c r="P276" s="61"/>
      <c r="Q276" s="61"/>
      <c r="R276" s="61"/>
      <c r="S276" s="61"/>
    </row>
    <row r="277" spans="1:19" ht="15">
      <c r="A277" s="68"/>
      <c r="B277" s="61"/>
      <c r="C277" s="61"/>
      <c r="D277" s="61"/>
      <c r="E277" s="61"/>
      <c r="F277" s="61"/>
      <c r="G277" s="61"/>
      <c r="H277" s="91"/>
      <c r="I277" s="68"/>
      <c r="J277" s="68"/>
      <c r="K277" s="68"/>
      <c r="L277" s="61"/>
      <c r="M277" s="61"/>
      <c r="N277" s="61"/>
      <c r="O277" s="61"/>
      <c r="P277" s="61"/>
      <c r="Q277" s="61"/>
      <c r="R277" s="61"/>
      <c r="S277" s="61"/>
    </row>
    <row r="278" spans="1:19" ht="15">
      <c r="A278" s="68"/>
      <c r="B278" s="61"/>
      <c r="C278" s="61"/>
      <c r="D278" s="61"/>
      <c r="E278" s="61"/>
      <c r="F278" s="61"/>
      <c r="G278" s="61"/>
      <c r="H278" s="91"/>
      <c r="I278" s="68"/>
      <c r="J278" s="68"/>
      <c r="K278" s="68"/>
      <c r="L278" s="61"/>
      <c r="M278" s="61"/>
      <c r="N278" s="61"/>
      <c r="O278" s="61"/>
      <c r="P278" s="61"/>
      <c r="Q278" s="61"/>
      <c r="R278" s="61"/>
      <c r="S278" s="61"/>
    </row>
    <row r="279" spans="1:19" ht="15">
      <c r="A279" s="68"/>
      <c r="B279" s="61"/>
      <c r="C279" s="61"/>
      <c r="D279" s="61"/>
      <c r="E279" s="61"/>
      <c r="F279" s="61"/>
      <c r="G279" s="61"/>
      <c r="H279" s="91"/>
      <c r="I279" s="68"/>
      <c r="J279" s="68"/>
      <c r="K279" s="68"/>
      <c r="L279" s="61"/>
      <c r="M279" s="61"/>
      <c r="N279" s="61"/>
      <c r="O279" s="61"/>
      <c r="P279" s="61"/>
      <c r="Q279" s="61"/>
      <c r="R279" s="61"/>
      <c r="S279" s="61"/>
    </row>
    <row r="280" spans="1:19" ht="15">
      <c r="A280" s="68"/>
      <c r="B280" s="61"/>
      <c r="C280" s="61"/>
      <c r="D280" s="61"/>
      <c r="E280" s="61"/>
      <c r="F280" s="61"/>
      <c r="G280" s="61"/>
      <c r="H280" s="91"/>
      <c r="I280" s="68"/>
      <c r="J280" s="68"/>
      <c r="K280" s="68"/>
      <c r="L280" s="61"/>
      <c r="M280" s="61"/>
      <c r="N280" s="61"/>
      <c r="O280" s="61"/>
      <c r="P280" s="61"/>
      <c r="Q280" s="61"/>
      <c r="R280" s="61"/>
      <c r="S280" s="61"/>
    </row>
    <row r="281" spans="1:19" ht="15">
      <c r="A281" s="68"/>
      <c r="B281" s="61"/>
      <c r="C281" s="61"/>
      <c r="D281" s="61"/>
      <c r="E281" s="61"/>
      <c r="F281" s="61"/>
      <c r="G281" s="61"/>
      <c r="H281" s="91"/>
      <c r="I281" s="68"/>
      <c r="J281" s="68"/>
      <c r="K281" s="68"/>
      <c r="L281" s="61"/>
      <c r="M281" s="61"/>
      <c r="N281" s="61"/>
      <c r="O281" s="61"/>
      <c r="P281" s="61"/>
      <c r="Q281" s="61"/>
      <c r="R281" s="61"/>
      <c r="S281" s="61"/>
    </row>
    <row r="282" spans="1:19" ht="15">
      <c r="A282" s="68"/>
      <c r="B282" s="61"/>
      <c r="C282" s="61"/>
      <c r="D282" s="61"/>
      <c r="E282" s="61"/>
      <c r="F282" s="61"/>
      <c r="G282" s="61"/>
      <c r="H282" s="91"/>
      <c r="I282" s="68"/>
      <c r="J282" s="68"/>
      <c r="K282" s="68"/>
      <c r="L282" s="61"/>
      <c r="M282" s="61"/>
      <c r="N282" s="61"/>
      <c r="O282" s="61"/>
      <c r="P282" s="61"/>
      <c r="Q282" s="61"/>
      <c r="R282" s="61"/>
      <c r="S282" s="61"/>
    </row>
    <row r="283" spans="1:19" ht="15">
      <c r="A283" s="68"/>
      <c r="B283" s="61"/>
      <c r="C283" s="61"/>
      <c r="D283" s="61"/>
      <c r="E283" s="61"/>
      <c r="F283" s="61"/>
      <c r="G283" s="61"/>
      <c r="H283" s="91"/>
      <c r="I283" s="68"/>
      <c r="J283" s="68"/>
      <c r="K283" s="68"/>
      <c r="L283" s="61"/>
      <c r="M283" s="61"/>
      <c r="N283" s="61"/>
      <c r="O283" s="61"/>
      <c r="P283" s="61"/>
      <c r="Q283" s="61"/>
      <c r="R283" s="61"/>
      <c r="S283" s="61"/>
    </row>
    <row r="284" spans="1:19" ht="15">
      <c r="A284" s="68"/>
      <c r="B284" s="61"/>
      <c r="C284" s="61"/>
      <c r="D284" s="61"/>
      <c r="E284" s="61"/>
      <c r="F284" s="61"/>
      <c r="G284" s="61"/>
      <c r="H284" s="91"/>
      <c r="I284" s="68"/>
      <c r="J284" s="68"/>
      <c r="K284" s="68"/>
      <c r="L284" s="61"/>
      <c r="M284" s="61"/>
      <c r="N284" s="61"/>
      <c r="O284" s="61"/>
      <c r="P284" s="61"/>
      <c r="Q284" s="61"/>
      <c r="R284" s="61"/>
      <c r="S284" s="61"/>
    </row>
    <row r="285" spans="1:19" ht="15">
      <c r="A285" s="68"/>
      <c r="B285" s="61"/>
      <c r="C285" s="61"/>
      <c r="D285" s="61"/>
      <c r="E285" s="61"/>
      <c r="F285" s="61"/>
      <c r="G285" s="61"/>
      <c r="H285" s="91"/>
      <c r="I285" s="68"/>
      <c r="J285" s="68"/>
      <c r="K285" s="68"/>
      <c r="L285" s="61"/>
      <c r="M285" s="61"/>
      <c r="N285" s="61"/>
      <c r="O285" s="61"/>
      <c r="P285" s="61"/>
      <c r="Q285" s="61"/>
      <c r="R285" s="61"/>
      <c r="S285" s="61"/>
    </row>
    <row r="286" spans="1:19" ht="15">
      <c r="A286" s="68"/>
      <c r="B286" s="61"/>
      <c r="C286" s="61"/>
      <c r="D286" s="61"/>
      <c r="E286" s="61"/>
      <c r="F286" s="61"/>
      <c r="G286" s="61"/>
      <c r="H286" s="91"/>
      <c r="I286" s="68"/>
      <c r="J286" s="68"/>
      <c r="K286" s="68"/>
      <c r="L286" s="61"/>
      <c r="M286" s="61"/>
      <c r="N286" s="61"/>
      <c r="O286" s="61"/>
      <c r="P286" s="61"/>
      <c r="Q286" s="61"/>
      <c r="R286" s="61"/>
      <c r="S286" s="61"/>
    </row>
    <row r="287" spans="1:19" ht="15">
      <c r="A287" s="68"/>
      <c r="B287" s="61"/>
      <c r="C287" s="61"/>
      <c r="D287" s="61"/>
      <c r="E287" s="61"/>
      <c r="F287" s="61"/>
      <c r="G287" s="61"/>
      <c r="H287" s="91"/>
      <c r="I287" s="68"/>
      <c r="J287" s="68"/>
      <c r="K287" s="68"/>
      <c r="L287" s="61"/>
      <c r="M287" s="61"/>
      <c r="N287" s="61"/>
      <c r="O287" s="61"/>
      <c r="P287" s="61"/>
      <c r="Q287" s="61"/>
      <c r="R287" s="61"/>
      <c r="S287" s="61"/>
    </row>
    <row r="288" spans="1:19" ht="15">
      <c r="A288" s="68"/>
      <c r="B288" s="61"/>
      <c r="C288" s="61"/>
      <c r="D288" s="61"/>
      <c r="E288" s="61"/>
      <c r="F288" s="61"/>
      <c r="G288" s="61"/>
      <c r="H288" s="91"/>
      <c r="I288" s="68"/>
      <c r="J288" s="68"/>
      <c r="K288" s="68"/>
      <c r="L288" s="61"/>
      <c r="M288" s="61"/>
      <c r="N288" s="61"/>
      <c r="O288" s="61"/>
      <c r="P288" s="61"/>
      <c r="Q288" s="61"/>
      <c r="R288" s="61"/>
      <c r="S288" s="61"/>
    </row>
    <row r="289" spans="1:19" ht="15">
      <c r="A289" s="68"/>
      <c r="B289" s="61"/>
      <c r="C289" s="61"/>
      <c r="D289" s="61"/>
      <c r="E289" s="61"/>
      <c r="F289" s="61"/>
      <c r="G289" s="61"/>
      <c r="H289" s="91"/>
      <c r="I289" s="68"/>
      <c r="J289" s="68"/>
      <c r="K289" s="68"/>
      <c r="L289" s="61"/>
      <c r="M289" s="61"/>
      <c r="N289" s="61"/>
      <c r="O289" s="61"/>
      <c r="P289" s="61"/>
      <c r="Q289" s="61"/>
      <c r="R289" s="61"/>
      <c r="S289" s="61"/>
    </row>
    <row r="290" spans="1:19" ht="15">
      <c r="A290" s="68"/>
      <c r="B290" s="61"/>
      <c r="C290" s="61"/>
      <c r="D290" s="61"/>
      <c r="E290" s="61"/>
      <c r="F290" s="61"/>
      <c r="G290" s="61"/>
      <c r="H290" s="91"/>
      <c r="I290" s="68"/>
      <c r="J290" s="68"/>
      <c r="K290" s="68"/>
      <c r="L290" s="61"/>
      <c r="M290" s="61"/>
      <c r="N290" s="61"/>
      <c r="O290" s="61"/>
      <c r="P290" s="61"/>
      <c r="Q290" s="61"/>
      <c r="R290" s="61"/>
      <c r="S290" s="61"/>
    </row>
    <row r="291" spans="1:19" ht="15">
      <c r="A291" s="68"/>
      <c r="B291" s="61"/>
      <c r="C291" s="61"/>
      <c r="D291" s="61"/>
      <c r="E291" s="61"/>
      <c r="F291" s="61"/>
      <c r="G291" s="61"/>
      <c r="H291" s="91"/>
      <c r="I291" s="68"/>
      <c r="J291" s="68"/>
      <c r="K291" s="68"/>
      <c r="L291" s="61"/>
      <c r="M291" s="61"/>
      <c r="N291" s="61"/>
      <c r="O291" s="61"/>
      <c r="P291" s="61"/>
      <c r="Q291" s="61"/>
      <c r="R291" s="61"/>
      <c r="S291" s="61"/>
    </row>
    <row r="292" spans="1:19" ht="15">
      <c r="A292" s="68"/>
      <c r="B292" s="61"/>
      <c r="C292" s="61"/>
      <c r="D292" s="61"/>
      <c r="E292" s="61"/>
      <c r="F292" s="61"/>
      <c r="G292" s="61"/>
      <c r="H292" s="91"/>
      <c r="I292" s="68"/>
      <c r="J292" s="68"/>
      <c r="K292" s="68"/>
      <c r="L292" s="61"/>
      <c r="M292" s="61"/>
      <c r="N292" s="61"/>
      <c r="O292" s="61"/>
      <c r="P292" s="61"/>
      <c r="Q292" s="61"/>
      <c r="R292" s="61"/>
      <c r="S292" s="61"/>
    </row>
    <row r="293" spans="1:19" ht="15">
      <c r="A293" s="68"/>
      <c r="B293" s="61"/>
      <c r="C293" s="61"/>
      <c r="D293" s="61"/>
      <c r="E293" s="61"/>
      <c r="F293" s="61"/>
      <c r="G293" s="61"/>
      <c r="H293" s="91"/>
      <c r="I293" s="68"/>
      <c r="J293" s="68"/>
      <c r="K293" s="68"/>
      <c r="L293" s="61"/>
      <c r="M293" s="61"/>
      <c r="N293" s="61"/>
      <c r="O293" s="61"/>
      <c r="P293" s="61"/>
      <c r="Q293" s="61"/>
      <c r="R293" s="61"/>
      <c r="S293" s="61"/>
    </row>
    <row r="294" spans="1:19" ht="15">
      <c r="A294" s="68"/>
      <c r="B294" s="61"/>
      <c r="C294" s="61"/>
      <c r="D294" s="61"/>
      <c r="E294" s="61"/>
      <c r="F294" s="61"/>
      <c r="G294" s="61"/>
      <c r="H294" s="91"/>
      <c r="I294" s="68"/>
      <c r="J294" s="68"/>
      <c r="K294" s="68"/>
      <c r="L294" s="61"/>
      <c r="M294" s="61"/>
      <c r="N294" s="61"/>
      <c r="O294" s="61"/>
      <c r="P294" s="61"/>
      <c r="Q294" s="61"/>
      <c r="R294" s="61"/>
      <c r="S294" s="61"/>
    </row>
    <row r="295" spans="1:19" ht="15">
      <c r="A295" s="68"/>
      <c r="B295" s="61"/>
      <c r="C295" s="61"/>
      <c r="D295" s="61"/>
      <c r="E295" s="61"/>
      <c r="F295" s="61"/>
      <c r="G295" s="61"/>
      <c r="H295" s="91"/>
      <c r="I295" s="68"/>
      <c r="J295" s="68"/>
      <c r="K295" s="68"/>
      <c r="L295" s="61"/>
      <c r="M295" s="61"/>
      <c r="N295" s="61"/>
      <c r="O295" s="61"/>
      <c r="P295" s="61"/>
      <c r="Q295" s="61"/>
      <c r="R295" s="61"/>
      <c r="S295" s="61"/>
    </row>
    <row r="296" spans="1:19" ht="15">
      <c r="A296" s="68"/>
      <c r="B296" s="61"/>
      <c r="C296" s="61"/>
      <c r="D296" s="61"/>
      <c r="E296" s="61"/>
      <c r="F296" s="61"/>
      <c r="G296" s="61"/>
      <c r="H296" s="91"/>
      <c r="I296" s="68"/>
      <c r="J296" s="68"/>
      <c r="K296" s="68"/>
      <c r="L296" s="61"/>
      <c r="M296" s="61"/>
      <c r="N296" s="61"/>
      <c r="O296" s="61"/>
      <c r="P296" s="61"/>
      <c r="Q296" s="61"/>
      <c r="R296" s="61"/>
      <c r="S296" s="61"/>
    </row>
    <row r="297" spans="1:19" ht="15">
      <c r="A297" s="68"/>
      <c r="B297" s="61"/>
      <c r="C297" s="61"/>
      <c r="D297" s="61"/>
      <c r="E297" s="61"/>
      <c r="F297" s="61"/>
      <c r="G297" s="61"/>
      <c r="H297" s="91"/>
      <c r="I297" s="68"/>
      <c r="J297" s="68"/>
      <c r="K297" s="68"/>
      <c r="L297" s="61"/>
      <c r="M297" s="61"/>
      <c r="N297" s="61"/>
      <c r="O297" s="61"/>
      <c r="P297" s="61"/>
      <c r="Q297" s="61"/>
      <c r="R297" s="61"/>
      <c r="S297" s="61"/>
    </row>
    <row r="298" spans="1:19" ht="15">
      <c r="A298" s="68"/>
      <c r="B298" s="61"/>
      <c r="C298" s="61"/>
      <c r="D298" s="61"/>
      <c r="E298" s="61"/>
      <c r="F298" s="61"/>
      <c r="G298" s="61"/>
      <c r="H298" s="91"/>
      <c r="I298" s="68"/>
      <c r="J298" s="68"/>
      <c r="K298" s="68"/>
      <c r="L298" s="61"/>
      <c r="M298" s="61"/>
      <c r="N298" s="61"/>
      <c r="O298" s="61"/>
      <c r="P298" s="61"/>
      <c r="Q298" s="61"/>
      <c r="R298" s="61"/>
      <c r="S298" s="61"/>
    </row>
    <row r="299" spans="1:19" ht="15">
      <c r="A299" s="68"/>
      <c r="B299" s="61"/>
      <c r="C299" s="61"/>
      <c r="D299" s="61"/>
      <c r="E299" s="61"/>
      <c r="F299" s="61"/>
      <c r="G299" s="61"/>
      <c r="H299" s="91"/>
      <c r="I299" s="68"/>
      <c r="J299" s="68"/>
      <c r="K299" s="68"/>
      <c r="L299" s="61"/>
      <c r="M299" s="61"/>
      <c r="N299" s="61"/>
      <c r="O299" s="61"/>
      <c r="P299" s="61"/>
      <c r="Q299" s="61"/>
      <c r="R299" s="61"/>
      <c r="S299" s="61"/>
    </row>
    <row r="300" spans="1:19" ht="15">
      <c r="A300" s="68"/>
      <c r="B300" s="61"/>
      <c r="C300" s="61"/>
      <c r="D300" s="61"/>
      <c r="E300" s="61"/>
      <c r="F300" s="61"/>
      <c r="G300" s="61"/>
      <c r="H300" s="91"/>
      <c r="I300" s="68"/>
      <c r="J300" s="68"/>
      <c r="K300" s="68"/>
      <c r="L300" s="61"/>
      <c r="M300" s="61"/>
      <c r="N300" s="61"/>
      <c r="O300" s="61"/>
      <c r="P300" s="61"/>
      <c r="Q300" s="61"/>
      <c r="R300" s="61"/>
      <c r="S300" s="61"/>
    </row>
    <row r="301" spans="1:19" ht="15">
      <c r="A301" s="68"/>
      <c r="B301" s="61"/>
      <c r="C301" s="61"/>
      <c r="D301" s="61"/>
      <c r="E301" s="61"/>
      <c r="F301" s="61"/>
      <c r="G301" s="61"/>
      <c r="H301" s="91"/>
      <c r="I301" s="68"/>
      <c r="J301" s="68"/>
      <c r="K301" s="68"/>
      <c r="L301" s="61"/>
      <c r="M301" s="61"/>
      <c r="N301" s="61"/>
      <c r="O301" s="61"/>
      <c r="P301" s="61"/>
      <c r="Q301" s="61"/>
      <c r="R301" s="61"/>
      <c r="S301" s="61"/>
    </row>
    <row r="302" spans="1:19" ht="15">
      <c r="A302" s="68"/>
      <c r="B302" s="61"/>
      <c r="C302" s="61"/>
      <c r="D302" s="61"/>
      <c r="E302" s="61"/>
      <c r="F302" s="61"/>
      <c r="G302" s="61"/>
      <c r="H302" s="91"/>
      <c r="I302" s="68"/>
      <c r="J302" s="68"/>
      <c r="K302" s="68"/>
      <c r="L302" s="61"/>
      <c r="M302" s="61"/>
      <c r="N302" s="61"/>
      <c r="O302" s="61"/>
      <c r="P302" s="61"/>
      <c r="Q302" s="61"/>
      <c r="R302" s="61"/>
      <c r="S302" s="61"/>
    </row>
    <row r="303" spans="1:19" ht="15">
      <c r="A303" s="68"/>
      <c r="B303" s="61"/>
      <c r="C303" s="61"/>
      <c r="D303" s="61"/>
      <c r="E303" s="61"/>
      <c r="F303" s="61"/>
      <c r="G303" s="61"/>
      <c r="H303" s="91"/>
      <c r="I303" s="68"/>
      <c r="J303" s="68"/>
      <c r="K303" s="68"/>
      <c r="L303" s="61"/>
      <c r="M303" s="61"/>
      <c r="N303" s="61"/>
      <c r="O303" s="61"/>
      <c r="P303" s="61"/>
      <c r="Q303" s="61"/>
      <c r="R303" s="61"/>
      <c r="S303" s="61"/>
    </row>
    <row r="304" spans="1:19" ht="15">
      <c r="A304" s="68"/>
      <c r="B304" s="61"/>
      <c r="C304" s="61"/>
      <c r="D304" s="61"/>
      <c r="E304" s="61"/>
      <c r="F304" s="61"/>
      <c r="G304" s="61"/>
      <c r="H304" s="91"/>
      <c r="I304" s="68"/>
      <c r="J304" s="68"/>
      <c r="K304" s="68"/>
      <c r="L304" s="61"/>
      <c r="M304" s="61"/>
      <c r="N304" s="61"/>
      <c r="O304" s="61"/>
      <c r="P304" s="61"/>
      <c r="Q304" s="61"/>
      <c r="R304" s="61"/>
      <c r="S304" s="61"/>
    </row>
    <row r="305" spans="1:19" ht="15">
      <c r="A305" s="68"/>
      <c r="B305" s="61"/>
      <c r="C305" s="61"/>
      <c r="D305" s="61"/>
      <c r="E305" s="61"/>
      <c r="F305" s="61"/>
      <c r="G305" s="61"/>
      <c r="H305" s="91"/>
      <c r="I305" s="68"/>
      <c r="J305" s="68"/>
      <c r="K305" s="68"/>
      <c r="L305" s="61"/>
      <c r="M305" s="61"/>
      <c r="N305" s="61"/>
      <c r="O305" s="61"/>
      <c r="P305" s="61"/>
      <c r="Q305" s="61"/>
      <c r="R305" s="61"/>
      <c r="S305" s="61"/>
    </row>
    <row r="306" spans="1:19" ht="15">
      <c r="A306" s="68"/>
      <c r="B306" s="61"/>
      <c r="C306" s="61"/>
      <c r="D306" s="61"/>
      <c r="E306" s="61"/>
      <c r="F306" s="61"/>
      <c r="G306" s="61"/>
      <c r="H306" s="91"/>
      <c r="I306" s="68"/>
      <c r="J306" s="68"/>
      <c r="K306" s="68"/>
      <c r="L306" s="61"/>
      <c r="M306" s="61"/>
      <c r="N306" s="61"/>
      <c r="O306" s="61"/>
      <c r="P306" s="61"/>
      <c r="Q306" s="61"/>
      <c r="R306" s="61"/>
      <c r="S306" s="61"/>
    </row>
    <row r="307" spans="1:19" ht="15">
      <c r="A307" s="68"/>
      <c r="B307" s="61"/>
      <c r="C307" s="61"/>
      <c r="D307" s="61"/>
      <c r="E307" s="61"/>
      <c r="F307" s="61"/>
      <c r="G307" s="61"/>
      <c r="H307" s="91"/>
      <c r="I307" s="68"/>
      <c r="J307" s="68"/>
      <c r="K307" s="68"/>
      <c r="L307" s="61"/>
      <c r="M307" s="61"/>
      <c r="N307" s="61"/>
      <c r="O307" s="61"/>
      <c r="P307" s="61"/>
      <c r="Q307" s="61"/>
      <c r="R307" s="61"/>
      <c r="S307" s="61"/>
    </row>
    <row r="308" spans="1:19" ht="15">
      <c r="A308" s="68"/>
      <c r="B308" s="61"/>
      <c r="C308" s="61"/>
      <c r="D308" s="61"/>
      <c r="E308" s="61"/>
      <c r="F308" s="61"/>
      <c r="G308" s="61"/>
      <c r="H308" s="91"/>
      <c r="I308" s="68"/>
      <c r="J308" s="68"/>
      <c r="K308" s="68"/>
      <c r="L308" s="61"/>
      <c r="M308" s="61"/>
      <c r="N308" s="61"/>
      <c r="O308" s="61"/>
      <c r="P308" s="61"/>
      <c r="Q308" s="61"/>
      <c r="R308" s="61"/>
      <c r="S308" s="61"/>
    </row>
    <row r="309" spans="1:19" ht="15">
      <c r="A309" s="68"/>
      <c r="B309" s="61"/>
      <c r="C309" s="61"/>
      <c r="D309" s="61"/>
      <c r="E309" s="61"/>
      <c r="F309" s="61"/>
      <c r="G309" s="61"/>
      <c r="H309" s="91"/>
      <c r="I309" s="68"/>
      <c r="J309" s="68"/>
      <c r="K309" s="68"/>
      <c r="L309" s="61"/>
      <c r="M309" s="61"/>
      <c r="N309" s="61"/>
      <c r="O309" s="61"/>
      <c r="P309" s="61"/>
      <c r="Q309" s="61"/>
      <c r="R309" s="61"/>
      <c r="S309" s="61"/>
    </row>
    <row r="310" spans="1:19" ht="15">
      <c r="A310" s="68"/>
      <c r="B310" s="61"/>
      <c r="C310" s="61"/>
      <c r="D310" s="61"/>
      <c r="E310" s="61"/>
      <c r="F310" s="61"/>
      <c r="G310" s="61"/>
      <c r="H310" s="91"/>
      <c r="I310" s="68"/>
      <c r="J310" s="68"/>
      <c r="K310" s="68"/>
      <c r="L310" s="61"/>
      <c r="M310" s="61"/>
      <c r="N310" s="61"/>
      <c r="O310" s="61"/>
      <c r="P310" s="61"/>
      <c r="Q310" s="61"/>
      <c r="R310" s="61"/>
      <c r="S310" s="61"/>
    </row>
    <row r="311" spans="1:19" ht="15">
      <c r="A311" s="68"/>
      <c r="B311" s="61"/>
      <c r="C311" s="61"/>
      <c r="D311" s="61"/>
      <c r="E311" s="61"/>
      <c r="F311" s="61"/>
      <c r="G311" s="61"/>
      <c r="H311" s="91"/>
      <c r="I311" s="68"/>
      <c r="J311" s="68"/>
      <c r="K311" s="68"/>
      <c r="L311" s="61"/>
      <c r="M311" s="61"/>
      <c r="N311" s="61"/>
      <c r="O311" s="61"/>
      <c r="P311" s="61"/>
      <c r="Q311" s="61"/>
      <c r="R311" s="61"/>
      <c r="S311" s="61"/>
    </row>
    <row r="312" spans="1:19" ht="15">
      <c r="A312" s="68"/>
      <c r="B312" s="61"/>
      <c r="C312" s="61"/>
      <c r="D312" s="61"/>
      <c r="E312" s="61"/>
      <c r="F312" s="61"/>
      <c r="G312" s="61"/>
      <c r="H312" s="91"/>
      <c r="I312" s="68"/>
      <c r="J312" s="68"/>
      <c r="K312" s="68"/>
      <c r="L312" s="61"/>
      <c r="M312" s="61"/>
      <c r="N312" s="61"/>
      <c r="O312" s="61"/>
      <c r="P312" s="61"/>
      <c r="Q312" s="61"/>
      <c r="R312" s="61"/>
      <c r="S312" s="61"/>
    </row>
    <row r="313" spans="1:19" ht="15">
      <c r="A313" s="68"/>
      <c r="B313" s="61"/>
      <c r="C313" s="61"/>
      <c r="D313" s="61"/>
      <c r="E313" s="61"/>
      <c r="F313" s="61"/>
      <c r="G313" s="61"/>
      <c r="H313" s="91"/>
      <c r="I313" s="68"/>
      <c r="J313" s="68"/>
      <c r="K313" s="68"/>
      <c r="L313" s="61"/>
      <c r="M313" s="61"/>
      <c r="N313" s="61"/>
      <c r="O313" s="61"/>
      <c r="P313" s="61"/>
      <c r="Q313" s="61"/>
      <c r="R313" s="61"/>
      <c r="S313" s="61"/>
    </row>
    <row r="314" spans="1:19" ht="15">
      <c r="A314" s="68"/>
      <c r="B314" s="61"/>
      <c r="C314" s="61"/>
      <c r="D314" s="61"/>
      <c r="E314" s="61"/>
      <c r="F314" s="61"/>
      <c r="G314" s="61"/>
      <c r="H314" s="91"/>
      <c r="I314" s="68"/>
      <c r="J314" s="68"/>
      <c r="K314" s="68"/>
      <c r="L314" s="61"/>
      <c r="M314" s="61"/>
      <c r="N314" s="61"/>
      <c r="O314" s="61"/>
      <c r="P314" s="61"/>
      <c r="Q314" s="61"/>
      <c r="R314" s="61"/>
      <c r="S314" s="61"/>
    </row>
    <row r="315" spans="1:19" ht="15">
      <c r="A315" s="68"/>
      <c r="B315" s="61"/>
      <c r="C315" s="61"/>
      <c r="D315" s="61"/>
      <c r="E315" s="61"/>
      <c r="F315" s="61"/>
      <c r="G315" s="61"/>
      <c r="H315" s="91"/>
      <c r="I315" s="68"/>
      <c r="J315" s="68"/>
      <c r="K315" s="68"/>
      <c r="L315" s="61"/>
      <c r="M315" s="61"/>
      <c r="N315" s="61"/>
      <c r="O315" s="61"/>
      <c r="P315" s="61"/>
      <c r="Q315" s="61"/>
      <c r="R315" s="61"/>
      <c r="S315" s="61"/>
    </row>
    <row r="316" spans="1:19" ht="15">
      <c r="A316" s="68"/>
      <c r="B316" s="61"/>
      <c r="C316" s="61"/>
      <c r="D316" s="61"/>
      <c r="E316" s="61"/>
      <c r="F316" s="61"/>
      <c r="G316" s="61"/>
      <c r="H316" s="91"/>
      <c r="I316" s="68"/>
      <c r="J316" s="68"/>
      <c r="K316" s="68"/>
      <c r="L316" s="61"/>
      <c r="M316" s="61"/>
      <c r="N316" s="61"/>
      <c r="O316" s="61"/>
      <c r="P316" s="61"/>
      <c r="Q316" s="61"/>
      <c r="R316" s="61"/>
      <c r="S316" s="61"/>
    </row>
    <row r="317" spans="1:19" ht="15">
      <c r="A317" s="68"/>
      <c r="B317" s="61"/>
      <c r="C317" s="61"/>
      <c r="D317" s="61"/>
      <c r="E317" s="61"/>
      <c r="F317" s="61"/>
      <c r="G317" s="61"/>
      <c r="H317" s="91"/>
      <c r="I317" s="68"/>
      <c r="J317" s="68"/>
      <c r="K317" s="68"/>
      <c r="L317" s="61"/>
      <c r="M317" s="61"/>
      <c r="N317" s="61"/>
      <c r="O317" s="61"/>
      <c r="P317" s="61"/>
      <c r="Q317" s="61"/>
      <c r="R317" s="61"/>
      <c r="S317" s="61"/>
    </row>
    <row r="318" spans="1:19" ht="15">
      <c r="A318" s="68"/>
      <c r="B318" s="61"/>
      <c r="C318" s="61"/>
      <c r="D318" s="61"/>
      <c r="E318" s="61"/>
      <c r="F318" s="61"/>
      <c r="G318" s="61"/>
      <c r="H318" s="91"/>
      <c r="I318" s="68"/>
      <c r="J318" s="68"/>
      <c r="K318" s="68"/>
      <c r="L318" s="61"/>
      <c r="M318" s="61"/>
      <c r="N318" s="61"/>
      <c r="O318" s="61"/>
      <c r="P318" s="61"/>
      <c r="Q318" s="61"/>
      <c r="R318" s="61"/>
      <c r="S318" s="61"/>
    </row>
    <row r="319" spans="1:19" ht="15">
      <c r="A319" s="68"/>
      <c r="B319" s="61"/>
      <c r="C319" s="61"/>
      <c r="D319" s="61"/>
      <c r="E319" s="61"/>
      <c r="F319" s="61"/>
      <c r="G319" s="61"/>
      <c r="H319" s="91"/>
      <c r="I319" s="68"/>
      <c r="J319" s="68"/>
      <c r="K319" s="68"/>
      <c r="L319" s="61"/>
      <c r="M319" s="61"/>
      <c r="N319" s="61"/>
      <c r="O319" s="61"/>
      <c r="P319" s="61"/>
      <c r="Q319" s="61"/>
      <c r="R319" s="61"/>
      <c r="S319" s="61"/>
    </row>
    <row r="320" spans="1:19" ht="15">
      <c r="A320" s="68"/>
      <c r="B320" s="61"/>
      <c r="C320" s="61"/>
      <c r="D320" s="61"/>
      <c r="E320" s="61"/>
      <c r="F320" s="61"/>
      <c r="G320" s="61"/>
      <c r="H320" s="91"/>
      <c r="I320" s="68"/>
      <c r="J320" s="68"/>
      <c r="K320" s="68"/>
      <c r="L320" s="61"/>
      <c r="M320" s="61"/>
      <c r="N320" s="61"/>
      <c r="O320" s="61"/>
      <c r="P320" s="61"/>
      <c r="Q320" s="61"/>
      <c r="R320" s="61"/>
      <c r="S320" s="61"/>
    </row>
    <row r="321" spans="1:19" ht="15">
      <c r="A321" s="68"/>
      <c r="B321" s="61"/>
      <c r="C321" s="61"/>
      <c r="D321" s="61"/>
      <c r="E321" s="61"/>
      <c r="F321" s="61"/>
      <c r="G321" s="61"/>
      <c r="H321" s="91"/>
      <c r="I321" s="68"/>
      <c r="J321" s="68"/>
      <c r="K321" s="68"/>
      <c r="L321" s="61"/>
      <c r="M321" s="61"/>
      <c r="N321" s="61"/>
      <c r="O321" s="61"/>
      <c r="P321" s="61"/>
      <c r="Q321" s="61"/>
      <c r="R321" s="61"/>
      <c r="S321" s="61"/>
    </row>
    <row r="322" spans="1:19" ht="15">
      <c r="A322" s="68"/>
      <c r="B322" s="61"/>
      <c r="C322" s="61"/>
      <c r="D322" s="61"/>
      <c r="E322" s="61"/>
      <c r="F322" s="61"/>
      <c r="G322" s="61"/>
      <c r="H322" s="91"/>
      <c r="I322" s="68"/>
      <c r="J322" s="68"/>
      <c r="K322" s="68"/>
      <c r="L322" s="61"/>
      <c r="M322" s="61"/>
      <c r="N322" s="61"/>
      <c r="O322" s="61"/>
      <c r="P322" s="61"/>
      <c r="Q322" s="61"/>
      <c r="R322" s="61"/>
      <c r="S322" s="61"/>
    </row>
    <row r="323" spans="1:19" ht="15">
      <c r="A323" s="68"/>
      <c r="B323" s="61"/>
      <c r="C323" s="61"/>
      <c r="D323" s="61"/>
      <c r="E323" s="61"/>
      <c r="F323" s="61"/>
      <c r="G323" s="61"/>
      <c r="H323" s="91"/>
      <c r="I323" s="68"/>
      <c r="J323" s="68"/>
      <c r="K323" s="68"/>
      <c r="L323" s="61"/>
      <c r="M323" s="61"/>
      <c r="N323" s="61"/>
      <c r="O323" s="61"/>
      <c r="P323" s="61"/>
      <c r="Q323" s="61"/>
      <c r="R323" s="61"/>
      <c r="S323" s="61"/>
    </row>
    <row r="324" spans="1:19" ht="15">
      <c r="A324" s="68"/>
      <c r="B324" s="61"/>
      <c r="C324" s="61"/>
      <c r="D324" s="61"/>
      <c r="E324" s="61"/>
      <c r="F324" s="61"/>
      <c r="G324" s="61"/>
      <c r="H324" s="91"/>
      <c r="I324" s="68"/>
      <c r="J324" s="68"/>
      <c r="K324" s="68"/>
      <c r="L324" s="61"/>
      <c r="M324" s="61"/>
      <c r="N324" s="61"/>
      <c r="O324" s="61"/>
      <c r="P324" s="61"/>
      <c r="Q324" s="61"/>
      <c r="R324" s="61"/>
      <c r="S324" s="61"/>
    </row>
    <row r="325" spans="1:19" ht="15">
      <c r="A325" s="68"/>
      <c r="B325" s="61"/>
      <c r="C325" s="61"/>
      <c r="D325" s="61"/>
      <c r="E325" s="61"/>
      <c r="F325" s="61"/>
      <c r="G325" s="61"/>
      <c r="H325" s="91"/>
      <c r="I325" s="68"/>
      <c r="J325" s="68"/>
      <c r="K325" s="68"/>
      <c r="L325" s="61"/>
      <c r="M325" s="61"/>
      <c r="N325" s="61"/>
      <c r="O325" s="61"/>
      <c r="P325" s="61"/>
      <c r="Q325" s="61"/>
      <c r="R325" s="61"/>
      <c r="S325" s="61"/>
    </row>
    <row r="326" spans="1:19" ht="15">
      <c r="A326" s="68"/>
      <c r="B326" s="61"/>
      <c r="C326" s="61"/>
      <c r="D326" s="61"/>
      <c r="E326" s="61"/>
      <c r="F326" s="61"/>
      <c r="G326" s="61"/>
      <c r="H326" s="91"/>
      <c r="I326" s="68"/>
      <c r="J326" s="68"/>
      <c r="K326" s="68"/>
      <c r="L326" s="61"/>
      <c r="M326" s="61"/>
      <c r="N326" s="61"/>
      <c r="O326" s="61"/>
      <c r="P326" s="61"/>
      <c r="Q326" s="61"/>
      <c r="R326" s="61"/>
      <c r="S326" s="61"/>
    </row>
    <row r="327" spans="1:19" ht="15">
      <c r="A327" s="68"/>
      <c r="B327" s="61"/>
      <c r="C327" s="61"/>
      <c r="D327" s="61"/>
      <c r="E327" s="61"/>
      <c r="F327" s="61"/>
      <c r="G327" s="61"/>
      <c r="H327" s="91"/>
      <c r="I327" s="68"/>
      <c r="J327" s="68"/>
      <c r="K327" s="68"/>
      <c r="L327" s="61"/>
      <c r="M327" s="61"/>
      <c r="N327" s="61"/>
      <c r="O327" s="61"/>
      <c r="P327" s="61"/>
      <c r="Q327" s="61"/>
      <c r="R327" s="61"/>
      <c r="S327" s="61"/>
    </row>
    <row r="328" spans="1:19" ht="15">
      <c r="A328" s="68"/>
      <c r="B328" s="61"/>
      <c r="C328" s="61"/>
      <c r="D328" s="61"/>
      <c r="E328" s="61"/>
      <c r="F328" s="61"/>
      <c r="G328" s="61"/>
      <c r="H328" s="91"/>
      <c r="I328" s="68"/>
      <c r="J328" s="68"/>
      <c r="K328" s="68"/>
      <c r="L328" s="61"/>
      <c r="M328" s="61"/>
      <c r="N328" s="61"/>
      <c r="O328" s="61"/>
      <c r="P328" s="61"/>
      <c r="Q328" s="61"/>
      <c r="R328" s="61"/>
      <c r="S328" s="61"/>
    </row>
    <row r="329" spans="1:19" ht="15">
      <c r="A329" s="68"/>
      <c r="B329" s="61"/>
      <c r="C329" s="61"/>
      <c r="D329" s="61"/>
      <c r="E329" s="61"/>
      <c r="F329" s="61"/>
      <c r="G329" s="61"/>
      <c r="H329" s="91"/>
      <c r="I329" s="68"/>
      <c r="J329" s="68"/>
      <c r="K329" s="68"/>
      <c r="L329" s="61"/>
      <c r="M329" s="61"/>
      <c r="N329" s="61"/>
      <c r="O329" s="61"/>
      <c r="P329" s="61"/>
      <c r="Q329" s="61"/>
      <c r="R329" s="61"/>
      <c r="S329" s="61"/>
    </row>
    <row r="330" spans="1:19" ht="15">
      <c r="A330" s="68"/>
      <c r="B330" s="61"/>
      <c r="C330" s="61"/>
      <c r="D330" s="61"/>
      <c r="E330" s="61"/>
      <c r="F330" s="61"/>
      <c r="G330" s="61"/>
      <c r="H330" s="91"/>
      <c r="I330" s="68"/>
      <c r="J330" s="68"/>
      <c r="K330" s="68"/>
      <c r="L330" s="61"/>
      <c r="M330" s="61"/>
      <c r="N330" s="61"/>
      <c r="O330" s="61"/>
      <c r="P330" s="61"/>
      <c r="Q330" s="61"/>
      <c r="R330" s="61"/>
      <c r="S330" s="61"/>
    </row>
    <row r="331" spans="1:19" ht="15">
      <c r="A331" s="68"/>
      <c r="B331" s="61"/>
      <c r="C331" s="61"/>
      <c r="D331" s="61"/>
      <c r="E331" s="61"/>
      <c r="F331" s="61"/>
      <c r="G331" s="61"/>
      <c r="H331" s="91"/>
      <c r="I331" s="68"/>
      <c r="J331" s="68"/>
      <c r="K331" s="68"/>
      <c r="L331" s="61"/>
      <c r="M331" s="61"/>
      <c r="N331" s="61"/>
      <c r="O331" s="61"/>
      <c r="P331" s="61"/>
      <c r="Q331" s="61"/>
      <c r="R331" s="61"/>
      <c r="S331" s="61"/>
    </row>
    <row r="332" spans="1:19" ht="15">
      <c r="A332" s="68"/>
      <c r="B332" s="61"/>
      <c r="C332" s="61"/>
      <c r="D332" s="61"/>
      <c r="E332" s="61"/>
      <c r="F332" s="61"/>
      <c r="G332" s="61"/>
      <c r="H332" s="91"/>
      <c r="I332" s="68"/>
      <c r="J332" s="68"/>
      <c r="K332" s="68"/>
      <c r="L332" s="61"/>
      <c r="M332" s="61"/>
      <c r="N332" s="61"/>
      <c r="O332" s="61"/>
      <c r="P332" s="61"/>
      <c r="Q332" s="61"/>
      <c r="R332" s="61"/>
      <c r="S332" s="61"/>
    </row>
    <row r="333" spans="1:19" ht="15">
      <c r="A333" s="68"/>
      <c r="B333" s="61"/>
      <c r="C333" s="61"/>
      <c r="D333" s="61"/>
      <c r="E333" s="61"/>
      <c r="F333" s="61"/>
      <c r="G333" s="61"/>
      <c r="H333" s="91"/>
      <c r="I333" s="68"/>
      <c r="J333" s="68"/>
      <c r="K333" s="68"/>
      <c r="L333" s="61"/>
      <c r="M333" s="61"/>
      <c r="N333" s="61"/>
      <c r="O333" s="61"/>
      <c r="P333" s="61"/>
      <c r="Q333" s="61"/>
      <c r="R333" s="61"/>
      <c r="S333" s="61"/>
    </row>
    <row r="334" spans="1:19" ht="15">
      <c r="A334" s="68"/>
      <c r="B334" s="61"/>
      <c r="C334" s="61"/>
      <c r="D334" s="61"/>
      <c r="E334" s="61"/>
      <c r="F334" s="61"/>
      <c r="G334" s="61"/>
      <c r="H334" s="91"/>
      <c r="I334" s="68"/>
      <c r="J334" s="68"/>
      <c r="K334" s="68"/>
      <c r="L334" s="61"/>
      <c r="M334" s="61"/>
      <c r="N334" s="61"/>
      <c r="O334" s="61"/>
      <c r="P334" s="61"/>
      <c r="Q334" s="61"/>
      <c r="R334" s="61"/>
      <c r="S334" s="61"/>
    </row>
    <row r="335" spans="1:19" ht="15">
      <c r="A335" s="68"/>
      <c r="B335" s="61"/>
      <c r="C335" s="61"/>
      <c r="D335" s="61"/>
      <c r="E335" s="61"/>
      <c r="F335" s="61"/>
      <c r="G335" s="61"/>
      <c r="H335" s="91"/>
      <c r="I335" s="68"/>
      <c r="J335" s="68"/>
      <c r="K335" s="68"/>
      <c r="L335" s="61"/>
      <c r="M335" s="61"/>
      <c r="N335" s="61"/>
      <c r="O335" s="61"/>
      <c r="P335" s="61"/>
      <c r="Q335" s="61"/>
      <c r="R335" s="61"/>
      <c r="S335" s="61"/>
    </row>
    <row r="336" spans="1:19" ht="15">
      <c r="A336" s="68"/>
      <c r="B336" s="61"/>
      <c r="C336" s="61"/>
      <c r="D336" s="61"/>
      <c r="E336" s="61"/>
      <c r="F336" s="61"/>
      <c r="G336" s="61"/>
      <c r="H336" s="91"/>
      <c r="I336" s="68"/>
      <c r="J336" s="68"/>
      <c r="K336" s="68"/>
      <c r="L336" s="61"/>
      <c r="M336" s="61"/>
      <c r="N336" s="61"/>
      <c r="O336" s="61"/>
      <c r="P336" s="61"/>
      <c r="Q336" s="61"/>
      <c r="R336" s="61"/>
      <c r="S336" s="61"/>
    </row>
    <row r="337" spans="1:19" ht="15">
      <c r="A337" s="68"/>
      <c r="B337" s="61"/>
      <c r="C337" s="61"/>
      <c r="D337" s="61"/>
      <c r="E337" s="61"/>
      <c r="F337" s="61"/>
      <c r="G337" s="61"/>
      <c r="H337" s="91"/>
      <c r="I337" s="68"/>
      <c r="J337" s="68"/>
      <c r="K337" s="68"/>
      <c r="L337" s="61"/>
      <c r="M337" s="61"/>
      <c r="N337" s="61"/>
      <c r="O337" s="61"/>
      <c r="P337" s="61"/>
      <c r="Q337" s="61"/>
      <c r="R337" s="61"/>
      <c r="S337" s="61"/>
    </row>
    <row r="338" spans="1:19" ht="15">
      <c r="A338" s="68"/>
      <c r="B338" s="61"/>
      <c r="C338" s="61"/>
      <c r="D338" s="61"/>
      <c r="E338" s="61"/>
      <c r="F338" s="61"/>
      <c r="G338" s="61"/>
      <c r="H338" s="91"/>
      <c r="I338" s="68"/>
      <c r="J338" s="68"/>
      <c r="K338" s="68"/>
      <c r="L338" s="61"/>
      <c r="M338" s="61"/>
      <c r="N338" s="61"/>
      <c r="O338" s="61"/>
      <c r="P338" s="61"/>
      <c r="Q338" s="61"/>
      <c r="R338" s="61"/>
      <c r="S338" s="61"/>
    </row>
    <row r="339" spans="1:19" ht="15">
      <c r="A339" s="68"/>
      <c r="B339" s="61"/>
      <c r="C339" s="61"/>
      <c r="D339" s="61"/>
      <c r="E339" s="61"/>
      <c r="F339" s="61"/>
      <c r="G339" s="61"/>
      <c r="H339" s="91"/>
      <c r="I339" s="68"/>
      <c r="J339" s="68"/>
      <c r="K339" s="68"/>
      <c r="L339" s="61"/>
      <c r="M339" s="61"/>
      <c r="N339" s="61"/>
      <c r="O339" s="61"/>
      <c r="P339" s="61"/>
      <c r="Q339" s="61"/>
      <c r="R339" s="61"/>
      <c r="S339" s="61"/>
    </row>
    <row r="340" spans="1:19" ht="15">
      <c r="A340" s="68"/>
      <c r="B340" s="61"/>
      <c r="C340" s="61"/>
      <c r="D340" s="61"/>
      <c r="E340" s="61"/>
      <c r="F340" s="61"/>
      <c r="G340" s="61"/>
      <c r="H340" s="91"/>
      <c r="I340" s="68"/>
      <c r="J340" s="68"/>
      <c r="K340" s="68"/>
      <c r="L340" s="61"/>
      <c r="M340" s="61"/>
      <c r="N340" s="61"/>
      <c r="O340" s="61"/>
      <c r="P340" s="61"/>
      <c r="Q340" s="61"/>
      <c r="R340" s="61"/>
      <c r="S340" s="61"/>
    </row>
    <row r="341" spans="1:19" ht="15">
      <c r="A341" s="68"/>
      <c r="B341" s="61"/>
      <c r="C341" s="61"/>
      <c r="D341" s="61"/>
      <c r="E341" s="61"/>
      <c r="F341" s="61"/>
      <c r="G341" s="61"/>
      <c r="H341" s="91"/>
      <c r="I341" s="68"/>
      <c r="J341" s="68"/>
      <c r="K341" s="68"/>
      <c r="L341" s="61"/>
      <c r="M341" s="61"/>
      <c r="N341" s="61"/>
      <c r="O341" s="61"/>
      <c r="P341" s="61"/>
      <c r="Q341" s="61"/>
      <c r="R341" s="61"/>
      <c r="S341" s="61"/>
    </row>
    <row r="342" spans="1:19" ht="15">
      <c r="A342" s="68"/>
      <c r="B342" s="61"/>
      <c r="C342" s="61"/>
      <c r="D342" s="61"/>
      <c r="E342" s="61"/>
      <c r="F342" s="61"/>
      <c r="G342" s="61"/>
      <c r="H342" s="91"/>
      <c r="I342" s="68"/>
      <c r="J342" s="68"/>
      <c r="K342" s="68"/>
      <c r="L342" s="61"/>
      <c r="M342" s="61"/>
      <c r="N342" s="61"/>
      <c r="O342" s="61"/>
      <c r="P342" s="61"/>
      <c r="Q342" s="61"/>
      <c r="R342" s="61"/>
      <c r="S342" s="61"/>
    </row>
    <row r="343" spans="1:19" ht="15">
      <c r="A343" s="68"/>
      <c r="B343" s="61"/>
      <c r="C343" s="61"/>
      <c r="D343" s="61"/>
      <c r="E343" s="61"/>
      <c r="F343" s="61"/>
      <c r="G343" s="61"/>
      <c r="H343" s="91"/>
      <c r="I343" s="68"/>
      <c r="J343" s="68"/>
      <c r="K343" s="68"/>
      <c r="L343" s="61"/>
      <c r="M343" s="61"/>
      <c r="N343" s="61"/>
      <c r="O343" s="61"/>
      <c r="P343" s="61"/>
      <c r="Q343" s="61"/>
      <c r="R343" s="61"/>
      <c r="S343" s="61"/>
    </row>
    <row r="344" spans="1:19" ht="15">
      <c r="A344" s="68"/>
      <c r="B344" s="61"/>
      <c r="C344" s="61"/>
      <c r="D344" s="61"/>
      <c r="E344" s="61"/>
      <c r="F344" s="61"/>
      <c r="G344" s="61"/>
      <c r="H344" s="91"/>
      <c r="I344" s="68"/>
      <c r="J344" s="68"/>
      <c r="K344" s="68"/>
      <c r="L344" s="61"/>
      <c r="M344" s="61"/>
      <c r="N344" s="61"/>
      <c r="O344" s="61"/>
      <c r="P344" s="61"/>
      <c r="Q344" s="61"/>
      <c r="R344" s="61"/>
      <c r="S344" s="61"/>
    </row>
    <row r="345" spans="1:19" ht="15">
      <c r="A345" s="68"/>
      <c r="B345" s="61"/>
      <c r="C345" s="61"/>
      <c r="D345" s="61"/>
      <c r="E345" s="61"/>
      <c r="F345" s="61"/>
      <c r="G345" s="61"/>
      <c r="H345" s="91"/>
      <c r="I345" s="68"/>
      <c r="J345" s="68"/>
      <c r="K345" s="68"/>
      <c r="L345" s="61"/>
      <c r="M345" s="61"/>
      <c r="N345" s="61"/>
      <c r="O345" s="61"/>
      <c r="P345" s="61"/>
      <c r="Q345" s="61"/>
      <c r="R345" s="61"/>
      <c r="S345" s="61"/>
    </row>
    <row r="346" spans="1:19" ht="15">
      <c r="A346" s="68"/>
      <c r="B346" s="61"/>
      <c r="C346" s="61"/>
      <c r="D346" s="61"/>
      <c r="E346" s="61"/>
      <c r="F346" s="61"/>
      <c r="G346" s="61"/>
      <c r="H346" s="91"/>
      <c r="I346" s="68"/>
      <c r="J346" s="68"/>
      <c r="K346" s="68"/>
      <c r="L346" s="61"/>
      <c r="M346" s="61"/>
      <c r="N346" s="61"/>
      <c r="O346" s="61"/>
      <c r="P346" s="61"/>
      <c r="Q346" s="61"/>
      <c r="R346" s="61"/>
      <c r="S346" s="61"/>
    </row>
    <row r="347" spans="1:19" ht="15">
      <c r="A347" s="68"/>
      <c r="B347" s="61"/>
      <c r="C347" s="61"/>
      <c r="D347" s="61"/>
      <c r="E347" s="61"/>
      <c r="F347" s="61"/>
      <c r="G347" s="61"/>
      <c r="H347" s="91"/>
      <c r="I347" s="68"/>
      <c r="J347" s="68"/>
      <c r="K347" s="68"/>
      <c r="L347" s="61"/>
      <c r="M347" s="61"/>
      <c r="N347" s="61"/>
      <c r="O347" s="61"/>
      <c r="P347" s="61"/>
      <c r="Q347" s="61"/>
      <c r="R347" s="61"/>
      <c r="S347" s="61"/>
    </row>
    <row r="348" spans="1:19" ht="15">
      <c r="A348" s="68"/>
      <c r="B348" s="61"/>
      <c r="C348" s="61"/>
      <c r="D348" s="61"/>
      <c r="E348" s="61"/>
      <c r="F348" s="61"/>
      <c r="G348" s="61"/>
      <c r="H348" s="91"/>
      <c r="I348" s="68"/>
      <c r="J348" s="68"/>
      <c r="K348" s="68"/>
      <c r="L348" s="61"/>
      <c r="M348" s="61"/>
      <c r="N348" s="61"/>
      <c r="O348" s="61"/>
      <c r="P348" s="61"/>
      <c r="Q348" s="61"/>
      <c r="R348" s="61"/>
      <c r="S348" s="61"/>
    </row>
    <row r="349" spans="1:19" ht="15">
      <c r="A349" s="68"/>
      <c r="B349" s="61"/>
      <c r="C349" s="61"/>
      <c r="D349" s="61"/>
      <c r="E349" s="61"/>
      <c r="F349" s="61"/>
      <c r="G349" s="61"/>
      <c r="H349" s="91"/>
      <c r="I349" s="68"/>
      <c r="J349" s="68"/>
      <c r="K349" s="68"/>
      <c r="L349" s="61"/>
      <c r="M349" s="61"/>
      <c r="N349" s="61"/>
      <c r="O349" s="61"/>
      <c r="P349" s="61"/>
      <c r="Q349" s="61"/>
      <c r="R349" s="61"/>
      <c r="S349" s="61"/>
    </row>
    <row r="350" spans="1:19" ht="15">
      <c r="A350" s="68"/>
      <c r="B350" s="61"/>
      <c r="C350" s="61"/>
      <c r="D350" s="61"/>
      <c r="E350" s="61"/>
      <c r="F350" s="61"/>
      <c r="G350" s="61"/>
      <c r="H350" s="91"/>
      <c r="I350" s="68"/>
      <c r="J350" s="68"/>
      <c r="K350" s="68"/>
      <c r="L350" s="61"/>
      <c r="M350" s="61"/>
      <c r="N350" s="61"/>
      <c r="O350" s="61"/>
      <c r="P350" s="61"/>
      <c r="Q350" s="61"/>
      <c r="R350" s="61"/>
      <c r="S350" s="61"/>
    </row>
    <row r="351" spans="1:19" ht="15">
      <c r="A351" s="68"/>
      <c r="B351" s="61"/>
      <c r="C351" s="61"/>
      <c r="D351" s="61"/>
      <c r="E351" s="61"/>
      <c r="F351" s="61"/>
      <c r="G351" s="61"/>
      <c r="H351" s="91"/>
      <c r="I351" s="68"/>
      <c r="J351" s="68"/>
      <c r="K351" s="68"/>
      <c r="L351" s="61"/>
      <c r="M351" s="61"/>
      <c r="N351" s="61"/>
      <c r="O351" s="61"/>
      <c r="P351" s="61"/>
      <c r="Q351" s="61"/>
      <c r="R351" s="61"/>
      <c r="S351" s="61"/>
    </row>
    <row r="352" spans="1:19" ht="15">
      <c r="A352" s="68"/>
      <c r="B352" s="61"/>
      <c r="C352" s="61"/>
      <c r="D352" s="61"/>
      <c r="E352" s="61"/>
      <c r="F352" s="61"/>
      <c r="G352" s="61"/>
      <c r="H352" s="91"/>
      <c r="I352" s="68"/>
      <c r="J352" s="68"/>
      <c r="K352" s="68"/>
      <c r="L352" s="61"/>
      <c r="M352" s="61"/>
      <c r="N352" s="61"/>
      <c r="O352" s="61"/>
      <c r="P352" s="61"/>
      <c r="Q352" s="61"/>
      <c r="R352" s="61"/>
      <c r="S352" s="61"/>
    </row>
    <row r="353" spans="1:19" ht="15">
      <c r="A353" s="68"/>
      <c r="B353" s="61"/>
      <c r="C353" s="61"/>
      <c r="D353" s="61"/>
      <c r="E353" s="61"/>
      <c r="F353" s="61"/>
      <c r="G353" s="61"/>
      <c r="H353" s="91"/>
      <c r="I353" s="68"/>
      <c r="J353" s="68"/>
      <c r="K353" s="68"/>
      <c r="L353" s="61"/>
      <c r="M353" s="61"/>
      <c r="N353" s="61"/>
      <c r="O353" s="61"/>
      <c r="P353" s="61"/>
      <c r="Q353" s="61"/>
      <c r="R353" s="61"/>
      <c r="S353" s="61"/>
    </row>
    <row r="354" spans="1:19" ht="15">
      <c r="A354" s="68"/>
      <c r="B354" s="61"/>
      <c r="C354" s="61"/>
      <c r="D354" s="61"/>
      <c r="E354" s="61"/>
      <c r="F354" s="61"/>
      <c r="G354" s="61"/>
      <c r="H354" s="91"/>
      <c r="I354" s="68"/>
      <c r="J354" s="68"/>
      <c r="K354" s="68"/>
      <c r="L354" s="61"/>
      <c r="M354" s="61"/>
      <c r="N354" s="61"/>
      <c r="O354" s="61"/>
      <c r="P354" s="61"/>
      <c r="Q354" s="61"/>
      <c r="R354" s="61"/>
      <c r="S354" s="61"/>
    </row>
    <row r="355" spans="1:19" ht="15">
      <c r="A355" s="68"/>
      <c r="B355" s="61"/>
      <c r="C355" s="61"/>
      <c r="D355" s="61"/>
      <c r="E355" s="61"/>
      <c r="F355" s="61"/>
      <c r="G355" s="61"/>
      <c r="H355" s="91"/>
      <c r="I355" s="68"/>
      <c r="J355" s="68"/>
      <c r="K355" s="68"/>
      <c r="L355" s="61"/>
      <c r="M355" s="61"/>
      <c r="N355" s="61"/>
      <c r="O355" s="61"/>
      <c r="P355" s="61"/>
      <c r="Q355" s="61"/>
      <c r="R355" s="61"/>
      <c r="S355" s="61"/>
    </row>
    <row r="356" spans="1:19" ht="15">
      <c r="A356" s="68"/>
      <c r="B356" s="61"/>
      <c r="C356" s="61"/>
      <c r="D356" s="61"/>
      <c r="E356" s="61"/>
      <c r="F356" s="61"/>
      <c r="G356" s="61"/>
      <c r="H356" s="91"/>
      <c r="I356" s="68"/>
      <c r="J356" s="68"/>
      <c r="K356" s="68"/>
      <c r="L356" s="61"/>
      <c r="M356" s="61"/>
      <c r="N356" s="61"/>
      <c r="O356" s="61"/>
      <c r="P356" s="61"/>
      <c r="Q356" s="61"/>
      <c r="R356" s="61"/>
      <c r="S356" s="61"/>
    </row>
    <row r="357" spans="1:19" ht="15">
      <c r="A357" s="68"/>
      <c r="B357" s="61"/>
      <c r="C357" s="61"/>
      <c r="D357" s="61"/>
      <c r="E357" s="61"/>
      <c r="F357" s="61"/>
      <c r="G357" s="61"/>
      <c r="H357" s="91"/>
      <c r="I357" s="68"/>
      <c r="J357" s="68"/>
      <c r="K357" s="68"/>
      <c r="L357" s="61"/>
      <c r="M357" s="61"/>
      <c r="N357" s="61"/>
      <c r="O357" s="61"/>
      <c r="P357" s="61"/>
      <c r="Q357" s="61"/>
      <c r="R357" s="61"/>
      <c r="S357" s="61"/>
    </row>
    <row r="358" spans="1:19" ht="15">
      <c r="A358" s="68"/>
      <c r="B358" s="61"/>
      <c r="C358" s="61"/>
      <c r="D358" s="61"/>
      <c r="E358" s="61"/>
      <c r="F358" s="61"/>
      <c r="G358" s="61"/>
      <c r="H358" s="91"/>
      <c r="I358" s="68"/>
      <c r="J358" s="68"/>
      <c r="K358" s="68"/>
      <c r="L358" s="61"/>
      <c r="M358" s="61"/>
      <c r="N358" s="61"/>
      <c r="O358" s="61"/>
      <c r="P358" s="61"/>
      <c r="Q358" s="61"/>
      <c r="R358" s="61"/>
      <c r="S358" s="61"/>
    </row>
    <row r="359" spans="1:19" ht="15">
      <c r="A359" s="68"/>
      <c r="B359" s="61"/>
      <c r="C359" s="61"/>
      <c r="D359" s="61"/>
      <c r="E359" s="61"/>
      <c r="F359" s="61"/>
      <c r="G359" s="61"/>
      <c r="H359" s="91"/>
      <c r="I359" s="68"/>
      <c r="J359" s="68"/>
      <c r="K359" s="68"/>
      <c r="L359" s="61"/>
      <c r="M359" s="61"/>
      <c r="N359" s="61"/>
      <c r="O359" s="61"/>
      <c r="P359" s="61"/>
      <c r="Q359" s="61"/>
      <c r="R359" s="61"/>
      <c r="S359" s="61"/>
    </row>
    <row r="360" spans="1:19" ht="15">
      <c r="A360" s="68"/>
      <c r="B360" s="61"/>
      <c r="C360" s="61"/>
      <c r="D360" s="61"/>
      <c r="E360" s="61"/>
      <c r="F360" s="61"/>
      <c r="G360" s="61"/>
      <c r="H360" s="91"/>
      <c r="I360" s="68"/>
      <c r="J360" s="68"/>
      <c r="K360" s="68"/>
      <c r="L360" s="61"/>
      <c r="M360" s="61"/>
      <c r="N360" s="61"/>
      <c r="O360" s="61"/>
      <c r="P360" s="61"/>
      <c r="Q360" s="61"/>
      <c r="R360" s="61"/>
      <c r="S360" s="61"/>
    </row>
    <row r="361" spans="1:19" ht="15">
      <c r="A361" s="68"/>
      <c r="B361" s="61"/>
      <c r="C361" s="61"/>
      <c r="D361" s="61"/>
      <c r="E361" s="61"/>
      <c r="F361" s="61"/>
      <c r="G361" s="61"/>
      <c r="H361" s="91"/>
      <c r="I361" s="68"/>
      <c r="J361" s="68"/>
      <c r="K361" s="68"/>
      <c r="L361" s="61"/>
      <c r="M361" s="61"/>
      <c r="N361" s="61"/>
      <c r="O361" s="61"/>
      <c r="P361" s="61"/>
      <c r="Q361" s="61"/>
      <c r="R361" s="61"/>
      <c r="S361" s="61"/>
    </row>
    <row r="362" spans="1:19" ht="15">
      <c r="A362" s="68"/>
      <c r="B362" s="61"/>
      <c r="C362" s="61"/>
      <c r="D362" s="61"/>
      <c r="E362" s="61"/>
      <c r="F362" s="61"/>
      <c r="G362" s="61"/>
      <c r="H362" s="91"/>
      <c r="I362" s="68"/>
      <c r="J362" s="68"/>
      <c r="K362" s="68"/>
      <c r="L362" s="61"/>
      <c r="M362" s="61"/>
      <c r="N362" s="61"/>
      <c r="O362" s="61"/>
      <c r="P362" s="61"/>
      <c r="Q362" s="61"/>
      <c r="R362" s="61"/>
      <c r="S362" s="61"/>
    </row>
    <row r="363" spans="1:19" ht="15">
      <c r="A363" s="68"/>
      <c r="B363" s="61"/>
      <c r="C363" s="61"/>
      <c r="D363" s="61"/>
      <c r="E363" s="61"/>
      <c r="F363" s="61"/>
      <c r="G363" s="61"/>
      <c r="H363" s="91"/>
      <c r="I363" s="68"/>
      <c r="J363" s="68"/>
      <c r="K363" s="68"/>
      <c r="L363" s="61"/>
      <c r="M363" s="61"/>
      <c r="N363" s="61"/>
      <c r="O363" s="61"/>
      <c r="P363" s="61"/>
      <c r="Q363" s="61"/>
      <c r="R363" s="61"/>
      <c r="S363" s="61"/>
    </row>
    <row r="364" spans="1:19" ht="15">
      <c r="A364" s="68"/>
      <c r="B364" s="61"/>
      <c r="C364" s="61"/>
      <c r="D364" s="61"/>
      <c r="E364" s="61"/>
      <c r="F364" s="61"/>
      <c r="G364" s="61"/>
      <c r="H364" s="91"/>
      <c r="I364" s="68"/>
      <c r="J364" s="68"/>
      <c r="K364" s="68"/>
      <c r="L364" s="61"/>
      <c r="M364" s="61"/>
      <c r="N364" s="61"/>
      <c r="O364" s="61"/>
      <c r="P364" s="61"/>
      <c r="Q364" s="61"/>
      <c r="R364" s="61"/>
      <c r="S364" s="61"/>
    </row>
    <row r="365" spans="1:19" ht="15">
      <c r="A365" s="68"/>
      <c r="B365" s="61"/>
      <c r="C365" s="61"/>
      <c r="D365" s="61"/>
      <c r="E365" s="61"/>
      <c r="F365" s="61"/>
      <c r="G365" s="61"/>
      <c r="H365" s="91"/>
      <c r="I365" s="68"/>
      <c r="J365" s="68"/>
      <c r="K365" s="68"/>
      <c r="L365" s="61"/>
      <c r="M365" s="61"/>
      <c r="N365" s="61"/>
      <c r="O365" s="61"/>
      <c r="P365" s="61"/>
      <c r="Q365" s="61"/>
      <c r="R365" s="61"/>
      <c r="S365" s="61"/>
    </row>
    <row r="366" spans="1:19" ht="15">
      <c r="A366" s="68"/>
      <c r="B366" s="61"/>
      <c r="C366" s="61"/>
      <c r="D366" s="61"/>
      <c r="E366" s="61"/>
      <c r="F366" s="61"/>
      <c r="G366" s="61"/>
      <c r="H366" s="91"/>
      <c r="I366" s="68"/>
      <c r="J366" s="68"/>
      <c r="K366" s="68"/>
      <c r="L366" s="61"/>
      <c r="M366" s="61"/>
      <c r="N366" s="61"/>
      <c r="O366" s="61"/>
      <c r="P366" s="61"/>
      <c r="Q366" s="61"/>
      <c r="R366" s="61"/>
      <c r="S366" s="61"/>
    </row>
    <row r="367" spans="1:19" ht="15">
      <c r="A367" s="68"/>
      <c r="B367" s="61"/>
      <c r="C367" s="61"/>
      <c r="D367" s="61"/>
      <c r="E367" s="61"/>
      <c r="F367" s="61"/>
      <c r="G367" s="61"/>
      <c r="H367" s="91"/>
      <c r="I367" s="68"/>
      <c r="J367" s="68"/>
      <c r="K367" s="68"/>
      <c r="L367" s="61"/>
      <c r="M367" s="61"/>
      <c r="N367" s="61"/>
      <c r="O367" s="61"/>
      <c r="P367" s="61"/>
      <c r="Q367" s="61"/>
      <c r="R367" s="61"/>
      <c r="S367" s="61"/>
    </row>
    <row r="368" spans="1:19" ht="15">
      <c r="A368" s="68"/>
      <c r="B368" s="61"/>
      <c r="C368" s="61"/>
      <c r="D368" s="61"/>
      <c r="E368" s="61"/>
      <c r="F368" s="61"/>
      <c r="G368" s="61"/>
      <c r="H368" s="91"/>
      <c r="I368" s="68"/>
      <c r="J368" s="68"/>
      <c r="K368" s="68"/>
      <c r="L368" s="61"/>
      <c r="M368" s="61"/>
      <c r="N368" s="61"/>
      <c r="O368" s="61"/>
      <c r="P368" s="61"/>
      <c r="Q368" s="61"/>
      <c r="R368" s="61"/>
      <c r="S368" s="61"/>
    </row>
    <row r="369" spans="1:19" ht="15">
      <c r="A369" s="68"/>
      <c r="B369" s="61"/>
      <c r="C369" s="61"/>
      <c r="D369" s="61"/>
      <c r="E369" s="61"/>
      <c r="F369" s="61"/>
      <c r="G369" s="61"/>
      <c r="H369" s="91"/>
      <c r="I369" s="68"/>
      <c r="J369" s="68"/>
      <c r="K369" s="68"/>
      <c r="L369" s="61"/>
      <c r="M369" s="61"/>
      <c r="N369" s="61"/>
      <c r="O369" s="61"/>
      <c r="P369" s="61"/>
      <c r="Q369" s="61"/>
      <c r="R369" s="61"/>
      <c r="S369" s="61"/>
    </row>
    <row r="370" spans="1:19" ht="15">
      <c r="A370" s="68"/>
      <c r="B370" s="61"/>
      <c r="C370" s="61"/>
      <c r="D370" s="61"/>
      <c r="E370" s="61"/>
      <c r="F370" s="61"/>
      <c r="G370" s="61"/>
      <c r="H370" s="91"/>
      <c r="I370" s="68"/>
      <c r="J370" s="68"/>
      <c r="K370" s="68"/>
      <c r="L370" s="61"/>
      <c r="M370" s="61"/>
      <c r="N370" s="61"/>
      <c r="O370" s="61"/>
      <c r="P370" s="61"/>
      <c r="Q370" s="61"/>
      <c r="R370" s="61"/>
      <c r="S370" s="61"/>
    </row>
    <row r="371" spans="1:19" ht="15">
      <c r="A371" s="68"/>
      <c r="B371" s="61"/>
      <c r="C371" s="61"/>
      <c r="D371" s="61"/>
      <c r="E371" s="61"/>
      <c r="F371" s="61"/>
      <c r="G371" s="61"/>
      <c r="H371" s="91"/>
      <c r="I371" s="68"/>
      <c r="J371" s="68"/>
      <c r="K371" s="68"/>
      <c r="L371" s="61"/>
      <c r="M371" s="61"/>
      <c r="N371" s="61"/>
      <c r="O371" s="61"/>
      <c r="P371" s="61"/>
      <c r="Q371" s="61"/>
      <c r="R371" s="61"/>
      <c r="S371" s="61"/>
    </row>
    <row r="372" spans="1:19" ht="15">
      <c r="A372" s="68"/>
      <c r="B372" s="61"/>
      <c r="C372" s="61"/>
      <c r="D372" s="61"/>
      <c r="E372" s="61"/>
      <c r="F372" s="61"/>
      <c r="G372" s="61"/>
      <c r="H372" s="91"/>
      <c r="I372" s="68"/>
      <c r="J372" s="68"/>
      <c r="K372" s="68"/>
      <c r="L372" s="61"/>
      <c r="M372" s="61"/>
      <c r="N372" s="61"/>
      <c r="O372" s="61"/>
      <c r="P372" s="61"/>
      <c r="Q372" s="61"/>
      <c r="R372" s="61"/>
      <c r="S372" s="61"/>
    </row>
    <row r="373" spans="1:19" ht="15">
      <c r="A373" s="68"/>
      <c r="B373" s="61"/>
      <c r="C373" s="61"/>
      <c r="D373" s="61"/>
      <c r="E373" s="61"/>
      <c r="F373" s="61"/>
      <c r="G373" s="61"/>
      <c r="H373" s="91"/>
      <c r="I373" s="68"/>
      <c r="J373" s="68"/>
      <c r="K373" s="68"/>
      <c r="L373" s="61"/>
      <c r="M373" s="61"/>
      <c r="N373" s="61"/>
      <c r="O373" s="61"/>
      <c r="P373" s="61"/>
      <c r="Q373" s="61"/>
      <c r="R373" s="61"/>
      <c r="S373" s="61"/>
    </row>
    <row r="374" spans="1:19" ht="15">
      <c r="A374" s="68"/>
      <c r="B374" s="61"/>
      <c r="C374" s="61"/>
      <c r="D374" s="61"/>
      <c r="E374" s="61"/>
      <c r="F374" s="61"/>
      <c r="G374" s="61"/>
      <c r="H374" s="91"/>
      <c r="I374" s="68"/>
      <c r="J374" s="68"/>
      <c r="K374" s="68"/>
      <c r="L374" s="61"/>
      <c r="M374" s="61"/>
      <c r="N374" s="61"/>
      <c r="O374" s="61"/>
      <c r="P374" s="61"/>
      <c r="Q374" s="61"/>
      <c r="R374" s="61"/>
      <c r="S374" s="61"/>
    </row>
    <row r="375" spans="1:19" ht="15">
      <c r="A375" s="68"/>
      <c r="B375" s="61"/>
      <c r="C375" s="61"/>
      <c r="D375" s="61"/>
      <c r="E375" s="61"/>
      <c r="F375" s="61"/>
      <c r="G375" s="61"/>
      <c r="H375" s="91"/>
      <c r="I375" s="68"/>
      <c r="J375" s="68"/>
      <c r="K375" s="68"/>
      <c r="L375" s="61"/>
      <c r="M375" s="61"/>
      <c r="N375" s="61"/>
      <c r="O375" s="61"/>
      <c r="P375" s="61"/>
      <c r="Q375" s="61"/>
      <c r="R375" s="61"/>
      <c r="S375" s="61"/>
    </row>
    <row r="376" spans="1:19" ht="15">
      <c r="A376" s="68"/>
      <c r="B376" s="61"/>
      <c r="C376" s="61"/>
      <c r="D376" s="61"/>
      <c r="E376" s="61"/>
      <c r="F376" s="61"/>
      <c r="G376" s="61"/>
      <c r="H376" s="91"/>
      <c r="I376" s="68"/>
      <c r="J376" s="68"/>
      <c r="K376" s="68"/>
      <c r="L376" s="61"/>
      <c r="M376" s="61"/>
      <c r="N376" s="61"/>
      <c r="O376" s="61"/>
      <c r="P376" s="61"/>
      <c r="Q376" s="61"/>
      <c r="R376" s="61"/>
      <c r="S376" s="61"/>
    </row>
    <row r="377" spans="1:19" ht="15">
      <c r="A377" s="68"/>
      <c r="B377" s="61"/>
      <c r="C377" s="61"/>
      <c r="D377" s="61"/>
      <c r="E377" s="61"/>
      <c r="F377" s="61"/>
      <c r="G377" s="61"/>
      <c r="H377" s="91"/>
      <c r="I377" s="68"/>
      <c r="J377" s="68"/>
      <c r="K377" s="68"/>
      <c r="L377" s="61"/>
      <c r="M377" s="61"/>
      <c r="N377" s="61"/>
      <c r="O377" s="61"/>
      <c r="P377" s="61"/>
      <c r="Q377" s="61"/>
      <c r="R377" s="61"/>
      <c r="S377" s="61"/>
    </row>
    <row r="378" spans="1:19" ht="15">
      <c r="A378" s="68"/>
      <c r="B378" s="61"/>
      <c r="C378" s="61"/>
      <c r="D378" s="61"/>
      <c r="E378" s="61"/>
      <c r="F378" s="61"/>
      <c r="G378" s="61"/>
      <c r="H378" s="91"/>
      <c r="I378" s="68"/>
      <c r="J378" s="68"/>
      <c r="K378" s="68"/>
      <c r="L378" s="61"/>
      <c r="M378" s="61"/>
      <c r="N378" s="61"/>
      <c r="O378" s="61"/>
      <c r="P378" s="61"/>
      <c r="Q378" s="61"/>
      <c r="R378" s="61"/>
      <c r="S378" s="61"/>
    </row>
    <row r="379" spans="1:19" ht="15">
      <c r="A379" s="68"/>
      <c r="B379" s="61"/>
      <c r="C379" s="61"/>
      <c r="D379" s="61"/>
      <c r="E379" s="61"/>
      <c r="F379" s="61"/>
      <c r="G379" s="61"/>
      <c r="H379" s="91"/>
      <c r="I379" s="68"/>
      <c r="J379" s="68"/>
      <c r="K379" s="68"/>
      <c r="L379" s="61"/>
      <c r="M379" s="61"/>
      <c r="N379" s="61"/>
      <c r="O379" s="61"/>
      <c r="P379" s="61"/>
      <c r="Q379" s="61"/>
      <c r="R379" s="61"/>
      <c r="S379" s="61"/>
    </row>
    <row r="380" spans="1:19" ht="15">
      <c r="A380" s="68"/>
      <c r="B380" s="61"/>
      <c r="C380" s="61"/>
      <c r="D380" s="61"/>
      <c r="E380" s="61"/>
      <c r="F380" s="61"/>
      <c r="G380" s="61"/>
      <c r="H380" s="91"/>
      <c r="I380" s="68"/>
      <c r="J380" s="68"/>
      <c r="K380" s="68"/>
      <c r="L380" s="61"/>
      <c r="M380" s="61"/>
      <c r="N380" s="61"/>
      <c r="O380" s="61"/>
      <c r="P380" s="61"/>
      <c r="Q380" s="61"/>
      <c r="R380" s="61"/>
      <c r="S380" s="61"/>
    </row>
    <row r="381" spans="1:19" ht="15">
      <c r="A381" s="68"/>
      <c r="B381" s="61"/>
      <c r="C381" s="61"/>
      <c r="D381" s="61"/>
      <c r="E381" s="61"/>
      <c r="F381" s="61"/>
      <c r="G381" s="61"/>
      <c r="H381" s="91"/>
      <c r="I381" s="68"/>
      <c r="J381" s="68"/>
      <c r="K381" s="68"/>
      <c r="L381" s="61"/>
      <c r="M381" s="61"/>
      <c r="N381" s="61"/>
      <c r="O381" s="61"/>
      <c r="P381" s="61"/>
      <c r="Q381" s="61"/>
      <c r="R381" s="61"/>
      <c r="S381" s="61"/>
    </row>
    <row r="382" spans="1:19" ht="15">
      <c r="A382" s="68"/>
      <c r="B382" s="61"/>
      <c r="C382" s="61"/>
      <c r="D382" s="61"/>
      <c r="E382" s="61"/>
      <c r="F382" s="61"/>
      <c r="G382" s="61"/>
      <c r="H382" s="91"/>
      <c r="I382" s="68"/>
      <c r="J382" s="68"/>
      <c r="K382" s="68"/>
      <c r="L382" s="61"/>
      <c r="M382" s="61"/>
      <c r="N382" s="61"/>
      <c r="O382" s="61"/>
      <c r="P382" s="61"/>
      <c r="Q382" s="61"/>
      <c r="R382" s="61"/>
      <c r="S382" s="61"/>
    </row>
    <row r="383" spans="1:19" ht="15">
      <c r="A383" s="68"/>
      <c r="B383" s="61"/>
      <c r="C383" s="61"/>
      <c r="D383" s="61"/>
      <c r="E383" s="61"/>
      <c r="F383" s="61"/>
      <c r="G383" s="61"/>
      <c r="H383" s="91"/>
      <c r="I383" s="68"/>
      <c r="J383" s="68"/>
      <c r="K383" s="68"/>
      <c r="L383" s="61"/>
      <c r="M383" s="61"/>
      <c r="N383" s="61"/>
      <c r="O383" s="61"/>
      <c r="P383" s="61"/>
      <c r="Q383" s="61"/>
      <c r="R383" s="61"/>
      <c r="S383" s="61"/>
    </row>
    <row r="384" spans="1:19" ht="15">
      <c r="A384" s="68"/>
      <c r="B384" s="61"/>
      <c r="C384" s="61"/>
      <c r="D384" s="61"/>
      <c r="E384" s="61"/>
      <c r="F384" s="61"/>
      <c r="G384" s="61"/>
      <c r="H384" s="91"/>
      <c r="I384" s="68"/>
      <c r="J384" s="68"/>
      <c r="K384" s="68"/>
      <c r="L384" s="61"/>
      <c r="M384" s="61"/>
      <c r="N384" s="61"/>
      <c r="O384" s="61"/>
      <c r="P384" s="61"/>
      <c r="Q384" s="61"/>
      <c r="R384" s="61"/>
      <c r="S384" s="61"/>
    </row>
    <row r="385" spans="1:19" ht="15">
      <c r="A385" s="68"/>
      <c r="B385" s="61"/>
      <c r="C385" s="61"/>
      <c r="D385" s="61"/>
      <c r="E385" s="61"/>
      <c r="F385" s="61"/>
      <c r="G385" s="61"/>
      <c r="H385" s="91"/>
      <c r="I385" s="68"/>
      <c r="J385" s="68"/>
      <c r="K385" s="68"/>
      <c r="L385" s="61"/>
      <c r="M385" s="61"/>
      <c r="N385" s="61"/>
      <c r="O385" s="61"/>
      <c r="P385" s="61"/>
      <c r="Q385" s="61"/>
      <c r="R385" s="61"/>
      <c r="S385" s="61"/>
    </row>
    <row r="386" spans="1:19" ht="15">
      <c r="A386" s="68"/>
      <c r="B386" s="61"/>
      <c r="C386" s="61"/>
      <c r="D386" s="61"/>
      <c r="E386" s="61"/>
      <c r="F386" s="61"/>
      <c r="G386" s="61"/>
      <c r="H386" s="91"/>
      <c r="I386" s="68"/>
      <c r="J386" s="68"/>
      <c r="K386" s="68"/>
      <c r="L386" s="61"/>
      <c r="M386" s="61"/>
      <c r="N386" s="61"/>
      <c r="O386" s="61"/>
      <c r="P386" s="61"/>
      <c r="Q386" s="61"/>
      <c r="R386" s="61"/>
      <c r="S386" s="61"/>
    </row>
    <row r="387" spans="1:19" ht="15">
      <c r="A387" s="68"/>
      <c r="B387" s="61"/>
      <c r="C387" s="61"/>
      <c r="D387" s="61"/>
      <c r="E387" s="61"/>
      <c r="F387" s="61"/>
      <c r="G387" s="61"/>
      <c r="H387" s="91"/>
      <c r="I387" s="68"/>
      <c r="J387" s="68"/>
      <c r="K387" s="68"/>
      <c r="L387" s="61"/>
      <c r="M387" s="61"/>
      <c r="N387" s="61"/>
      <c r="O387" s="61"/>
      <c r="P387" s="61"/>
      <c r="Q387" s="61"/>
      <c r="R387" s="61"/>
      <c r="S387" s="61"/>
    </row>
    <row r="388" spans="1:19" ht="15">
      <c r="A388" s="68"/>
      <c r="B388" s="61"/>
      <c r="C388" s="61"/>
      <c r="D388" s="61"/>
      <c r="E388" s="61"/>
      <c r="F388" s="61"/>
      <c r="G388" s="61"/>
      <c r="H388" s="91"/>
      <c r="I388" s="68"/>
      <c r="J388" s="68"/>
      <c r="K388" s="68"/>
      <c r="L388" s="61"/>
      <c r="M388" s="61"/>
      <c r="N388" s="61"/>
      <c r="O388" s="61"/>
      <c r="P388" s="61"/>
      <c r="Q388" s="61"/>
      <c r="R388" s="61"/>
      <c r="S388" s="61"/>
    </row>
    <row r="389" spans="1:19" ht="15">
      <c r="A389" s="68"/>
      <c r="B389" s="61"/>
      <c r="C389" s="61"/>
      <c r="D389" s="61"/>
      <c r="E389" s="61"/>
      <c r="F389" s="61"/>
      <c r="G389" s="61"/>
      <c r="H389" s="91"/>
      <c r="I389" s="68"/>
      <c r="J389" s="68"/>
      <c r="K389" s="68"/>
      <c r="L389" s="61"/>
      <c r="M389" s="61"/>
      <c r="N389" s="61"/>
      <c r="O389" s="61"/>
      <c r="P389" s="61"/>
      <c r="Q389" s="61"/>
      <c r="R389" s="61"/>
      <c r="S389" s="61"/>
    </row>
    <row r="390" spans="1:19" ht="15">
      <c r="A390" s="68"/>
      <c r="B390" s="61"/>
      <c r="C390" s="61"/>
      <c r="D390" s="61"/>
      <c r="E390" s="61"/>
      <c r="F390" s="61"/>
      <c r="G390" s="61"/>
      <c r="H390" s="91"/>
      <c r="I390" s="68"/>
      <c r="J390" s="68"/>
      <c r="K390" s="68"/>
      <c r="L390" s="61"/>
      <c r="M390" s="61"/>
      <c r="N390" s="61"/>
      <c r="O390" s="61"/>
      <c r="P390" s="61"/>
      <c r="Q390" s="61"/>
      <c r="R390" s="61"/>
      <c r="S390" s="61"/>
    </row>
    <row r="391" spans="1:19" ht="15">
      <c r="A391" s="68"/>
      <c r="B391" s="61"/>
      <c r="C391" s="61"/>
      <c r="D391" s="61"/>
      <c r="E391" s="61"/>
      <c r="F391" s="61"/>
      <c r="G391" s="61"/>
      <c r="H391" s="91"/>
      <c r="I391" s="68"/>
      <c r="J391" s="68"/>
      <c r="K391" s="68"/>
      <c r="L391" s="61"/>
      <c r="M391" s="61"/>
      <c r="N391" s="61"/>
      <c r="O391" s="61"/>
      <c r="P391" s="61"/>
      <c r="Q391" s="61"/>
      <c r="R391" s="61"/>
      <c r="S391" s="61"/>
    </row>
    <row r="392" spans="1:19" ht="15">
      <c r="A392" s="68"/>
      <c r="B392" s="61"/>
      <c r="C392" s="61"/>
      <c r="D392" s="61"/>
      <c r="E392" s="61"/>
      <c r="F392" s="61"/>
      <c r="G392" s="61"/>
      <c r="H392" s="91"/>
      <c r="I392" s="68"/>
      <c r="J392" s="68"/>
      <c r="K392" s="68"/>
      <c r="L392" s="61"/>
      <c r="M392" s="61"/>
      <c r="N392" s="61"/>
      <c r="O392" s="61"/>
      <c r="P392" s="61"/>
      <c r="Q392" s="61"/>
      <c r="R392" s="61"/>
      <c r="S392" s="61"/>
    </row>
    <row r="393" spans="1:19" ht="15">
      <c r="A393" s="68"/>
      <c r="B393" s="61"/>
      <c r="C393" s="61"/>
      <c r="D393" s="61"/>
      <c r="E393" s="61"/>
      <c r="F393" s="61"/>
      <c r="G393" s="61"/>
      <c r="H393" s="91"/>
      <c r="I393" s="68"/>
      <c r="J393" s="68"/>
      <c r="K393" s="68"/>
      <c r="L393" s="61"/>
      <c r="M393" s="61"/>
      <c r="N393" s="61"/>
      <c r="O393" s="61"/>
      <c r="P393" s="61"/>
      <c r="Q393" s="61"/>
      <c r="R393" s="61"/>
      <c r="S393" s="61"/>
    </row>
    <row r="394" spans="1:19" ht="15">
      <c r="A394" s="68"/>
      <c r="B394" s="61"/>
      <c r="C394" s="61"/>
      <c r="D394" s="61"/>
      <c r="E394" s="61"/>
      <c r="F394" s="61"/>
      <c r="G394" s="61"/>
      <c r="H394" s="91"/>
      <c r="I394" s="68"/>
      <c r="J394" s="68"/>
      <c r="K394" s="68"/>
      <c r="L394" s="61"/>
      <c r="M394" s="61"/>
      <c r="N394" s="61"/>
      <c r="O394" s="61"/>
      <c r="P394" s="61"/>
      <c r="Q394" s="61"/>
      <c r="R394" s="61"/>
      <c r="S394" s="61"/>
    </row>
    <row r="395" spans="1:19" ht="15">
      <c r="A395" s="68"/>
      <c r="B395" s="61"/>
      <c r="C395" s="61"/>
      <c r="D395" s="61"/>
      <c r="E395" s="61"/>
      <c r="F395" s="61"/>
      <c r="G395" s="61"/>
      <c r="H395" s="91"/>
      <c r="I395" s="68"/>
      <c r="J395" s="68"/>
      <c r="K395" s="68"/>
      <c r="L395" s="61"/>
      <c r="M395" s="61"/>
      <c r="N395" s="61"/>
      <c r="O395" s="61"/>
      <c r="P395" s="61"/>
      <c r="Q395" s="61"/>
      <c r="R395" s="61"/>
      <c r="S395" s="61"/>
    </row>
    <row r="396" spans="1:19" ht="15">
      <c r="A396" s="68"/>
      <c r="B396" s="61"/>
      <c r="C396" s="61"/>
      <c r="D396" s="61"/>
      <c r="E396" s="61"/>
      <c r="F396" s="61"/>
      <c r="G396" s="61"/>
      <c r="H396" s="91"/>
      <c r="I396" s="68"/>
      <c r="J396" s="68"/>
      <c r="K396" s="68"/>
      <c r="L396" s="61"/>
      <c r="M396" s="61"/>
      <c r="N396" s="61"/>
      <c r="O396" s="61"/>
      <c r="P396" s="61"/>
      <c r="Q396" s="61"/>
      <c r="R396" s="61"/>
      <c r="S396" s="61"/>
    </row>
    <row r="397" spans="1:19" ht="15">
      <c r="A397" s="68"/>
      <c r="B397" s="61"/>
      <c r="C397" s="61"/>
      <c r="D397" s="61"/>
      <c r="E397" s="61"/>
      <c r="F397" s="61"/>
      <c r="G397" s="61"/>
      <c r="H397" s="91"/>
      <c r="I397" s="68"/>
      <c r="J397" s="68"/>
      <c r="K397" s="68"/>
      <c r="L397" s="61"/>
      <c r="M397" s="61"/>
      <c r="N397" s="61"/>
      <c r="O397" s="61"/>
      <c r="P397" s="61"/>
      <c r="Q397" s="61"/>
      <c r="R397" s="61"/>
      <c r="S397" s="61"/>
    </row>
    <row r="398" spans="1:19" ht="15">
      <c r="A398" s="68"/>
      <c r="B398" s="61"/>
      <c r="C398" s="61"/>
      <c r="D398" s="61"/>
      <c r="E398" s="61"/>
      <c r="F398" s="61"/>
      <c r="G398" s="61"/>
      <c r="H398" s="91"/>
      <c r="I398" s="68"/>
      <c r="J398" s="68"/>
      <c r="K398" s="68"/>
      <c r="L398" s="61"/>
      <c r="M398" s="61"/>
      <c r="N398" s="61"/>
      <c r="O398" s="61"/>
      <c r="P398" s="61"/>
      <c r="Q398" s="61"/>
      <c r="R398" s="61"/>
      <c r="S398" s="61"/>
    </row>
    <row r="399" spans="1:19" ht="15">
      <c r="A399" s="68"/>
      <c r="B399" s="61"/>
      <c r="C399" s="61"/>
      <c r="D399" s="61"/>
      <c r="E399" s="61"/>
      <c r="F399" s="61"/>
      <c r="G399" s="61"/>
      <c r="H399" s="91"/>
      <c r="I399" s="68"/>
      <c r="J399" s="68"/>
      <c r="K399" s="68"/>
      <c r="L399" s="61"/>
      <c r="M399" s="61"/>
      <c r="N399" s="61"/>
      <c r="O399" s="61"/>
      <c r="P399" s="61"/>
      <c r="Q399" s="61"/>
      <c r="R399" s="61"/>
      <c r="S399" s="61"/>
    </row>
    <row r="400" spans="1:19" ht="15">
      <c r="A400" s="68"/>
      <c r="B400" s="61"/>
      <c r="C400" s="61"/>
      <c r="D400" s="61"/>
      <c r="E400" s="61"/>
      <c r="F400" s="61"/>
      <c r="G400" s="61"/>
      <c r="H400" s="91"/>
      <c r="I400" s="68"/>
      <c r="J400" s="68"/>
      <c r="K400" s="68"/>
      <c r="L400" s="61"/>
      <c r="M400" s="61"/>
      <c r="N400" s="61"/>
      <c r="O400" s="61"/>
      <c r="P400" s="61"/>
      <c r="Q400" s="61"/>
      <c r="R400" s="61"/>
      <c r="S400" s="61"/>
    </row>
    <row r="401" spans="1:19" ht="15">
      <c r="A401" s="68"/>
      <c r="B401" s="61"/>
      <c r="C401" s="61"/>
      <c r="D401" s="61"/>
      <c r="E401" s="61"/>
      <c r="F401" s="61"/>
      <c r="G401" s="61"/>
      <c r="H401" s="91"/>
      <c r="I401" s="68"/>
      <c r="J401" s="68"/>
      <c r="K401" s="68"/>
      <c r="L401" s="61"/>
      <c r="M401" s="61"/>
      <c r="N401" s="61"/>
      <c r="O401" s="61"/>
      <c r="P401" s="61"/>
      <c r="Q401" s="61"/>
      <c r="R401" s="61"/>
      <c r="S401" s="61"/>
    </row>
    <row r="402" spans="1:19" ht="15">
      <c r="A402" s="68"/>
      <c r="B402" s="61"/>
      <c r="C402" s="61"/>
      <c r="D402" s="61"/>
      <c r="E402" s="61"/>
      <c r="F402" s="61"/>
      <c r="G402" s="61"/>
      <c r="H402" s="91"/>
      <c r="I402" s="68"/>
      <c r="J402" s="68"/>
      <c r="K402" s="68"/>
      <c r="L402" s="61"/>
      <c r="M402" s="61"/>
      <c r="N402" s="61"/>
      <c r="O402" s="61"/>
      <c r="P402" s="61"/>
      <c r="Q402" s="61"/>
      <c r="R402" s="61"/>
      <c r="S402" s="61"/>
    </row>
    <row r="403" spans="1:19" ht="15">
      <c r="A403" s="68"/>
      <c r="B403" s="61"/>
      <c r="C403" s="61"/>
      <c r="D403" s="61"/>
      <c r="E403" s="61"/>
      <c r="F403" s="61"/>
      <c r="G403" s="61"/>
      <c r="H403" s="91"/>
      <c r="I403" s="68"/>
      <c r="J403" s="68"/>
      <c r="K403" s="68"/>
      <c r="L403" s="61"/>
      <c r="M403" s="61"/>
      <c r="N403" s="61"/>
      <c r="O403" s="61"/>
      <c r="P403" s="61"/>
      <c r="Q403" s="61"/>
      <c r="R403" s="61"/>
      <c r="S403" s="61"/>
    </row>
    <row r="404" spans="1:19" ht="15">
      <c r="A404" s="68"/>
      <c r="B404" s="61"/>
      <c r="C404" s="61"/>
      <c r="D404" s="61"/>
      <c r="E404" s="61"/>
      <c r="F404" s="61"/>
      <c r="G404" s="61"/>
      <c r="H404" s="91"/>
      <c r="I404" s="68"/>
      <c r="J404" s="68"/>
      <c r="K404" s="68"/>
      <c r="L404" s="61"/>
      <c r="M404" s="61"/>
      <c r="N404" s="61"/>
      <c r="O404" s="61"/>
      <c r="P404" s="61"/>
      <c r="Q404" s="61"/>
      <c r="R404" s="61"/>
      <c r="S404" s="61"/>
    </row>
    <row r="405" spans="1:19" ht="15">
      <c r="A405" s="68"/>
      <c r="B405" s="61"/>
      <c r="C405" s="61"/>
      <c r="D405" s="61"/>
      <c r="E405" s="61"/>
      <c r="F405" s="61"/>
      <c r="G405" s="61"/>
      <c r="H405" s="91"/>
      <c r="I405" s="68"/>
      <c r="J405" s="68"/>
      <c r="K405" s="68"/>
      <c r="L405" s="61"/>
      <c r="M405" s="61"/>
      <c r="N405" s="61"/>
      <c r="O405" s="61"/>
      <c r="P405" s="61"/>
      <c r="Q405" s="61"/>
      <c r="R405" s="61"/>
      <c r="S405" s="61"/>
    </row>
    <row r="406" spans="1:19" ht="15">
      <c r="A406" s="68"/>
      <c r="B406" s="61"/>
      <c r="C406" s="61"/>
      <c r="D406" s="61"/>
      <c r="E406" s="61"/>
      <c r="F406" s="61"/>
      <c r="G406" s="61"/>
      <c r="H406" s="91"/>
      <c r="I406" s="68"/>
      <c r="J406" s="68"/>
      <c r="K406" s="68"/>
      <c r="L406" s="61"/>
      <c r="M406" s="61"/>
      <c r="N406" s="61"/>
      <c r="O406" s="61"/>
      <c r="P406" s="61"/>
      <c r="Q406" s="61"/>
      <c r="R406" s="61"/>
      <c r="S406" s="61"/>
    </row>
    <row r="407" spans="1:19" ht="15">
      <c r="A407" s="68"/>
      <c r="B407" s="61"/>
      <c r="C407" s="61"/>
      <c r="D407" s="61"/>
      <c r="E407" s="61"/>
      <c r="F407" s="61"/>
      <c r="G407" s="61"/>
      <c r="H407" s="91"/>
      <c r="I407" s="68"/>
      <c r="J407" s="68"/>
      <c r="K407" s="68"/>
      <c r="L407" s="61"/>
      <c r="M407" s="61"/>
      <c r="N407" s="61"/>
      <c r="O407" s="61"/>
      <c r="P407" s="61"/>
      <c r="Q407" s="61"/>
      <c r="R407" s="61"/>
      <c r="S407" s="61"/>
    </row>
    <row r="408" spans="1:19" ht="15">
      <c r="A408" s="68"/>
      <c r="B408" s="61"/>
      <c r="C408" s="61"/>
      <c r="D408" s="61"/>
      <c r="E408" s="61"/>
      <c r="F408" s="61"/>
      <c r="G408" s="61"/>
      <c r="H408" s="91"/>
      <c r="I408" s="68"/>
      <c r="J408" s="68"/>
      <c r="K408" s="68"/>
      <c r="L408" s="61"/>
      <c r="M408" s="61"/>
      <c r="N408" s="61"/>
      <c r="O408" s="61"/>
      <c r="P408" s="61"/>
      <c r="Q408" s="61"/>
      <c r="R408" s="61"/>
      <c r="S408" s="61"/>
    </row>
    <row r="409" spans="1:19" ht="15">
      <c r="A409" s="68"/>
      <c r="B409" s="61"/>
      <c r="C409" s="61"/>
      <c r="D409" s="61"/>
      <c r="E409" s="61"/>
      <c r="F409" s="61"/>
      <c r="G409" s="61"/>
      <c r="H409" s="91"/>
      <c r="I409" s="68"/>
      <c r="J409" s="68"/>
      <c r="K409" s="68"/>
      <c r="L409" s="61"/>
      <c r="M409" s="61"/>
      <c r="N409" s="61"/>
      <c r="O409" s="61"/>
      <c r="P409" s="61"/>
      <c r="Q409" s="61"/>
      <c r="R409" s="61"/>
      <c r="S409" s="61"/>
    </row>
    <row r="410" spans="1:19" ht="15">
      <c r="A410" s="68"/>
      <c r="B410" s="61"/>
      <c r="C410" s="61"/>
      <c r="D410" s="61"/>
      <c r="E410" s="61"/>
      <c r="F410" s="61"/>
      <c r="G410" s="61"/>
      <c r="H410" s="91"/>
      <c r="I410" s="68"/>
      <c r="J410" s="68"/>
      <c r="K410" s="68"/>
      <c r="L410" s="61"/>
      <c r="M410" s="61"/>
      <c r="N410" s="61"/>
      <c r="O410" s="61"/>
      <c r="P410" s="61"/>
      <c r="Q410" s="61"/>
      <c r="R410" s="61"/>
      <c r="S410" s="61"/>
    </row>
    <row r="411" spans="1:19" ht="15">
      <c r="A411" s="68"/>
      <c r="B411" s="61"/>
      <c r="C411" s="61"/>
      <c r="D411" s="61"/>
      <c r="E411" s="61"/>
      <c r="F411" s="61"/>
      <c r="G411" s="61"/>
      <c r="H411" s="91"/>
      <c r="I411" s="68"/>
      <c r="J411" s="68"/>
      <c r="K411" s="68"/>
      <c r="L411" s="61"/>
      <c r="M411" s="61"/>
      <c r="N411" s="61"/>
      <c r="O411" s="61"/>
      <c r="P411" s="61"/>
      <c r="Q411" s="61"/>
      <c r="R411" s="61"/>
      <c r="S411" s="61"/>
    </row>
    <row r="412" spans="1:19" ht="15">
      <c r="A412" s="68"/>
      <c r="B412" s="61"/>
      <c r="C412" s="61"/>
      <c r="D412" s="61"/>
      <c r="E412" s="61"/>
      <c r="F412" s="61"/>
      <c r="G412" s="61"/>
      <c r="H412" s="91"/>
      <c r="I412" s="68"/>
      <c r="J412" s="68"/>
      <c r="K412" s="68"/>
      <c r="L412" s="61"/>
      <c r="M412" s="61"/>
      <c r="N412" s="61"/>
      <c r="O412" s="61"/>
      <c r="P412" s="61"/>
      <c r="Q412" s="61"/>
      <c r="R412" s="61"/>
      <c r="S412" s="61"/>
    </row>
    <row r="413" spans="1:19" ht="15">
      <c r="A413" s="68"/>
      <c r="B413" s="61"/>
      <c r="C413" s="61"/>
      <c r="D413" s="61"/>
      <c r="E413" s="61"/>
      <c r="F413" s="61"/>
      <c r="G413" s="61"/>
      <c r="H413" s="91"/>
      <c r="I413" s="68"/>
      <c r="J413" s="68"/>
      <c r="K413" s="68"/>
      <c r="L413" s="61"/>
      <c r="M413" s="61"/>
      <c r="N413" s="61"/>
      <c r="O413" s="61"/>
      <c r="P413" s="61"/>
      <c r="Q413" s="61"/>
      <c r="R413" s="61"/>
      <c r="S413" s="61"/>
    </row>
    <row r="414" spans="1:19" ht="15">
      <c r="A414" s="68"/>
      <c r="B414" s="61"/>
      <c r="C414" s="61"/>
      <c r="D414" s="61"/>
      <c r="E414" s="61"/>
      <c r="F414" s="61"/>
      <c r="G414" s="61"/>
      <c r="H414" s="91"/>
      <c r="I414" s="68"/>
      <c r="J414" s="68"/>
      <c r="K414" s="68"/>
      <c r="L414" s="61"/>
      <c r="M414" s="61"/>
      <c r="N414" s="61"/>
      <c r="O414" s="61"/>
      <c r="P414" s="61"/>
      <c r="Q414" s="61"/>
      <c r="R414" s="61"/>
      <c r="S414" s="61"/>
    </row>
    <row r="415" spans="1:19" ht="15">
      <c r="A415" s="68"/>
      <c r="B415" s="61"/>
      <c r="C415" s="61"/>
      <c r="D415" s="61"/>
      <c r="E415" s="61"/>
      <c r="F415" s="61"/>
      <c r="G415" s="61"/>
      <c r="H415" s="91"/>
      <c r="I415" s="68"/>
      <c r="J415" s="68"/>
      <c r="K415" s="68"/>
      <c r="L415" s="61"/>
      <c r="M415" s="61"/>
      <c r="N415" s="61"/>
      <c r="O415" s="61"/>
      <c r="P415" s="61"/>
      <c r="Q415" s="61"/>
      <c r="R415" s="61"/>
      <c r="S415" s="61"/>
    </row>
    <row r="416" spans="1:19" ht="15">
      <c r="A416" s="68"/>
      <c r="B416" s="61"/>
      <c r="C416" s="61"/>
      <c r="D416" s="61"/>
      <c r="E416" s="61"/>
      <c r="F416" s="61"/>
      <c r="G416" s="61"/>
      <c r="H416" s="91"/>
      <c r="I416" s="68"/>
      <c r="J416" s="68"/>
      <c r="K416" s="68"/>
      <c r="L416" s="61"/>
      <c r="M416" s="61"/>
      <c r="N416" s="61"/>
      <c r="O416" s="61"/>
      <c r="P416" s="61"/>
      <c r="Q416" s="61"/>
      <c r="R416" s="61"/>
      <c r="S416" s="61"/>
    </row>
    <row r="417" spans="1:19" ht="15">
      <c r="A417" s="68"/>
      <c r="B417" s="61"/>
      <c r="C417" s="61"/>
      <c r="D417" s="61"/>
      <c r="E417" s="61"/>
      <c r="F417" s="61"/>
      <c r="G417" s="61"/>
      <c r="H417" s="91"/>
      <c r="I417" s="68"/>
      <c r="J417" s="68"/>
      <c r="K417" s="68"/>
      <c r="L417" s="61"/>
      <c r="M417" s="61"/>
      <c r="N417" s="61"/>
      <c r="O417" s="61"/>
      <c r="P417" s="61"/>
      <c r="Q417" s="61"/>
      <c r="R417" s="61"/>
      <c r="S417" s="61"/>
    </row>
    <row r="418" spans="1:19" ht="15">
      <c r="A418" s="68"/>
      <c r="B418" s="61"/>
      <c r="C418" s="61"/>
      <c r="D418" s="61"/>
      <c r="E418" s="61"/>
      <c r="F418" s="61"/>
      <c r="G418" s="61"/>
      <c r="H418" s="91"/>
      <c r="I418" s="68"/>
      <c r="J418" s="68"/>
      <c r="K418" s="68"/>
      <c r="L418" s="61"/>
      <c r="M418" s="61"/>
      <c r="N418" s="61"/>
      <c r="O418" s="61"/>
      <c r="P418" s="61"/>
      <c r="Q418" s="61"/>
      <c r="R418" s="61"/>
      <c r="S418" s="61"/>
    </row>
    <row r="419" spans="1:19" ht="15">
      <c r="A419" s="68"/>
      <c r="B419" s="61"/>
      <c r="C419" s="61"/>
      <c r="D419" s="61"/>
      <c r="E419" s="61"/>
      <c r="F419" s="61"/>
      <c r="G419" s="61"/>
      <c r="H419" s="91"/>
      <c r="I419" s="68"/>
      <c r="J419" s="68"/>
      <c r="K419" s="68"/>
      <c r="L419" s="61"/>
      <c r="M419" s="61"/>
      <c r="N419" s="61"/>
      <c r="O419" s="61"/>
      <c r="P419" s="61"/>
      <c r="Q419" s="61"/>
      <c r="R419" s="61"/>
      <c r="S419" s="61"/>
    </row>
    <row r="420" spans="1:19" ht="15">
      <c r="A420" s="68"/>
      <c r="B420" s="61"/>
      <c r="C420" s="61"/>
      <c r="D420" s="61"/>
      <c r="E420" s="61"/>
      <c r="F420" s="61"/>
      <c r="G420" s="61"/>
      <c r="H420" s="91"/>
      <c r="I420" s="68"/>
      <c r="J420" s="68"/>
      <c r="K420" s="68"/>
      <c r="L420" s="61"/>
      <c r="M420" s="61"/>
      <c r="N420" s="61"/>
      <c r="O420" s="61"/>
      <c r="P420" s="61"/>
      <c r="Q420" s="61"/>
      <c r="R420" s="61"/>
      <c r="S420" s="61"/>
    </row>
    <row r="421" spans="1:19" ht="15">
      <c r="A421" s="68"/>
      <c r="B421" s="61"/>
      <c r="C421" s="61"/>
      <c r="D421" s="61"/>
      <c r="E421" s="61"/>
      <c r="F421" s="61"/>
      <c r="G421" s="61"/>
      <c r="H421" s="91"/>
      <c r="I421" s="68"/>
      <c r="J421" s="68"/>
      <c r="K421" s="68"/>
      <c r="L421" s="61"/>
      <c r="M421" s="61"/>
      <c r="N421" s="61"/>
      <c r="O421" s="61"/>
      <c r="P421" s="61"/>
      <c r="Q421" s="61"/>
      <c r="R421" s="61"/>
      <c r="S421" s="61"/>
    </row>
    <row r="422" spans="1:19" ht="15">
      <c r="A422" s="68"/>
      <c r="B422" s="61"/>
      <c r="C422" s="61"/>
      <c r="D422" s="61"/>
      <c r="E422" s="61"/>
      <c r="F422" s="61"/>
      <c r="G422" s="61"/>
      <c r="H422" s="91"/>
      <c r="I422" s="68"/>
      <c r="J422" s="68"/>
      <c r="K422" s="68"/>
      <c r="L422" s="61"/>
      <c r="M422" s="61"/>
      <c r="N422" s="61"/>
      <c r="O422" s="61"/>
      <c r="P422" s="61"/>
      <c r="Q422" s="61"/>
      <c r="R422" s="61"/>
      <c r="S422" s="61"/>
    </row>
    <row r="423" spans="1:19" ht="15">
      <c r="A423" s="68"/>
      <c r="B423" s="61"/>
      <c r="C423" s="61"/>
      <c r="D423" s="61"/>
      <c r="E423" s="61"/>
      <c r="F423" s="61"/>
      <c r="G423" s="61"/>
      <c r="H423" s="91"/>
      <c r="I423" s="68"/>
      <c r="J423" s="68"/>
      <c r="K423" s="68"/>
      <c r="L423" s="61"/>
      <c r="M423" s="61"/>
      <c r="N423" s="61"/>
      <c r="O423" s="61"/>
      <c r="P423" s="61"/>
      <c r="Q423" s="61"/>
      <c r="R423" s="61"/>
      <c r="S423" s="61"/>
    </row>
    <row r="424" spans="1:19" ht="15">
      <c r="A424" s="68"/>
      <c r="B424" s="61"/>
      <c r="C424" s="61"/>
      <c r="D424" s="61"/>
      <c r="E424" s="61"/>
      <c r="F424" s="61"/>
      <c r="G424" s="61"/>
      <c r="H424" s="91"/>
      <c r="I424" s="68"/>
      <c r="J424" s="68"/>
      <c r="K424" s="68"/>
      <c r="L424" s="61"/>
      <c r="M424" s="61"/>
      <c r="N424" s="61"/>
      <c r="O424" s="61"/>
      <c r="P424" s="61"/>
      <c r="Q424" s="61"/>
      <c r="R424" s="61"/>
      <c r="S424" s="61"/>
    </row>
    <row r="425" spans="1:19" ht="15">
      <c r="A425" s="68"/>
      <c r="B425" s="61"/>
      <c r="C425" s="61"/>
      <c r="D425" s="61"/>
      <c r="E425" s="61"/>
      <c r="F425" s="61"/>
      <c r="G425" s="61"/>
      <c r="H425" s="91"/>
      <c r="I425" s="68"/>
      <c r="J425" s="68"/>
      <c r="K425" s="68"/>
      <c r="L425" s="61"/>
      <c r="M425" s="61"/>
      <c r="N425" s="61"/>
      <c r="O425" s="61"/>
      <c r="P425" s="61"/>
      <c r="Q425" s="61"/>
      <c r="R425" s="61"/>
      <c r="S425" s="61"/>
    </row>
    <row r="426" spans="1:19" ht="15">
      <c r="A426" s="68"/>
      <c r="B426" s="61"/>
      <c r="C426" s="61"/>
      <c r="D426" s="61"/>
      <c r="E426" s="61"/>
      <c r="F426" s="61"/>
      <c r="G426" s="61"/>
      <c r="H426" s="91"/>
      <c r="I426" s="68"/>
      <c r="J426" s="68"/>
      <c r="K426" s="68"/>
      <c r="L426" s="61"/>
      <c r="M426" s="61"/>
      <c r="N426" s="61"/>
      <c r="O426" s="61"/>
      <c r="P426" s="61"/>
      <c r="Q426" s="61"/>
      <c r="R426" s="61"/>
      <c r="S426" s="61"/>
    </row>
    <row r="427" spans="1:19" ht="15">
      <c r="A427" s="68"/>
      <c r="B427" s="61"/>
      <c r="C427" s="61"/>
      <c r="D427" s="61"/>
      <c r="E427" s="61"/>
      <c r="F427" s="61"/>
      <c r="G427" s="61"/>
      <c r="H427" s="91"/>
      <c r="I427" s="68"/>
      <c r="J427" s="68"/>
      <c r="K427" s="68"/>
      <c r="L427" s="61"/>
      <c r="M427" s="61"/>
      <c r="N427" s="61"/>
      <c r="O427" s="61"/>
      <c r="P427" s="61"/>
      <c r="Q427" s="61"/>
      <c r="R427" s="61"/>
      <c r="S427" s="61"/>
    </row>
    <row r="428" spans="1:19" ht="15">
      <c r="A428" s="68"/>
      <c r="B428" s="61"/>
      <c r="C428" s="61"/>
      <c r="D428" s="61"/>
      <c r="E428" s="61"/>
      <c r="F428" s="61"/>
      <c r="G428" s="61"/>
      <c r="H428" s="91"/>
      <c r="I428" s="68"/>
      <c r="J428" s="68"/>
      <c r="K428" s="68"/>
      <c r="L428" s="61"/>
      <c r="M428" s="61"/>
      <c r="N428" s="61"/>
      <c r="O428" s="61"/>
      <c r="P428" s="61"/>
      <c r="Q428" s="61"/>
      <c r="R428" s="61"/>
      <c r="S428" s="61"/>
    </row>
    <row r="429" spans="1:19" ht="15">
      <c r="A429" s="68"/>
      <c r="B429" s="61"/>
      <c r="C429" s="61"/>
      <c r="D429" s="61"/>
      <c r="E429" s="61"/>
      <c r="F429" s="61"/>
      <c r="G429" s="61"/>
      <c r="H429" s="91"/>
      <c r="I429" s="68"/>
      <c r="J429" s="68"/>
      <c r="K429" s="68"/>
      <c r="L429" s="61"/>
      <c r="M429" s="61"/>
      <c r="N429" s="61"/>
      <c r="O429" s="61"/>
      <c r="P429" s="61"/>
      <c r="Q429" s="61"/>
      <c r="R429" s="61"/>
      <c r="S429" s="61"/>
    </row>
    <row r="430" spans="1:19" ht="15">
      <c r="A430" s="68"/>
      <c r="B430" s="61"/>
      <c r="C430" s="61"/>
      <c r="D430" s="61"/>
      <c r="E430" s="61"/>
      <c r="F430" s="61"/>
      <c r="G430" s="61"/>
      <c r="H430" s="91"/>
      <c r="I430" s="68"/>
      <c r="J430" s="68"/>
      <c r="K430" s="68"/>
      <c r="L430" s="61"/>
      <c r="M430" s="61"/>
      <c r="N430" s="61"/>
      <c r="O430" s="61"/>
      <c r="P430" s="61"/>
      <c r="Q430" s="61"/>
      <c r="R430" s="61"/>
      <c r="S430" s="61"/>
    </row>
    <row r="431" spans="1:19" ht="15">
      <c r="A431" s="68"/>
      <c r="B431" s="61"/>
      <c r="C431" s="61"/>
      <c r="D431" s="61"/>
      <c r="E431" s="61"/>
      <c r="F431" s="61"/>
      <c r="G431" s="61"/>
      <c r="H431" s="91"/>
      <c r="I431" s="68"/>
      <c r="J431" s="68"/>
      <c r="K431" s="68"/>
      <c r="L431" s="61"/>
      <c r="M431" s="61"/>
      <c r="N431" s="61"/>
      <c r="O431" s="61"/>
      <c r="P431" s="61"/>
      <c r="Q431" s="61"/>
      <c r="R431" s="61"/>
      <c r="S431" s="61"/>
    </row>
    <row r="432" spans="1:19" ht="15">
      <c r="A432" s="68"/>
      <c r="B432" s="61"/>
      <c r="C432" s="61"/>
      <c r="D432" s="61"/>
      <c r="E432" s="61"/>
      <c r="F432" s="61"/>
      <c r="G432" s="61"/>
      <c r="H432" s="91"/>
      <c r="I432" s="68"/>
      <c r="J432" s="68"/>
      <c r="K432" s="68"/>
      <c r="L432" s="61"/>
      <c r="M432" s="61"/>
      <c r="N432" s="61"/>
      <c r="O432" s="61"/>
      <c r="P432" s="61"/>
      <c r="Q432" s="61"/>
      <c r="R432" s="61"/>
      <c r="S432" s="61"/>
    </row>
    <row r="433" spans="1:19" ht="15">
      <c r="A433" s="68"/>
      <c r="B433" s="61"/>
      <c r="C433" s="61"/>
      <c r="D433" s="61"/>
      <c r="E433" s="61"/>
      <c r="F433" s="61"/>
      <c r="G433" s="61"/>
      <c r="H433" s="91"/>
      <c r="I433" s="68"/>
      <c r="J433" s="68"/>
      <c r="K433" s="68"/>
      <c r="L433" s="61"/>
      <c r="M433" s="61"/>
      <c r="N433" s="61"/>
      <c r="O433" s="61"/>
      <c r="P433" s="61"/>
      <c r="Q433" s="61"/>
      <c r="R433" s="61"/>
      <c r="S433" s="61"/>
    </row>
    <row r="434" spans="1:19" ht="15">
      <c r="A434" s="68"/>
      <c r="B434" s="61"/>
      <c r="C434" s="61"/>
      <c r="D434" s="61"/>
      <c r="E434" s="61"/>
      <c r="F434" s="61"/>
      <c r="G434" s="61"/>
      <c r="H434" s="91"/>
      <c r="I434" s="68"/>
      <c r="J434" s="68"/>
      <c r="K434" s="68"/>
      <c r="L434" s="61"/>
      <c r="M434" s="61"/>
      <c r="N434" s="61"/>
      <c r="O434" s="61"/>
      <c r="P434" s="61"/>
      <c r="Q434" s="61"/>
      <c r="R434" s="61"/>
      <c r="S434" s="61"/>
    </row>
    <row r="435" spans="1:19" ht="15">
      <c r="A435" s="68"/>
      <c r="B435" s="61"/>
      <c r="C435" s="61"/>
      <c r="D435" s="61"/>
      <c r="E435" s="61"/>
      <c r="F435" s="61"/>
      <c r="G435" s="61"/>
      <c r="H435" s="91"/>
      <c r="I435" s="68"/>
      <c r="J435" s="68"/>
      <c r="K435" s="68"/>
      <c r="L435" s="61"/>
      <c r="M435" s="61"/>
      <c r="N435" s="61"/>
      <c r="O435" s="61"/>
      <c r="P435" s="61"/>
      <c r="Q435" s="61"/>
      <c r="R435" s="61"/>
      <c r="S435" s="61"/>
    </row>
    <row r="436" spans="1:19" ht="15">
      <c r="A436" s="68"/>
      <c r="B436" s="61"/>
      <c r="C436" s="61"/>
      <c r="D436" s="61"/>
      <c r="E436" s="61"/>
      <c r="F436" s="61"/>
      <c r="G436" s="61"/>
      <c r="H436" s="91"/>
      <c r="I436" s="68"/>
      <c r="J436" s="68"/>
      <c r="K436" s="68"/>
      <c r="L436" s="61"/>
      <c r="M436" s="61"/>
      <c r="N436" s="61"/>
      <c r="O436" s="61"/>
      <c r="P436" s="61"/>
      <c r="Q436" s="61"/>
      <c r="R436" s="61"/>
      <c r="S436" s="61"/>
    </row>
    <row r="437" spans="1:19" ht="15">
      <c r="A437" s="68"/>
      <c r="B437" s="61"/>
      <c r="C437" s="61"/>
      <c r="D437" s="61"/>
      <c r="E437" s="61"/>
      <c r="F437" s="61"/>
      <c r="G437" s="61"/>
      <c r="H437" s="91"/>
      <c r="I437" s="68"/>
      <c r="J437" s="68"/>
      <c r="K437" s="68"/>
      <c r="L437" s="61"/>
      <c r="M437" s="61"/>
      <c r="N437" s="61"/>
      <c r="O437" s="61"/>
      <c r="P437" s="61"/>
      <c r="Q437" s="61"/>
      <c r="R437" s="61"/>
      <c r="S437" s="61"/>
    </row>
    <row r="438" spans="1:19" ht="15">
      <c r="A438" s="68"/>
      <c r="B438" s="61"/>
      <c r="C438" s="61"/>
      <c r="D438" s="61"/>
      <c r="E438" s="61"/>
      <c r="F438" s="61"/>
      <c r="G438" s="61"/>
      <c r="H438" s="91"/>
      <c r="I438" s="68"/>
      <c r="J438" s="68"/>
      <c r="K438" s="68"/>
      <c r="L438" s="61"/>
      <c r="M438" s="61"/>
      <c r="N438" s="61"/>
      <c r="O438" s="61"/>
      <c r="P438" s="61"/>
      <c r="Q438" s="61"/>
      <c r="R438" s="61"/>
      <c r="S438" s="61"/>
    </row>
    <row r="439" spans="1:19" ht="15">
      <c r="A439" s="68"/>
      <c r="B439" s="61"/>
      <c r="C439" s="61"/>
      <c r="D439" s="61"/>
      <c r="E439" s="61"/>
      <c r="F439" s="61"/>
      <c r="G439" s="61"/>
      <c r="H439" s="91"/>
      <c r="I439" s="68"/>
      <c r="J439" s="68"/>
      <c r="K439" s="68"/>
      <c r="L439" s="61"/>
      <c r="M439" s="61"/>
      <c r="N439" s="61"/>
      <c r="O439" s="61"/>
      <c r="P439" s="61"/>
      <c r="Q439" s="61"/>
      <c r="R439" s="61"/>
      <c r="S439" s="61"/>
    </row>
    <row r="440" spans="1:19" ht="15">
      <c r="A440" s="68"/>
      <c r="B440" s="61"/>
      <c r="C440" s="61"/>
      <c r="D440" s="61"/>
      <c r="E440" s="61"/>
      <c r="F440" s="61"/>
      <c r="G440" s="61"/>
      <c r="H440" s="91"/>
      <c r="I440" s="68"/>
      <c r="J440" s="68"/>
      <c r="K440" s="68"/>
      <c r="L440" s="61"/>
      <c r="M440" s="61"/>
      <c r="N440" s="61"/>
      <c r="O440" s="61"/>
      <c r="P440" s="61"/>
      <c r="Q440" s="61"/>
      <c r="R440" s="61"/>
      <c r="S440" s="61"/>
    </row>
    <row r="441" spans="1:19" ht="15">
      <c r="A441" s="68"/>
      <c r="B441" s="61"/>
      <c r="C441" s="61"/>
      <c r="D441" s="61"/>
      <c r="E441" s="61"/>
      <c r="F441" s="61"/>
      <c r="G441" s="61"/>
      <c r="H441" s="91"/>
      <c r="I441" s="68"/>
      <c r="J441" s="68"/>
      <c r="K441" s="68"/>
      <c r="L441" s="61"/>
      <c r="M441" s="61"/>
      <c r="N441" s="61"/>
      <c r="O441" s="61"/>
      <c r="P441" s="61"/>
      <c r="Q441" s="61"/>
      <c r="R441" s="61"/>
      <c r="S441" s="61"/>
    </row>
    <row r="442" spans="1:19" ht="15">
      <c r="A442" s="68"/>
      <c r="B442" s="61"/>
      <c r="C442" s="61"/>
      <c r="D442" s="61"/>
      <c r="E442" s="61"/>
      <c r="F442" s="61"/>
      <c r="G442" s="61"/>
      <c r="H442" s="91"/>
      <c r="I442" s="68"/>
      <c r="J442" s="68"/>
      <c r="K442" s="68"/>
      <c r="L442" s="61"/>
      <c r="M442" s="61"/>
      <c r="N442" s="61"/>
      <c r="O442" s="61"/>
      <c r="P442" s="61"/>
      <c r="Q442" s="61"/>
      <c r="R442" s="61"/>
      <c r="S442" s="61"/>
    </row>
    <row r="443" spans="1:19" ht="15">
      <c r="A443" s="68"/>
      <c r="B443" s="61"/>
      <c r="C443" s="61"/>
      <c r="D443" s="61"/>
      <c r="E443" s="61"/>
      <c r="F443" s="61"/>
      <c r="G443" s="61"/>
      <c r="H443" s="91"/>
      <c r="I443" s="68"/>
      <c r="J443" s="68"/>
      <c r="K443" s="68"/>
      <c r="L443" s="61"/>
      <c r="M443" s="61"/>
      <c r="N443" s="61"/>
      <c r="O443" s="61"/>
      <c r="P443" s="61"/>
      <c r="Q443" s="61"/>
      <c r="R443" s="61"/>
      <c r="S443" s="61"/>
    </row>
    <row r="444" spans="1:19" ht="15">
      <c r="A444" s="68"/>
      <c r="B444" s="61"/>
      <c r="C444" s="61"/>
      <c r="D444" s="61"/>
      <c r="E444" s="61"/>
      <c r="F444" s="61"/>
      <c r="G444" s="61"/>
      <c r="H444" s="91"/>
      <c r="I444" s="68"/>
      <c r="J444" s="68"/>
      <c r="K444" s="68"/>
      <c r="L444" s="61"/>
      <c r="M444" s="61"/>
      <c r="N444" s="61"/>
      <c r="O444" s="61"/>
      <c r="P444" s="61"/>
      <c r="Q444" s="61"/>
      <c r="R444" s="61"/>
      <c r="S444" s="61"/>
    </row>
    <row r="445" spans="1:19" ht="15">
      <c r="A445" s="68"/>
      <c r="B445" s="61"/>
      <c r="C445" s="61"/>
      <c r="D445" s="61"/>
      <c r="E445" s="61"/>
      <c r="F445" s="61"/>
      <c r="G445" s="61"/>
      <c r="H445" s="91"/>
      <c r="I445" s="68"/>
      <c r="J445" s="68"/>
      <c r="K445" s="68"/>
      <c r="L445" s="61"/>
      <c r="M445" s="61"/>
      <c r="N445" s="61"/>
      <c r="O445" s="61"/>
      <c r="P445" s="61"/>
      <c r="Q445" s="61"/>
      <c r="R445" s="61"/>
      <c r="S445" s="61"/>
    </row>
    <row r="446" spans="1:19" ht="15">
      <c r="A446" s="68"/>
      <c r="B446" s="61"/>
      <c r="C446" s="61"/>
      <c r="D446" s="61"/>
      <c r="E446" s="61"/>
      <c r="F446" s="61"/>
      <c r="G446" s="61"/>
      <c r="H446" s="91"/>
      <c r="I446" s="68"/>
      <c r="J446" s="68"/>
      <c r="K446" s="68"/>
      <c r="L446" s="61"/>
      <c r="M446" s="61"/>
      <c r="N446" s="61"/>
      <c r="O446" s="61"/>
      <c r="P446" s="61"/>
      <c r="Q446" s="61"/>
      <c r="R446" s="61"/>
      <c r="S446" s="61"/>
    </row>
    <row r="447" spans="1:19" ht="15">
      <c r="A447" s="68"/>
      <c r="B447" s="61"/>
      <c r="C447" s="61"/>
      <c r="D447" s="61"/>
      <c r="E447" s="61"/>
      <c r="F447" s="61"/>
      <c r="G447" s="61"/>
      <c r="H447" s="91"/>
      <c r="I447" s="68"/>
      <c r="J447" s="68"/>
      <c r="K447" s="68"/>
      <c r="L447" s="61"/>
      <c r="M447" s="61"/>
      <c r="N447" s="61"/>
      <c r="O447" s="61"/>
      <c r="P447" s="61"/>
      <c r="Q447" s="61"/>
      <c r="R447" s="61"/>
      <c r="S447" s="61"/>
    </row>
    <row r="448" spans="1:19" ht="15">
      <c r="A448" s="68"/>
      <c r="B448" s="61"/>
      <c r="C448" s="61"/>
      <c r="D448" s="61"/>
      <c r="E448" s="61"/>
      <c r="F448" s="61"/>
      <c r="G448" s="61"/>
      <c r="H448" s="91"/>
      <c r="I448" s="68"/>
      <c r="J448" s="68"/>
      <c r="K448" s="68"/>
      <c r="L448" s="61"/>
      <c r="M448" s="61"/>
      <c r="N448" s="61"/>
      <c r="O448" s="61"/>
      <c r="P448" s="61"/>
      <c r="Q448" s="61"/>
      <c r="R448" s="61"/>
      <c r="S448" s="61"/>
    </row>
    <row r="449" spans="1:19" ht="15">
      <c r="A449" s="68"/>
      <c r="B449" s="61"/>
      <c r="C449" s="61"/>
      <c r="D449" s="61"/>
      <c r="E449" s="61"/>
      <c r="F449" s="61"/>
      <c r="G449" s="61"/>
      <c r="H449" s="91"/>
      <c r="I449" s="68"/>
      <c r="J449" s="68"/>
      <c r="K449" s="68"/>
      <c r="L449" s="61"/>
      <c r="M449" s="61"/>
      <c r="N449" s="61"/>
      <c r="O449" s="61"/>
      <c r="P449" s="61"/>
      <c r="Q449" s="61"/>
      <c r="R449" s="61"/>
      <c r="S449" s="61"/>
    </row>
    <row r="450" spans="1:19" ht="15">
      <c r="A450" s="68"/>
      <c r="B450" s="61"/>
      <c r="C450" s="61"/>
      <c r="D450" s="61"/>
      <c r="E450" s="61"/>
      <c r="F450" s="61"/>
      <c r="G450" s="61"/>
      <c r="H450" s="91"/>
      <c r="I450" s="68"/>
      <c r="J450" s="68"/>
      <c r="K450" s="68"/>
      <c r="L450" s="61"/>
      <c r="M450" s="61"/>
      <c r="N450" s="61"/>
      <c r="O450" s="61"/>
      <c r="P450" s="61"/>
      <c r="Q450" s="61"/>
      <c r="R450" s="61"/>
      <c r="S450" s="61"/>
    </row>
    <row r="451" spans="1:19" ht="15">
      <c r="A451" s="68"/>
      <c r="B451" s="61"/>
      <c r="C451" s="61"/>
      <c r="D451" s="61"/>
      <c r="E451" s="61"/>
      <c r="F451" s="61"/>
      <c r="G451" s="61"/>
      <c r="H451" s="91"/>
      <c r="I451" s="68"/>
      <c r="J451" s="68"/>
      <c r="K451" s="68"/>
      <c r="L451" s="61"/>
      <c r="M451" s="61"/>
      <c r="N451" s="61"/>
      <c r="O451" s="61"/>
      <c r="P451" s="61"/>
      <c r="Q451" s="61"/>
      <c r="R451" s="61"/>
      <c r="S451" s="61"/>
    </row>
    <row r="452" spans="1:19" ht="15">
      <c r="A452" s="68"/>
      <c r="B452" s="61"/>
      <c r="C452" s="61"/>
      <c r="D452" s="61"/>
      <c r="E452" s="61"/>
      <c r="F452" s="61"/>
      <c r="G452" s="61"/>
      <c r="H452" s="91"/>
      <c r="I452" s="68"/>
      <c r="J452" s="68"/>
      <c r="K452" s="68"/>
      <c r="L452" s="61"/>
      <c r="M452" s="61"/>
      <c r="N452" s="61"/>
      <c r="O452" s="61"/>
      <c r="P452" s="61"/>
      <c r="Q452" s="61"/>
      <c r="R452" s="61"/>
      <c r="S452" s="61"/>
    </row>
    <row r="453" spans="1:19" ht="15">
      <c r="A453" s="68"/>
      <c r="B453" s="61"/>
      <c r="C453" s="61"/>
      <c r="D453" s="61"/>
      <c r="E453" s="61"/>
      <c r="F453" s="61"/>
      <c r="G453" s="61"/>
      <c r="H453" s="91"/>
      <c r="I453" s="68"/>
      <c r="J453" s="68"/>
      <c r="K453" s="68"/>
      <c r="L453" s="61"/>
      <c r="M453" s="61"/>
      <c r="N453" s="61"/>
      <c r="O453" s="61"/>
      <c r="P453" s="61"/>
      <c r="Q453" s="61"/>
      <c r="R453" s="61"/>
      <c r="S453" s="61"/>
    </row>
    <row r="454" spans="1:19" ht="15">
      <c r="A454" s="68"/>
      <c r="B454" s="61"/>
      <c r="C454" s="61"/>
      <c r="D454" s="61"/>
      <c r="E454" s="61"/>
      <c r="F454" s="61"/>
      <c r="G454" s="61"/>
      <c r="H454" s="91"/>
      <c r="I454" s="68"/>
      <c r="J454" s="68"/>
      <c r="K454" s="68"/>
      <c r="L454" s="61"/>
      <c r="M454" s="61"/>
      <c r="N454" s="61"/>
      <c r="O454" s="61"/>
      <c r="P454" s="61"/>
      <c r="Q454" s="61"/>
      <c r="R454" s="61"/>
      <c r="S454" s="61"/>
    </row>
    <row r="455" spans="1:19" ht="15">
      <c r="A455" s="68"/>
      <c r="B455" s="61"/>
      <c r="C455" s="61"/>
      <c r="D455" s="61"/>
      <c r="E455" s="61"/>
      <c r="F455" s="61"/>
      <c r="G455" s="61"/>
      <c r="H455" s="91"/>
      <c r="I455" s="68"/>
      <c r="J455" s="68"/>
      <c r="K455" s="68"/>
      <c r="L455" s="61"/>
      <c r="M455" s="61"/>
      <c r="N455" s="61"/>
      <c r="O455" s="61"/>
      <c r="P455" s="61"/>
      <c r="Q455" s="61"/>
      <c r="R455" s="61"/>
      <c r="S455" s="61"/>
    </row>
    <row r="456" spans="1:19" ht="15">
      <c r="A456" s="68"/>
      <c r="B456" s="61"/>
      <c r="C456" s="61"/>
      <c r="D456" s="61"/>
      <c r="E456" s="61"/>
      <c r="F456" s="61"/>
      <c r="G456" s="61"/>
      <c r="H456" s="91"/>
      <c r="I456" s="68"/>
      <c r="J456" s="68"/>
      <c r="K456" s="68"/>
      <c r="L456" s="61"/>
      <c r="M456" s="61"/>
      <c r="N456" s="61"/>
      <c r="O456" s="61"/>
      <c r="P456" s="61"/>
      <c r="Q456" s="61"/>
      <c r="R456" s="61"/>
      <c r="S456" s="61"/>
    </row>
    <row r="457" spans="1:19" ht="15">
      <c r="A457" s="68"/>
      <c r="B457" s="61"/>
      <c r="C457" s="61"/>
      <c r="D457" s="61"/>
      <c r="E457" s="61"/>
      <c r="F457" s="61"/>
      <c r="G457" s="61"/>
      <c r="H457" s="91"/>
      <c r="I457" s="68"/>
      <c r="J457" s="68"/>
      <c r="K457" s="68"/>
      <c r="L457" s="61"/>
      <c r="M457" s="61"/>
      <c r="N457" s="61"/>
      <c r="O457" s="61"/>
      <c r="P457" s="61"/>
      <c r="Q457" s="61"/>
      <c r="R457" s="61"/>
      <c r="S457" s="61"/>
    </row>
    <row r="458" spans="1:19" ht="15">
      <c r="A458" s="68"/>
      <c r="B458" s="61"/>
      <c r="C458" s="61"/>
      <c r="D458" s="61"/>
      <c r="E458" s="61"/>
      <c r="F458" s="61"/>
      <c r="G458" s="61"/>
      <c r="H458" s="91"/>
      <c r="I458" s="68"/>
      <c r="J458" s="68"/>
      <c r="K458" s="68"/>
      <c r="L458" s="61"/>
      <c r="M458" s="61"/>
      <c r="N458" s="61"/>
      <c r="O458" s="61"/>
      <c r="P458" s="61"/>
      <c r="Q458" s="61"/>
      <c r="R458" s="61"/>
      <c r="S458" s="61"/>
    </row>
    <row r="459" spans="1:19" ht="15">
      <c r="A459" s="68"/>
      <c r="B459" s="61"/>
      <c r="C459" s="61"/>
      <c r="D459" s="61"/>
      <c r="E459" s="61"/>
      <c r="F459" s="61"/>
      <c r="G459" s="61"/>
      <c r="H459" s="91"/>
      <c r="I459" s="68"/>
      <c r="J459" s="68"/>
      <c r="K459" s="68"/>
      <c r="L459" s="61"/>
      <c r="M459" s="61"/>
      <c r="N459" s="61"/>
      <c r="O459" s="61"/>
      <c r="P459" s="61"/>
      <c r="Q459" s="61"/>
      <c r="R459" s="61"/>
      <c r="S459" s="61"/>
    </row>
    <row r="460" spans="1:19" ht="15">
      <c r="A460" s="68"/>
      <c r="B460" s="61"/>
      <c r="C460" s="61"/>
      <c r="D460" s="61"/>
      <c r="E460" s="61"/>
      <c r="F460" s="61"/>
      <c r="G460" s="61"/>
      <c r="H460" s="91"/>
      <c r="I460" s="68"/>
      <c r="J460" s="68"/>
      <c r="K460" s="68"/>
      <c r="L460" s="61"/>
      <c r="M460" s="61"/>
      <c r="N460" s="61"/>
      <c r="O460" s="61"/>
      <c r="P460" s="61"/>
      <c r="Q460" s="61"/>
      <c r="R460" s="61"/>
      <c r="S460" s="61"/>
    </row>
    <row r="461" spans="1:19" ht="15">
      <c r="A461" s="68"/>
      <c r="B461" s="61"/>
      <c r="C461" s="61"/>
      <c r="D461" s="61"/>
      <c r="E461" s="61"/>
      <c r="F461" s="61"/>
      <c r="G461" s="61"/>
      <c r="H461" s="91"/>
      <c r="I461" s="68"/>
      <c r="J461" s="68"/>
      <c r="K461" s="68"/>
      <c r="L461" s="61"/>
      <c r="M461" s="61"/>
      <c r="N461" s="61"/>
      <c r="O461" s="61"/>
      <c r="P461" s="61"/>
      <c r="Q461" s="61"/>
      <c r="R461" s="61"/>
      <c r="S461" s="61"/>
    </row>
    <row r="462" spans="1:19" ht="15">
      <c r="A462" s="68"/>
      <c r="B462" s="61"/>
      <c r="C462" s="61"/>
      <c r="D462" s="61"/>
      <c r="E462" s="61"/>
      <c r="F462" s="61"/>
      <c r="G462" s="61"/>
      <c r="H462" s="91"/>
      <c r="I462" s="68"/>
      <c r="J462" s="68"/>
      <c r="K462" s="68"/>
      <c r="L462" s="61"/>
      <c r="M462" s="61"/>
      <c r="N462" s="61"/>
      <c r="O462" s="61"/>
      <c r="P462" s="61"/>
      <c r="Q462" s="61"/>
      <c r="R462" s="61"/>
      <c r="S462" s="61"/>
    </row>
    <row r="463" spans="1:19" ht="15">
      <c r="A463" s="68"/>
      <c r="B463" s="61"/>
      <c r="C463" s="61"/>
      <c r="D463" s="61"/>
      <c r="E463" s="61"/>
      <c r="F463" s="61"/>
      <c r="G463" s="61"/>
      <c r="H463" s="91"/>
      <c r="I463" s="68"/>
      <c r="J463" s="68"/>
      <c r="K463" s="68"/>
      <c r="L463" s="61"/>
      <c r="M463" s="61"/>
      <c r="N463" s="61"/>
      <c r="O463" s="61"/>
      <c r="P463" s="61"/>
      <c r="Q463" s="61"/>
      <c r="R463" s="61"/>
      <c r="S463" s="61"/>
    </row>
    <row r="464" spans="1:19" ht="15">
      <c r="A464" s="68"/>
      <c r="B464" s="61"/>
      <c r="C464" s="61"/>
      <c r="D464" s="61"/>
      <c r="E464" s="61"/>
      <c r="F464" s="61"/>
      <c r="G464" s="61"/>
      <c r="H464" s="91"/>
      <c r="I464" s="68"/>
      <c r="J464" s="68"/>
      <c r="K464" s="68"/>
      <c r="L464" s="61"/>
      <c r="M464" s="61"/>
      <c r="N464" s="61"/>
      <c r="O464" s="61"/>
      <c r="P464" s="61"/>
      <c r="Q464" s="61"/>
      <c r="R464" s="61"/>
      <c r="S464" s="61"/>
    </row>
    <row r="465" spans="1:19" ht="15">
      <c r="A465" s="68"/>
      <c r="B465" s="61"/>
      <c r="C465" s="61"/>
      <c r="D465" s="61"/>
      <c r="E465" s="61"/>
      <c r="F465" s="61"/>
      <c r="G465" s="61"/>
      <c r="H465" s="91"/>
      <c r="I465" s="68"/>
      <c r="J465" s="68"/>
      <c r="K465" s="68"/>
      <c r="L465" s="61"/>
      <c r="M465" s="61"/>
      <c r="N465" s="61"/>
      <c r="O465" s="61"/>
      <c r="P465" s="61"/>
      <c r="Q465" s="61"/>
      <c r="R465" s="61"/>
      <c r="S465" s="61"/>
    </row>
    <row r="466" spans="1:19" ht="15">
      <c r="A466" s="68"/>
      <c r="B466" s="61"/>
      <c r="C466" s="61"/>
      <c r="D466" s="61"/>
      <c r="E466" s="61"/>
      <c r="F466" s="61"/>
      <c r="G466" s="61"/>
      <c r="H466" s="91"/>
      <c r="I466" s="68"/>
      <c r="J466" s="68"/>
      <c r="K466" s="68"/>
      <c r="L466" s="61"/>
      <c r="M466" s="61"/>
      <c r="N466" s="61"/>
      <c r="O466" s="61"/>
      <c r="P466" s="61"/>
      <c r="Q466" s="61"/>
      <c r="R466" s="61"/>
      <c r="S466" s="61"/>
    </row>
    <row r="467" spans="1:19" ht="15">
      <c r="A467" s="68"/>
      <c r="B467" s="61"/>
      <c r="C467" s="61"/>
      <c r="D467" s="61"/>
      <c r="E467" s="61"/>
      <c r="F467" s="61"/>
      <c r="G467" s="61"/>
      <c r="H467" s="91"/>
      <c r="I467" s="68"/>
      <c r="J467" s="68"/>
      <c r="K467" s="68"/>
      <c r="L467" s="61"/>
      <c r="M467" s="61"/>
      <c r="N467" s="61"/>
      <c r="O467" s="61"/>
      <c r="P467" s="61"/>
      <c r="Q467" s="61"/>
      <c r="R467" s="61"/>
      <c r="S467" s="61"/>
    </row>
    <row r="468" spans="1:19" ht="15">
      <c r="A468" s="68"/>
      <c r="B468" s="61"/>
      <c r="C468" s="61"/>
      <c r="D468" s="61"/>
      <c r="E468" s="61"/>
      <c r="F468" s="61"/>
      <c r="G468" s="61"/>
      <c r="H468" s="91"/>
      <c r="I468" s="68"/>
      <c r="J468" s="68"/>
      <c r="K468" s="68"/>
      <c r="L468" s="61"/>
      <c r="M468" s="61"/>
      <c r="N468" s="61"/>
      <c r="O468" s="61"/>
      <c r="P468" s="61"/>
      <c r="Q468" s="61"/>
      <c r="R468" s="61"/>
      <c r="S468" s="61"/>
    </row>
    <row r="469" spans="1:19" ht="15">
      <c r="A469" s="68"/>
      <c r="B469" s="61"/>
      <c r="C469" s="61"/>
      <c r="D469" s="61"/>
      <c r="E469" s="61"/>
      <c r="F469" s="61"/>
      <c r="G469" s="61"/>
      <c r="H469" s="91"/>
      <c r="I469" s="68"/>
      <c r="J469" s="68"/>
      <c r="K469" s="68"/>
      <c r="L469" s="61"/>
      <c r="M469" s="61"/>
      <c r="N469" s="61"/>
      <c r="O469" s="61"/>
      <c r="P469" s="61"/>
      <c r="Q469" s="61"/>
      <c r="R469" s="61"/>
      <c r="S469" s="61"/>
    </row>
    <row r="470" spans="1:19" ht="15">
      <c r="A470" s="68"/>
      <c r="B470" s="61"/>
      <c r="C470" s="61"/>
      <c r="D470" s="61"/>
      <c r="E470" s="61"/>
      <c r="F470" s="61"/>
      <c r="G470" s="61"/>
      <c r="H470" s="91"/>
      <c r="I470" s="68"/>
      <c r="J470" s="68"/>
      <c r="K470" s="68"/>
      <c r="L470" s="61"/>
      <c r="M470" s="61"/>
      <c r="N470" s="61"/>
      <c r="O470" s="61"/>
      <c r="P470" s="61"/>
      <c r="Q470" s="61"/>
      <c r="R470" s="61"/>
      <c r="S470" s="61"/>
    </row>
    <row r="471" spans="1:19" ht="15">
      <c r="A471" s="68"/>
      <c r="B471" s="61"/>
      <c r="C471" s="61"/>
      <c r="D471" s="61"/>
      <c r="E471" s="61"/>
      <c r="F471" s="61"/>
      <c r="G471" s="61"/>
      <c r="H471" s="91"/>
      <c r="I471" s="68"/>
      <c r="J471" s="68"/>
      <c r="K471" s="68"/>
      <c r="L471" s="61"/>
      <c r="M471" s="61"/>
      <c r="N471" s="61"/>
      <c r="O471" s="61"/>
      <c r="P471" s="61"/>
      <c r="Q471" s="61"/>
      <c r="R471" s="61"/>
      <c r="S471" s="61"/>
    </row>
    <row r="472" spans="1:19" ht="15">
      <c r="A472" s="68"/>
      <c r="B472" s="61"/>
      <c r="C472" s="61"/>
      <c r="D472" s="61"/>
      <c r="E472" s="61"/>
      <c r="F472" s="61"/>
      <c r="G472" s="61"/>
      <c r="H472" s="91"/>
      <c r="I472" s="68"/>
      <c r="J472" s="68"/>
      <c r="K472" s="68"/>
      <c r="L472" s="61"/>
      <c r="M472" s="61"/>
      <c r="N472" s="61"/>
      <c r="O472" s="61"/>
      <c r="P472" s="61"/>
      <c r="Q472" s="61"/>
      <c r="R472" s="61"/>
      <c r="S472" s="61"/>
    </row>
    <row r="473" spans="1:19" ht="15">
      <c r="A473" s="68"/>
      <c r="B473" s="61"/>
      <c r="C473" s="61"/>
      <c r="D473" s="61"/>
      <c r="E473" s="61"/>
      <c r="F473" s="61"/>
      <c r="G473" s="61"/>
      <c r="H473" s="91"/>
      <c r="I473" s="68"/>
      <c r="J473" s="68"/>
      <c r="K473" s="68"/>
      <c r="L473" s="61"/>
      <c r="M473" s="61"/>
      <c r="N473" s="61"/>
      <c r="O473" s="61"/>
      <c r="P473" s="61"/>
      <c r="Q473" s="61"/>
      <c r="R473" s="61"/>
      <c r="S473" s="61"/>
    </row>
    <row r="474" spans="1:19" ht="15">
      <c r="A474" s="68"/>
      <c r="B474" s="61"/>
      <c r="C474" s="61"/>
      <c r="D474" s="61"/>
      <c r="E474" s="61"/>
      <c r="F474" s="61"/>
      <c r="G474" s="61"/>
      <c r="H474" s="91"/>
      <c r="I474" s="68"/>
      <c r="J474" s="68"/>
      <c r="K474" s="68"/>
      <c r="L474" s="61"/>
      <c r="M474" s="61"/>
      <c r="N474" s="61"/>
      <c r="O474" s="61"/>
      <c r="P474" s="61"/>
      <c r="Q474" s="61"/>
      <c r="R474" s="61"/>
      <c r="S474" s="61"/>
    </row>
    <row r="475" spans="1:19" ht="15">
      <c r="A475" s="68"/>
      <c r="B475" s="61"/>
      <c r="C475" s="61"/>
      <c r="D475" s="61"/>
      <c r="E475" s="61"/>
      <c r="F475" s="61"/>
      <c r="G475" s="61"/>
      <c r="H475" s="91"/>
      <c r="I475" s="68"/>
      <c r="J475" s="68"/>
      <c r="K475" s="68"/>
      <c r="L475" s="61"/>
      <c r="M475" s="61"/>
      <c r="N475" s="61"/>
      <c r="O475" s="61"/>
      <c r="P475" s="61"/>
      <c r="Q475" s="61"/>
      <c r="R475" s="61"/>
      <c r="S475" s="61"/>
    </row>
    <row r="476" spans="1:19" ht="15">
      <c r="A476" s="68"/>
      <c r="B476" s="61"/>
      <c r="C476" s="61"/>
      <c r="D476" s="61"/>
      <c r="E476" s="61"/>
      <c r="F476" s="61"/>
      <c r="G476" s="61"/>
      <c r="H476" s="91"/>
      <c r="I476" s="68"/>
      <c r="J476" s="68"/>
      <c r="K476" s="68"/>
      <c r="L476" s="61"/>
      <c r="M476" s="61"/>
      <c r="N476" s="61"/>
      <c r="O476" s="61"/>
      <c r="P476" s="61"/>
      <c r="Q476" s="61"/>
      <c r="R476" s="61"/>
      <c r="S476" s="61"/>
    </row>
    <row r="477" spans="1:19" ht="15">
      <c r="A477" s="68"/>
      <c r="B477" s="61"/>
      <c r="C477" s="61"/>
      <c r="D477" s="61"/>
      <c r="E477" s="61"/>
      <c r="F477" s="61"/>
      <c r="G477" s="61"/>
      <c r="H477" s="91"/>
      <c r="I477" s="68"/>
      <c r="J477" s="68"/>
      <c r="K477" s="68"/>
      <c r="L477" s="61"/>
      <c r="M477" s="61"/>
      <c r="N477" s="61"/>
      <c r="O477" s="61"/>
      <c r="P477" s="61"/>
      <c r="Q477" s="61"/>
      <c r="R477" s="61"/>
      <c r="S477" s="61"/>
    </row>
    <row r="478" spans="1:19" ht="15">
      <c r="A478" s="68"/>
      <c r="B478" s="61"/>
      <c r="C478" s="61"/>
      <c r="D478" s="61"/>
      <c r="E478" s="61"/>
      <c r="F478" s="61"/>
      <c r="G478" s="61"/>
      <c r="H478" s="91"/>
      <c r="I478" s="68"/>
      <c r="J478" s="68"/>
      <c r="K478" s="68"/>
      <c r="L478" s="61"/>
      <c r="M478" s="61"/>
      <c r="N478" s="61"/>
      <c r="O478" s="61"/>
      <c r="P478" s="61"/>
      <c r="Q478" s="61"/>
      <c r="R478" s="61"/>
      <c r="S478" s="61"/>
    </row>
    <row r="479" spans="1:19" ht="15">
      <c r="A479" s="68"/>
      <c r="B479" s="61"/>
      <c r="C479" s="61"/>
      <c r="D479" s="61"/>
      <c r="E479" s="61"/>
      <c r="F479" s="61"/>
      <c r="G479" s="61"/>
      <c r="H479" s="91"/>
      <c r="I479" s="68"/>
      <c r="J479" s="68"/>
      <c r="K479" s="68"/>
      <c r="L479" s="61"/>
      <c r="M479" s="61"/>
      <c r="N479" s="61"/>
      <c r="O479" s="61"/>
      <c r="P479" s="61"/>
      <c r="Q479" s="61"/>
      <c r="R479" s="61"/>
      <c r="S479" s="61"/>
    </row>
    <row r="480" spans="1:19" ht="15">
      <c r="A480" s="68"/>
      <c r="B480" s="61"/>
      <c r="C480" s="61"/>
      <c r="D480" s="61"/>
      <c r="E480" s="61"/>
      <c r="F480" s="61"/>
      <c r="G480" s="61"/>
      <c r="H480" s="91"/>
      <c r="I480" s="68"/>
      <c r="J480" s="68"/>
      <c r="K480" s="68"/>
      <c r="L480" s="61"/>
      <c r="M480" s="61"/>
      <c r="N480" s="61"/>
      <c r="O480" s="61"/>
      <c r="P480" s="61"/>
      <c r="Q480" s="61"/>
      <c r="R480" s="61"/>
      <c r="S480" s="61"/>
    </row>
    <row r="481" spans="1:19" ht="15">
      <c r="A481" s="68"/>
      <c r="B481" s="61"/>
      <c r="C481" s="61"/>
      <c r="D481" s="61"/>
      <c r="E481" s="61"/>
      <c r="F481" s="61"/>
      <c r="G481" s="61"/>
      <c r="H481" s="91"/>
      <c r="I481" s="68"/>
      <c r="J481" s="68"/>
      <c r="K481" s="68"/>
      <c r="L481" s="61"/>
      <c r="M481" s="61"/>
      <c r="N481" s="61"/>
      <c r="O481" s="61"/>
      <c r="P481" s="61"/>
      <c r="Q481" s="61"/>
      <c r="R481" s="61"/>
      <c r="S481" s="61"/>
    </row>
    <row r="482" spans="1:19" ht="15">
      <c r="A482" s="68"/>
      <c r="B482" s="61"/>
      <c r="C482" s="61"/>
      <c r="D482" s="61"/>
      <c r="E482" s="61"/>
      <c r="F482" s="61"/>
      <c r="G482" s="61"/>
      <c r="H482" s="91"/>
      <c r="I482" s="68"/>
      <c r="J482" s="68"/>
      <c r="K482" s="68"/>
      <c r="L482" s="61"/>
      <c r="M482" s="61"/>
      <c r="N482" s="61"/>
      <c r="O482" s="61"/>
      <c r="P482" s="61"/>
      <c r="Q482" s="61"/>
      <c r="R482" s="61"/>
      <c r="S482" s="61"/>
    </row>
    <row r="483" spans="1:19" ht="15">
      <c r="A483" s="68"/>
      <c r="B483" s="61"/>
      <c r="C483" s="61"/>
      <c r="D483" s="61"/>
      <c r="E483" s="61"/>
      <c r="F483" s="61"/>
      <c r="G483" s="61"/>
      <c r="H483" s="91"/>
      <c r="I483" s="68"/>
      <c r="J483" s="68"/>
      <c r="K483" s="68"/>
      <c r="L483" s="61"/>
      <c r="M483" s="61"/>
      <c r="N483" s="61"/>
      <c r="O483" s="61"/>
      <c r="P483" s="61"/>
      <c r="Q483" s="61"/>
      <c r="R483" s="61"/>
      <c r="S483" s="61"/>
    </row>
    <row r="484" spans="1:19" ht="15">
      <c r="A484" s="68"/>
      <c r="B484" s="61"/>
      <c r="C484" s="61"/>
      <c r="D484" s="61"/>
      <c r="E484" s="61"/>
      <c r="F484" s="61"/>
      <c r="G484" s="61"/>
      <c r="H484" s="91"/>
      <c r="I484" s="68"/>
      <c r="J484" s="68"/>
      <c r="K484" s="68"/>
      <c r="L484" s="61"/>
      <c r="M484" s="61"/>
      <c r="N484" s="61"/>
      <c r="O484" s="61"/>
      <c r="P484" s="61"/>
      <c r="Q484" s="61"/>
      <c r="R484" s="61"/>
      <c r="S484" s="61"/>
    </row>
    <row r="485" spans="1:19" ht="15">
      <c r="A485" s="68"/>
      <c r="B485" s="61"/>
      <c r="C485" s="61"/>
      <c r="D485" s="61"/>
      <c r="E485" s="61"/>
      <c r="F485" s="61"/>
      <c r="G485" s="61"/>
      <c r="H485" s="91"/>
      <c r="I485" s="68"/>
      <c r="J485" s="68"/>
      <c r="K485" s="68"/>
      <c r="L485" s="61"/>
      <c r="M485" s="61"/>
      <c r="N485" s="61"/>
      <c r="O485" s="61"/>
      <c r="P485" s="61"/>
      <c r="Q485" s="61"/>
      <c r="R485" s="61"/>
      <c r="S485" s="61"/>
    </row>
    <row r="486" spans="1:19" ht="15">
      <c r="A486" s="68"/>
      <c r="B486" s="61"/>
      <c r="C486" s="61"/>
      <c r="D486" s="61"/>
      <c r="E486" s="61"/>
      <c r="F486" s="61"/>
      <c r="G486" s="61"/>
      <c r="H486" s="91"/>
      <c r="I486" s="68"/>
      <c r="J486" s="68"/>
      <c r="K486" s="68"/>
      <c r="L486" s="61"/>
      <c r="M486" s="61"/>
      <c r="N486" s="61"/>
      <c r="O486" s="61"/>
      <c r="P486" s="61"/>
      <c r="Q486" s="61"/>
      <c r="R486" s="61"/>
      <c r="S486" s="61"/>
    </row>
    <row r="487" spans="1:19" ht="15">
      <c r="A487" s="68"/>
      <c r="B487" s="61"/>
      <c r="C487" s="61"/>
      <c r="D487" s="61"/>
      <c r="E487" s="61"/>
      <c r="F487" s="61"/>
      <c r="G487" s="61"/>
      <c r="H487" s="91"/>
      <c r="I487" s="68"/>
      <c r="J487" s="68"/>
      <c r="K487" s="68"/>
      <c r="L487" s="61"/>
      <c r="M487" s="61"/>
      <c r="N487" s="61"/>
      <c r="O487" s="61"/>
      <c r="P487" s="61"/>
      <c r="Q487" s="61"/>
      <c r="R487" s="61"/>
      <c r="S487" s="61"/>
    </row>
    <row r="488" spans="1:19" ht="15">
      <c r="A488" s="68"/>
      <c r="B488" s="61"/>
      <c r="C488" s="61"/>
      <c r="D488" s="61"/>
      <c r="E488" s="61"/>
      <c r="F488" s="61"/>
      <c r="G488" s="61"/>
      <c r="H488" s="91"/>
      <c r="I488" s="68"/>
      <c r="J488" s="68"/>
      <c r="K488" s="68"/>
      <c r="L488" s="61"/>
      <c r="M488" s="61"/>
      <c r="N488" s="61"/>
      <c r="O488" s="61"/>
      <c r="P488" s="61"/>
      <c r="Q488" s="61"/>
      <c r="R488" s="61"/>
      <c r="S488" s="61"/>
    </row>
    <row r="489" spans="1:19" ht="15">
      <c r="A489" s="68"/>
      <c r="B489" s="61"/>
      <c r="C489" s="61"/>
      <c r="D489" s="61"/>
      <c r="E489" s="61"/>
      <c r="F489" s="61"/>
      <c r="G489" s="61"/>
      <c r="H489" s="91"/>
      <c r="I489" s="68"/>
      <c r="J489" s="68"/>
      <c r="K489" s="68"/>
      <c r="L489" s="61"/>
      <c r="M489" s="61"/>
      <c r="N489" s="61"/>
      <c r="O489" s="61"/>
      <c r="P489" s="61"/>
      <c r="Q489" s="61"/>
      <c r="R489" s="61"/>
      <c r="S489" s="61"/>
    </row>
    <row r="490" spans="1:19" ht="15">
      <c r="A490" s="68"/>
      <c r="B490" s="61"/>
      <c r="C490" s="61"/>
      <c r="D490" s="61"/>
      <c r="E490" s="61"/>
      <c r="F490" s="61"/>
      <c r="G490" s="61"/>
      <c r="H490" s="91"/>
      <c r="I490" s="68"/>
      <c r="J490" s="68"/>
      <c r="K490" s="68"/>
      <c r="L490" s="61"/>
      <c r="M490" s="61"/>
      <c r="N490" s="61"/>
      <c r="O490" s="61"/>
      <c r="P490" s="61"/>
      <c r="Q490" s="61"/>
      <c r="R490" s="61"/>
      <c r="S490" s="61"/>
    </row>
    <row r="491" spans="1:19" ht="15">
      <c r="A491" s="68"/>
      <c r="B491" s="61"/>
      <c r="C491" s="61"/>
      <c r="D491" s="61"/>
      <c r="E491" s="61"/>
      <c r="F491" s="61"/>
      <c r="G491" s="61"/>
      <c r="H491" s="91"/>
      <c r="I491" s="68"/>
      <c r="J491" s="68"/>
      <c r="K491" s="68"/>
      <c r="L491" s="61"/>
      <c r="M491" s="61"/>
      <c r="N491" s="61"/>
      <c r="O491" s="61"/>
      <c r="P491" s="61"/>
      <c r="Q491" s="61"/>
      <c r="R491" s="61"/>
      <c r="S491" s="61"/>
    </row>
    <row r="492" spans="1:19" ht="15">
      <c r="A492" s="68"/>
      <c r="B492" s="61"/>
      <c r="C492" s="61"/>
      <c r="D492" s="61"/>
      <c r="E492" s="61"/>
      <c r="F492" s="61"/>
      <c r="G492" s="61"/>
      <c r="H492" s="91"/>
      <c r="I492" s="68"/>
      <c r="J492" s="68"/>
      <c r="K492" s="68"/>
      <c r="L492" s="61"/>
      <c r="M492" s="61"/>
      <c r="N492" s="61"/>
      <c r="O492" s="61"/>
      <c r="P492" s="61"/>
      <c r="Q492" s="61"/>
      <c r="R492" s="61"/>
      <c r="S492" s="61"/>
    </row>
    <row r="493" spans="1:19" ht="15">
      <c r="A493" s="68"/>
      <c r="B493" s="61"/>
      <c r="C493" s="61"/>
      <c r="D493" s="61"/>
      <c r="E493" s="61"/>
      <c r="F493" s="61"/>
      <c r="G493" s="61"/>
      <c r="H493" s="91"/>
      <c r="I493" s="68"/>
      <c r="J493" s="68"/>
      <c r="K493" s="68"/>
      <c r="L493" s="61"/>
      <c r="M493" s="61"/>
      <c r="N493" s="61"/>
      <c r="O493" s="61"/>
      <c r="P493" s="61"/>
      <c r="Q493" s="61"/>
      <c r="R493" s="61"/>
      <c r="S493" s="61"/>
    </row>
    <row r="494" spans="1:19" ht="15">
      <c r="A494" s="68"/>
      <c r="B494" s="61"/>
      <c r="C494" s="61"/>
      <c r="D494" s="61"/>
      <c r="E494" s="61"/>
      <c r="F494" s="61"/>
      <c r="G494" s="61"/>
      <c r="H494" s="91"/>
      <c r="I494" s="68"/>
      <c r="J494" s="68"/>
      <c r="K494" s="68"/>
      <c r="L494" s="61"/>
      <c r="M494" s="61"/>
      <c r="N494" s="61"/>
      <c r="O494" s="61"/>
      <c r="P494" s="61"/>
      <c r="Q494" s="61"/>
      <c r="R494" s="61"/>
      <c r="S494" s="61"/>
    </row>
    <row r="495" spans="1:19" ht="15">
      <c r="A495" s="68"/>
      <c r="B495" s="61"/>
      <c r="C495" s="61"/>
      <c r="D495" s="61"/>
      <c r="E495" s="61"/>
      <c r="F495" s="61"/>
      <c r="G495" s="61"/>
      <c r="H495" s="91"/>
      <c r="I495" s="68"/>
      <c r="J495" s="68"/>
      <c r="K495" s="68"/>
      <c r="L495" s="61"/>
      <c r="M495" s="61"/>
      <c r="N495" s="61"/>
      <c r="O495" s="61"/>
      <c r="P495" s="61"/>
      <c r="Q495" s="61"/>
      <c r="R495" s="61"/>
      <c r="S495" s="61"/>
    </row>
    <row r="496" spans="1:19" ht="15">
      <c r="A496" s="68"/>
      <c r="B496" s="61"/>
      <c r="C496" s="61"/>
      <c r="D496" s="61"/>
      <c r="E496" s="61"/>
      <c r="F496" s="61"/>
      <c r="G496" s="61"/>
      <c r="H496" s="91"/>
      <c r="I496" s="68"/>
      <c r="J496" s="68"/>
      <c r="K496" s="68"/>
      <c r="L496" s="61"/>
      <c r="M496" s="61"/>
      <c r="N496" s="61"/>
      <c r="O496" s="61"/>
      <c r="P496" s="61"/>
      <c r="Q496" s="61"/>
      <c r="R496" s="61"/>
      <c r="S496" s="61"/>
    </row>
    <row r="497" spans="1:19" ht="15">
      <c r="A497" s="68"/>
      <c r="B497" s="61"/>
      <c r="C497" s="61"/>
      <c r="D497" s="61"/>
      <c r="E497" s="61"/>
      <c r="F497" s="61"/>
      <c r="G497" s="61"/>
      <c r="H497" s="91"/>
      <c r="I497" s="68"/>
      <c r="J497" s="68"/>
      <c r="K497" s="68"/>
      <c r="L497" s="61"/>
      <c r="M497" s="61"/>
      <c r="N497" s="61"/>
      <c r="O497" s="61"/>
      <c r="P497" s="61"/>
      <c r="Q497" s="61"/>
      <c r="R497" s="61"/>
      <c r="S497" s="61"/>
    </row>
    <row r="498" spans="1:19" ht="15">
      <c r="A498" s="68"/>
      <c r="B498" s="61"/>
      <c r="C498" s="61"/>
      <c r="D498" s="61"/>
      <c r="E498" s="61"/>
      <c r="F498" s="61"/>
      <c r="G498" s="61"/>
      <c r="H498" s="91"/>
      <c r="I498" s="68"/>
      <c r="J498" s="68"/>
      <c r="K498" s="68"/>
      <c r="L498" s="61"/>
      <c r="M498" s="61"/>
      <c r="N498" s="61"/>
      <c r="O498" s="61"/>
      <c r="P498" s="61"/>
      <c r="Q498" s="61"/>
      <c r="R498" s="61"/>
      <c r="S498" s="61"/>
    </row>
    <row r="499" spans="1:19" ht="15">
      <c r="A499" s="68"/>
      <c r="B499" s="61"/>
      <c r="C499" s="61"/>
      <c r="D499" s="61"/>
      <c r="E499" s="61"/>
      <c r="F499" s="61"/>
      <c r="G499" s="61"/>
      <c r="H499" s="91"/>
      <c r="I499" s="68"/>
      <c r="J499" s="68"/>
      <c r="K499" s="68"/>
      <c r="L499" s="61"/>
      <c r="M499" s="61"/>
      <c r="N499" s="61"/>
      <c r="O499" s="61"/>
      <c r="P499" s="61"/>
      <c r="Q499" s="61"/>
      <c r="R499" s="61"/>
      <c r="S499" s="61"/>
    </row>
    <row r="500" spans="1:19" ht="15">
      <c r="A500" s="68"/>
      <c r="B500" s="61"/>
      <c r="C500" s="61"/>
      <c r="D500" s="61"/>
      <c r="E500" s="61"/>
      <c r="F500" s="61"/>
      <c r="G500" s="61"/>
      <c r="H500" s="91"/>
      <c r="I500" s="68"/>
      <c r="J500" s="68"/>
      <c r="K500" s="68"/>
      <c r="L500" s="61"/>
      <c r="M500" s="61"/>
      <c r="N500" s="61"/>
      <c r="O500" s="61"/>
      <c r="P500" s="61"/>
      <c r="Q500" s="61"/>
      <c r="R500" s="61"/>
      <c r="S500" s="61"/>
    </row>
    <row r="501" spans="1:19" ht="15">
      <c r="A501" s="68"/>
      <c r="B501" s="61"/>
      <c r="C501" s="61"/>
      <c r="D501" s="61"/>
      <c r="E501" s="61"/>
      <c r="F501" s="61"/>
      <c r="G501" s="61"/>
      <c r="H501" s="91"/>
      <c r="I501" s="68"/>
      <c r="J501" s="68"/>
      <c r="K501" s="68"/>
      <c r="L501" s="61"/>
      <c r="M501" s="61"/>
      <c r="N501" s="61"/>
      <c r="O501" s="61"/>
      <c r="P501" s="61"/>
      <c r="Q501" s="61"/>
      <c r="R501" s="61"/>
      <c r="S501" s="61"/>
    </row>
    <row r="502" spans="1:19" ht="15">
      <c r="A502" s="68"/>
      <c r="B502" s="61"/>
      <c r="C502" s="61"/>
      <c r="D502" s="61"/>
      <c r="E502" s="61"/>
      <c r="F502" s="61"/>
      <c r="G502" s="61"/>
      <c r="H502" s="91"/>
      <c r="I502" s="68"/>
      <c r="J502" s="68"/>
      <c r="K502" s="68"/>
      <c r="L502" s="61"/>
      <c r="M502" s="61"/>
      <c r="N502" s="61"/>
      <c r="O502" s="61"/>
      <c r="P502" s="61"/>
      <c r="Q502" s="61"/>
      <c r="R502" s="61"/>
      <c r="S502" s="61"/>
    </row>
    <row r="503" spans="1:19" ht="15">
      <c r="A503" s="68"/>
      <c r="B503" s="61"/>
      <c r="C503" s="61"/>
      <c r="D503" s="61"/>
      <c r="E503" s="61"/>
      <c r="F503" s="61"/>
      <c r="G503" s="61"/>
      <c r="H503" s="91"/>
      <c r="I503" s="68"/>
      <c r="J503" s="68"/>
      <c r="K503" s="68"/>
      <c r="L503" s="61"/>
      <c r="M503" s="61"/>
      <c r="N503" s="61"/>
      <c r="O503" s="61"/>
      <c r="P503" s="61"/>
      <c r="Q503" s="61"/>
      <c r="R503" s="61"/>
      <c r="S503" s="61"/>
    </row>
    <row r="504" spans="1:19" ht="15">
      <c r="A504" s="68"/>
      <c r="B504" s="61"/>
      <c r="C504" s="61"/>
      <c r="D504" s="61"/>
      <c r="E504" s="61"/>
      <c r="F504" s="61"/>
      <c r="G504" s="61"/>
      <c r="H504" s="91"/>
      <c r="I504" s="68"/>
      <c r="J504" s="68"/>
      <c r="K504" s="68"/>
      <c r="L504" s="61"/>
      <c r="M504" s="61"/>
      <c r="N504" s="61"/>
      <c r="O504" s="61"/>
      <c r="P504" s="61"/>
      <c r="Q504" s="61"/>
      <c r="R504" s="61"/>
      <c r="S504" s="61"/>
    </row>
    <row r="505" spans="1:19" ht="15">
      <c r="A505" s="68"/>
      <c r="B505" s="61"/>
      <c r="C505" s="61"/>
      <c r="D505" s="61"/>
      <c r="E505" s="61"/>
      <c r="F505" s="61"/>
      <c r="G505" s="61"/>
      <c r="H505" s="91"/>
      <c r="I505" s="68"/>
      <c r="J505" s="68"/>
      <c r="K505" s="68"/>
      <c r="L505" s="61"/>
      <c r="M505" s="61"/>
      <c r="N505" s="61"/>
      <c r="O505" s="61"/>
      <c r="P505" s="61"/>
      <c r="Q505" s="61"/>
      <c r="R505" s="61"/>
      <c r="S505" s="61"/>
    </row>
    <row r="506" spans="1:19" ht="15">
      <c r="A506" s="68"/>
      <c r="B506" s="61"/>
      <c r="C506" s="61"/>
      <c r="D506" s="61"/>
      <c r="E506" s="61"/>
      <c r="F506" s="61"/>
      <c r="G506" s="61"/>
      <c r="H506" s="91"/>
      <c r="I506" s="68"/>
      <c r="J506" s="68"/>
      <c r="K506" s="68"/>
      <c r="L506" s="61"/>
      <c r="M506" s="61"/>
      <c r="N506" s="61"/>
      <c r="O506" s="61"/>
      <c r="P506" s="61"/>
      <c r="Q506" s="61"/>
      <c r="R506" s="61"/>
      <c r="S506" s="61"/>
    </row>
    <row r="507" spans="1:19" ht="15">
      <c r="A507" s="68"/>
      <c r="B507" s="61"/>
      <c r="C507" s="61"/>
      <c r="D507" s="61"/>
      <c r="E507" s="61"/>
      <c r="F507" s="61"/>
      <c r="G507" s="61"/>
      <c r="H507" s="91"/>
      <c r="I507" s="68"/>
      <c r="J507" s="68"/>
      <c r="K507" s="68"/>
      <c r="L507" s="61"/>
      <c r="M507" s="61"/>
      <c r="N507" s="61"/>
      <c r="O507" s="61"/>
      <c r="P507" s="61"/>
      <c r="Q507" s="61"/>
      <c r="R507" s="61"/>
      <c r="S507" s="61"/>
    </row>
    <row r="508" spans="1:19" ht="15">
      <c r="A508" s="68"/>
      <c r="B508" s="61"/>
      <c r="C508" s="61"/>
      <c r="D508" s="61"/>
      <c r="E508" s="61"/>
      <c r="F508" s="61"/>
      <c r="G508" s="61"/>
      <c r="H508" s="91"/>
      <c r="I508" s="68"/>
      <c r="J508" s="68"/>
      <c r="K508" s="68"/>
      <c r="L508" s="61"/>
      <c r="M508" s="61"/>
      <c r="N508" s="61"/>
      <c r="O508" s="61"/>
      <c r="P508" s="61"/>
      <c r="Q508" s="61"/>
      <c r="R508" s="61"/>
      <c r="S508" s="61"/>
    </row>
    <row r="509" spans="1:19" ht="15">
      <c r="A509" s="68"/>
      <c r="B509" s="61"/>
      <c r="C509" s="61"/>
      <c r="D509" s="61"/>
      <c r="E509" s="61"/>
      <c r="F509" s="61"/>
      <c r="G509" s="61"/>
      <c r="H509" s="91"/>
      <c r="I509" s="68"/>
      <c r="J509" s="68"/>
      <c r="K509" s="68"/>
      <c r="L509" s="61"/>
      <c r="M509" s="61"/>
      <c r="N509" s="61"/>
      <c r="O509" s="61"/>
      <c r="P509" s="61"/>
      <c r="Q509" s="61"/>
      <c r="R509" s="61"/>
      <c r="S509" s="61"/>
    </row>
    <row r="510" spans="1:19" ht="15">
      <c r="A510" s="68"/>
      <c r="B510" s="61"/>
      <c r="C510" s="61"/>
      <c r="D510" s="61"/>
      <c r="E510" s="61"/>
      <c r="F510" s="61"/>
      <c r="G510" s="61"/>
      <c r="H510" s="91"/>
      <c r="I510" s="68"/>
      <c r="J510" s="68"/>
      <c r="K510" s="68"/>
      <c r="L510" s="61"/>
      <c r="M510" s="61"/>
      <c r="N510" s="61"/>
      <c r="O510" s="61"/>
      <c r="P510" s="61"/>
      <c r="Q510" s="61"/>
      <c r="R510" s="61"/>
      <c r="S510" s="61"/>
    </row>
    <row r="511" spans="1:19" ht="15">
      <c r="A511" s="68"/>
      <c r="B511" s="61"/>
      <c r="C511" s="61"/>
      <c r="D511" s="61"/>
      <c r="E511" s="61"/>
      <c r="F511" s="61"/>
      <c r="G511" s="61"/>
      <c r="H511" s="91"/>
      <c r="I511" s="68"/>
      <c r="J511" s="68"/>
      <c r="K511" s="68"/>
      <c r="L511" s="61"/>
      <c r="M511" s="61"/>
      <c r="N511" s="61"/>
      <c r="O511" s="61"/>
      <c r="P511" s="61"/>
      <c r="Q511" s="61"/>
      <c r="R511" s="61"/>
      <c r="S511" s="61"/>
    </row>
    <row r="512" spans="1:19" ht="15">
      <c r="A512" s="68"/>
      <c r="B512" s="61"/>
      <c r="C512" s="61"/>
      <c r="D512" s="61"/>
      <c r="E512" s="61"/>
      <c r="F512" s="61"/>
      <c r="G512" s="61"/>
      <c r="H512" s="91"/>
      <c r="I512" s="68"/>
      <c r="J512" s="68"/>
      <c r="K512" s="68"/>
      <c r="L512" s="61"/>
      <c r="M512" s="61"/>
      <c r="N512" s="61"/>
      <c r="O512" s="61"/>
      <c r="P512" s="61"/>
      <c r="Q512" s="61"/>
      <c r="R512" s="61"/>
      <c r="S512" s="61"/>
    </row>
    <row r="513" spans="1:19" ht="15">
      <c r="A513" s="68"/>
      <c r="B513" s="61"/>
      <c r="C513" s="61"/>
      <c r="D513" s="61"/>
      <c r="E513" s="61"/>
      <c r="F513" s="61"/>
      <c r="G513" s="61"/>
      <c r="H513" s="91"/>
      <c r="I513" s="68"/>
      <c r="J513" s="68"/>
      <c r="K513" s="68"/>
      <c r="L513" s="61"/>
      <c r="M513" s="61"/>
      <c r="N513" s="61"/>
      <c r="O513" s="61"/>
      <c r="P513" s="61"/>
      <c r="Q513" s="61"/>
      <c r="R513" s="61"/>
      <c r="S513" s="61"/>
    </row>
    <row r="514" spans="1:19" ht="15">
      <c r="A514" s="68"/>
      <c r="B514" s="61"/>
      <c r="C514" s="61"/>
      <c r="D514" s="61"/>
      <c r="E514" s="61"/>
      <c r="F514" s="61"/>
      <c r="G514" s="61"/>
      <c r="H514" s="91"/>
      <c r="I514" s="68"/>
      <c r="J514" s="68"/>
      <c r="K514" s="68"/>
      <c r="L514" s="61"/>
      <c r="M514" s="61"/>
      <c r="N514" s="61"/>
      <c r="O514" s="61"/>
      <c r="P514" s="61"/>
      <c r="Q514" s="61"/>
      <c r="R514" s="61"/>
      <c r="S514" s="61"/>
    </row>
    <row r="515" spans="1:19" ht="15">
      <c r="A515" s="68"/>
      <c r="B515" s="61"/>
      <c r="C515" s="61"/>
      <c r="D515" s="61"/>
      <c r="E515" s="61"/>
      <c r="F515" s="61"/>
      <c r="G515" s="61"/>
      <c r="H515" s="91"/>
      <c r="I515" s="68"/>
      <c r="J515" s="68"/>
      <c r="K515" s="68"/>
      <c r="L515" s="61"/>
      <c r="M515" s="61"/>
      <c r="N515" s="61"/>
      <c r="O515" s="61"/>
      <c r="P515" s="61"/>
      <c r="Q515" s="61"/>
      <c r="R515" s="61"/>
      <c r="S515" s="61"/>
    </row>
    <row r="516" spans="1:19" ht="15">
      <c r="A516" s="68"/>
      <c r="B516" s="61"/>
      <c r="C516" s="61"/>
      <c r="D516" s="61"/>
      <c r="E516" s="61"/>
      <c r="F516" s="61"/>
      <c r="G516" s="61"/>
      <c r="H516" s="91"/>
      <c r="I516" s="68"/>
      <c r="J516" s="68"/>
      <c r="K516" s="68"/>
      <c r="L516" s="61"/>
      <c r="M516" s="61"/>
      <c r="N516" s="61"/>
      <c r="O516" s="61"/>
      <c r="P516" s="61"/>
      <c r="Q516" s="61"/>
      <c r="R516" s="61"/>
      <c r="S516" s="61"/>
    </row>
    <row r="517" spans="1:19" ht="15">
      <c r="A517" s="68"/>
      <c r="B517" s="61"/>
      <c r="C517" s="61"/>
      <c r="D517" s="61"/>
      <c r="E517" s="61"/>
      <c r="F517" s="61"/>
      <c r="G517" s="61"/>
      <c r="H517" s="91"/>
      <c r="I517" s="68"/>
      <c r="J517" s="68"/>
      <c r="K517" s="68"/>
      <c r="L517" s="61"/>
      <c r="M517" s="61"/>
      <c r="N517" s="61"/>
      <c r="O517" s="61"/>
      <c r="P517" s="61"/>
      <c r="Q517" s="61"/>
      <c r="R517" s="61"/>
      <c r="S517" s="61"/>
    </row>
    <row r="518" spans="1:19" ht="15">
      <c r="A518" s="68"/>
      <c r="B518" s="61"/>
      <c r="C518" s="61"/>
      <c r="D518" s="61"/>
      <c r="E518" s="61"/>
      <c r="F518" s="61"/>
      <c r="G518" s="61"/>
      <c r="H518" s="91"/>
      <c r="I518" s="68"/>
      <c r="J518" s="68"/>
      <c r="K518" s="68"/>
      <c r="L518" s="61"/>
      <c r="M518" s="61"/>
      <c r="N518" s="61"/>
      <c r="O518" s="61"/>
      <c r="P518" s="61"/>
      <c r="Q518" s="61"/>
      <c r="R518" s="61"/>
      <c r="S518" s="61"/>
    </row>
    <row r="519" spans="1:19" ht="15">
      <c r="A519" s="68"/>
      <c r="B519" s="61"/>
      <c r="C519" s="61"/>
      <c r="D519" s="61"/>
      <c r="E519" s="61"/>
      <c r="F519" s="61"/>
      <c r="G519" s="61"/>
      <c r="H519" s="91"/>
      <c r="I519" s="68"/>
      <c r="J519" s="68"/>
      <c r="K519" s="68"/>
      <c r="L519" s="61"/>
      <c r="M519" s="61"/>
      <c r="N519" s="61"/>
      <c r="O519" s="61"/>
      <c r="P519" s="61"/>
      <c r="Q519" s="61"/>
      <c r="R519" s="61"/>
      <c r="S519" s="61"/>
    </row>
    <row r="520" spans="1:19" ht="15">
      <c r="A520" s="68"/>
      <c r="B520" s="61"/>
      <c r="C520" s="61"/>
      <c r="D520" s="61"/>
      <c r="E520" s="61"/>
      <c r="F520" s="61"/>
      <c r="G520" s="61"/>
      <c r="H520" s="91"/>
      <c r="I520" s="68"/>
      <c r="J520" s="68"/>
      <c r="K520" s="68"/>
      <c r="L520" s="61"/>
      <c r="M520" s="61"/>
      <c r="N520" s="61"/>
      <c r="O520" s="61"/>
      <c r="P520" s="61"/>
      <c r="Q520" s="61"/>
      <c r="R520" s="61"/>
      <c r="S520" s="61"/>
    </row>
    <row r="521" spans="1:19" ht="15">
      <c r="A521" s="68"/>
      <c r="B521" s="61"/>
      <c r="C521" s="61"/>
      <c r="D521" s="61"/>
      <c r="E521" s="61"/>
      <c r="F521" s="61"/>
      <c r="G521" s="61"/>
      <c r="H521" s="91"/>
      <c r="I521" s="68"/>
      <c r="J521" s="68"/>
      <c r="K521" s="68"/>
      <c r="L521" s="61"/>
      <c r="M521" s="61"/>
      <c r="N521" s="61"/>
      <c r="O521" s="61"/>
      <c r="P521" s="61"/>
      <c r="Q521" s="61"/>
      <c r="R521" s="61"/>
      <c r="S521" s="61"/>
    </row>
    <row r="522" spans="1:19" ht="15">
      <c r="A522" s="68"/>
      <c r="B522" s="61"/>
      <c r="C522" s="61"/>
      <c r="D522" s="61"/>
      <c r="E522" s="61"/>
      <c r="F522" s="61"/>
      <c r="G522" s="61"/>
      <c r="H522" s="91"/>
      <c r="I522" s="68"/>
      <c r="J522" s="68"/>
      <c r="K522" s="68"/>
      <c r="L522" s="61"/>
      <c r="M522" s="61"/>
      <c r="N522" s="61"/>
      <c r="O522" s="61"/>
      <c r="P522" s="61"/>
      <c r="Q522" s="61"/>
      <c r="R522" s="61"/>
      <c r="S522" s="61"/>
    </row>
    <row r="523" spans="1:19" ht="15">
      <c r="A523" s="68"/>
      <c r="B523" s="61"/>
      <c r="C523" s="61"/>
      <c r="D523" s="61"/>
      <c r="E523" s="61"/>
      <c r="F523" s="61"/>
      <c r="G523" s="61"/>
      <c r="H523" s="91"/>
      <c r="I523" s="68"/>
      <c r="J523" s="68"/>
      <c r="K523" s="68"/>
      <c r="L523" s="61"/>
      <c r="M523" s="61"/>
      <c r="N523" s="61"/>
      <c r="O523" s="61"/>
      <c r="P523" s="61"/>
      <c r="Q523" s="61"/>
      <c r="R523" s="61"/>
      <c r="S523" s="61"/>
    </row>
    <row r="524" spans="1:19" ht="15">
      <c r="A524" s="68"/>
      <c r="B524" s="61"/>
      <c r="C524" s="61"/>
      <c r="D524" s="61"/>
      <c r="E524" s="61"/>
      <c r="F524" s="61"/>
      <c r="G524" s="61"/>
      <c r="H524" s="91"/>
      <c r="I524" s="68"/>
      <c r="J524" s="68"/>
      <c r="K524" s="68"/>
      <c r="L524" s="61"/>
      <c r="M524" s="61"/>
      <c r="N524" s="61"/>
      <c r="O524" s="61"/>
      <c r="P524" s="61"/>
      <c r="Q524" s="61"/>
      <c r="R524" s="61"/>
      <c r="S524" s="61"/>
    </row>
    <row r="525" spans="1:19" ht="15">
      <c r="A525" s="68"/>
      <c r="B525" s="61"/>
      <c r="C525" s="61"/>
      <c r="D525" s="61"/>
      <c r="E525" s="61"/>
      <c r="F525" s="61"/>
      <c r="G525" s="61"/>
      <c r="H525" s="91"/>
      <c r="I525" s="68"/>
      <c r="J525" s="68"/>
      <c r="K525" s="68"/>
      <c r="L525" s="61"/>
      <c r="M525" s="61"/>
      <c r="N525" s="61"/>
      <c r="O525" s="61"/>
      <c r="P525" s="61"/>
      <c r="Q525" s="61"/>
      <c r="R525" s="61"/>
      <c r="S525" s="61"/>
    </row>
    <row r="526" spans="1:19" ht="15">
      <c r="A526" s="68"/>
      <c r="B526" s="61"/>
      <c r="C526" s="61"/>
      <c r="D526" s="61"/>
      <c r="E526" s="61"/>
      <c r="F526" s="61"/>
      <c r="G526" s="61"/>
      <c r="H526" s="91"/>
      <c r="I526" s="68"/>
      <c r="J526" s="68"/>
      <c r="K526" s="68"/>
      <c r="L526" s="61"/>
      <c r="M526" s="61"/>
      <c r="N526" s="61"/>
      <c r="O526" s="61"/>
      <c r="P526" s="61"/>
      <c r="Q526" s="61"/>
      <c r="R526" s="61"/>
      <c r="S526" s="61"/>
    </row>
    <row r="527" spans="1:19" ht="15">
      <c r="A527" s="68"/>
      <c r="B527" s="61"/>
      <c r="C527" s="61"/>
      <c r="D527" s="61"/>
      <c r="E527" s="61"/>
      <c r="F527" s="61"/>
      <c r="G527" s="61"/>
      <c r="H527" s="91"/>
      <c r="I527" s="68"/>
      <c r="J527" s="68"/>
      <c r="K527" s="68"/>
      <c r="L527" s="61"/>
      <c r="M527" s="61"/>
      <c r="N527" s="61"/>
      <c r="O527" s="61"/>
      <c r="P527" s="61"/>
      <c r="Q527" s="61"/>
      <c r="R527" s="61"/>
      <c r="S527" s="61"/>
    </row>
    <row r="528" spans="1:19" ht="15">
      <c r="A528" s="68"/>
      <c r="B528" s="61"/>
      <c r="C528" s="61"/>
      <c r="D528" s="61"/>
      <c r="E528" s="61"/>
      <c r="F528" s="61"/>
      <c r="G528" s="61"/>
      <c r="H528" s="91"/>
      <c r="I528" s="68"/>
      <c r="J528" s="68"/>
      <c r="K528" s="68"/>
      <c r="L528" s="61"/>
      <c r="M528" s="61"/>
      <c r="N528" s="61"/>
      <c r="O528" s="61"/>
      <c r="P528" s="61"/>
      <c r="Q528" s="61"/>
      <c r="R528" s="61"/>
      <c r="S528" s="61"/>
    </row>
    <row r="529" spans="1:19" ht="15">
      <c r="A529" s="68"/>
      <c r="B529" s="61"/>
      <c r="C529" s="61"/>
      <c r="D529" s="61"/>
      <c r="E529" s="61"/>
      <c r="F529" s="61"/>
      <c r="G529" s="61"/>
      <c r="H529" s="91"/>
      <c r="I529" s="68"/>
      <c r="J529" s="68"/>
      <c r="K529" s="68"/>
      <c r="L529" s="61"/>
      <c r="M529" s="61"/>
      <c r="N529" s="61"/>
      <c r="O529" s="61"/>
      <c r="P529" s="61"/>
      <c r="Q529" s="61"/>
      <c r="R529" s="61"/>
      <c r="S529" s="61"/>
    </row>
    <row r="530" spans="1:19" ht="15">
      <c r="A530" s="68"/>
      <c r="B530" s="61"/>
      <c r="C530" s="61"/>
      <c r="D530" s="61"/>
      <c r="E530" s="61"/>
      <c r="F530" s="61"/>
      <c r="G530" s="61"/>
      <c r="H530" s="91"/>
      <c r="I530" s="68"/>
      <c r="J530" s="68"/>
      <c r="K530" s="68"/>
      <c r="L530" s="61"/>
      <c r="M530" s="61"/>
      <c r="N530" s="61"/>
      <c r="O530" s="61"/>
      <c r="P530" s="61"/>
      <c r="Q530" s="61"/>
      <c r="R530" s="61"/>
      <c r="S530" s="61"/>
    </row>
    <row r="531" spans="1:19" ht="15">
      <c r="A531" s="68"/>
      <c r="B531" s="61"/>
      <c r="C531" s="61"/>
      <c r="D531" s="61"/>
      <c r="E531" s="61"/>
      <c r="F531" s="61"/>
      <c r="G531" s="61"/>
      <c r="H531" s="91"/>
      <c r="I531" s="68"/>
      <c r="J531" s="68"/>
      <c r="K531" s="68"/>
      <c r="L531" s="61"/>
      <c r="M531" s="61"/>
      <c r="N531" s="61"/>
      <c r="O531" s="61"/>
      <c r="P531" s="61"/>
      <c r="Q531" s="61"/>
      <c r="R531" s="61"/>
      <c r="S531" s="61"/>
    </row>
    <row r="532" spans="1:19" ht="15">
      <c r="A532" s="68"/>
      <c r="B532" s="61"/>
      <c r="C532" s="61"/>
      <c r="D532" s="61"/>
      <c r="E532" s="61"/>
      <c r="F532" s="61"/>
      <c r="G532" s="61"/>
      <c r="H532" s="91"/>
      <c r="I532" s="68"/>
      <c r="J532" s="68"/>
      <c r="K532" s="68"/>
      <c r="L532" s="61"/>
      <c r="M532" s="61"/>
      <c r="N532" s="61"/>
      <c r="O532" s="61"/>
      <c r="P532" s="61"/>
      <c r="Q532" s="61"/>
      <c r="R532" s="61"/>
      <c r="S532" s="61"/>
    </row>
    <row r="533" spans="1:19" ht="15">
      <c r="A533" s="68"/>
      <c r="B533" s="61"/>
      <c r="C533" s="61"/>
      <c r="D533" s="61"/>
      <c r="E533" s="61"/>
      <c r="F533" s="61"/>
      <c r="G533" s="61"/>
      <c r="H533" s="91"/>
      <c r="I533" s="68"/>
      <c r="J533" s="68"/>
      <c r="K533" s="68"/>
      <c r="L533" s="61"/>
      <c r="M533" s="61"/>
      <c r="N533" s="61"/>
      <c r="O533" s="61"/>
      <c r="P533" s="61"/>
      <c r="Q533" s="61"/>
      <c r="R533" s="61"/>
      <c r="S533" s="61"/>
    </row>
    <row r="534" spans="1:19" ht="15">
      <c r="A534" s="68"/>
      <c r="B534" s="61"/>
      <c r="C534" s="61"/>
      <c r="D534" s="61"/>
      <c r="E534" s="61"/>
      <c r="F534" s="61"/>
      <c r="G534" s="61"/>
      <c r="H534" s="91"/>
      <c r="I534" s="68"/>
      <c r="J534" s="68"/>
      <c r="K534" s="68"/>
      <c r="L534" s="61"/>
      <c r="M534" s="61"/>
      <c r="N534" s="61"/>
      <c r="O534" s="61"/>
      <c r="P534" s="61"/>
      <c r="Q534" s="61"/>
      <c r="R534" s="61"/>
      <c r="S534" s="61"/>
    </row>
    <row r="535" spans="1:19" ht="15">
      <c r="A535" s="68"/>
      <c r="B535" s="61"/>
      <c r="C535" s="61"/>
      <c r="D535" s="61"/>
      <c r="E535" s="61"/>
      <c r="F535" s="61"/>
      <c r="G535" s="61"/>
      <c r="H535" s="91"/>
      <c r="I535" s="68"/>
      <c r="J535" s="68"/>
      <c r="K535" s="68"/>
      <c r="L535" s="61"/>
      <c r="M535" s="61"/>
      <c r="N535" s="61"/>
      <c r="O535" s="61"/>
      <c r="P535" s="61"/>
      <c r="Q535" s="61"/>
      <c r="R535" s="61"/>
      <c r="S535" s="61"/>
    </row>
    <row r="536" spans="1:19" ht="15">
      <c r="A536" s="68"/>
      <c r="B536" s="61"/>
      <c r="C536" s="61"/>
      <c r="D536" s="61"/>
      <c r="E536" s="61"/>
      <c r="F536" s="61"/>
      <c r="G536" s="61"/>
      <c r="H536" s="91"/>
      <c r="I536" s="68"/>
      <c r="J536" s="68"/>
      <c r="K536" s="68"/>
      <c r="L536" s="61"/>
      <c r="M536" s="61"/>
      <c r="N536" s="61"/>
      <c r="O536" s="61"/>
      <c r="P536" s="61"/>
      <c r="Q536" s="61"/>
      <c r="R536" s="61"/>
      <c r="S536" s="61"/>
    </row>
    <row r="537" spans="1:19" ht="15">
      <c r="A537" s="68"/>
      <c r="B537" s="61"/>
      <c r="C537" s="61"/>
      <c r="D537" s="61"/>
      <c r="E537" s="61"/>
      <c r="F537" s="61"/>
      <c r="G537" s="61"/>
      <c r="H537" s="91"/>
      <c r="I537" s="68"/>
      <c r="J537" s="68"/>
      <c r="K537" s="68"/>
      <c r="L537" s="61"/>
      <c r="M537" s="61"/>
      <c r="N537" s="61"/>
      <c r="O537" s="61"/>
      <c r="P537" s="61"/>
      <c r="Q537" s="61"/>
      <c r="R537" s="61"/>
      <c r="S537" s="61"/>
    </row>
    <row r="538" spans="1:19" ht="15">
      <c r="A538" s="68"/>
      <c r="B538" s="61"/>
      <c r="C538" s="61"/>
      <c r="D538" s="61"/>
      <c r="E538" s="61"/>
      <c r="F538" s="61"/>
      <c r="G538" s="61"/>
      <c r="H538" s="91"/>
      <c r="I538" s="68"/>
      <c r="J538" s="68"/>
      <c r="K538" s="68"/>
      <c r="L538" s="61"/>
      <c r="M538" s="61"/>
      <c r="N538" s="61"/>
      <c r="O538" s="61"/>
      <c r="P538" s="61"/>
      <c r="Q538" s="61"/>
      <c r="R538" s="61"/>
      <c r="S538" s="61"/>
    </row>
    <row r="539" spans="1:19" ht="15">
      <c r="A539" s="68"/>
      <c r="B539" s="61"/>
      <c r="C539" s="61"/>
      <c r="D539" s="61"/>
      <c r="E539" s="61"/>
      <c r="F539" s="61"/>
      <c r="G539" s="61"/>
      <c r="H539" s="91"/>
      <c r="I539" s="68"/>
      <c r="J539" s="68"/>
      <c r="K539" s="68"/>
      <c r="L539" s="61"/>
      <c r="M539" s="61"/>
      <c r="N539" s="61"/>
      <c r="O539" s="61"/>
      <c r="P539" s="61"/>
      <c r="Q539" s="61"/>
      <c r="R539" s="61"/>
      <c r="S539" s="61"/>
    </row>
    <row r="540" spans="1:19" ht="15">
      <c r="A540" s="68"/>
      <c r="B540" s="61"/>
      <c r="C540" s="61"/>
      <c r="D540" s="61"/>
      <c r="E540" s="61"/>
      <c r="F540" s="61"/>
      <c r="G540" s="61"/>
      <c r="H540" s="91"/>
      <c r="I540" s="68"/>
      <c r="J540" s="68"/>
      <c r="K540" s="68"/>
      <c r="L540" s="61"/>
      <c r="M540" s="61"/>
      <c r="N540" s="61"/>
      <c r="O540" s="61"/>
      <c r="P540" s="61"/>
      <c r="Q540" s="61"/>
      <c r="R540" s="61"/>
      <c r="S540" s="61"/>
    </row>
    <row r="541" spans="1:19" ht="15">
      <c r="A541" s="68"/>
      <c r="B541" s="61"/>
      <c r="C541" s="61"/>
      <c r="D541" s="61"/>
      <c r="E541" s="61"/>
      <c r="F541" s="61"/>
      <c r="G541" s="61"/>
      <c r="H541" s="91"/>
      <c r="I541" s="68"/>
      <c r="J541" s="68"/>
      <c r="K541" s="68"/>
      <c r="L541" s="61"/>
      <c r="M541" s="61"/>
      <c r="N541" s="61"/>
      <c r="O541" s="61"/>
      <c r="P541" s="61"/>
      <c r="Q541" s="61"/>
      <c r="R541" s="61"/>
      <c r="S541" s="61"/>
    </row>
    <row r="542" spans="1:19" ht="15">
      <c r="A542" s="68"/>
      <c r="B542" s="61"/>
      <c r="C542" s="61"/>
      <c r="D542" s="61"/>
      <c r="E542" s="61"/>
      <c r="F542" s="61"/>
      <c r="G542" s="61"/>
      <c r="H542" s="91"/>
      <c r="I542" s="68"/>
      <c r="J542" s="68"/>
      <c r="K542" s="68"/>
      <c r="L542" s="61"/>
      <c r="M542" s="61"/>
      <c r="N542" s="61"/>
      <c r="O542" s="61"/>
      <c r="P542" s="61"/>
      <c r="Q542" s="61"/>
      <c r="R542" s="61"/>
      <c r="S542" s="61"/>
    </row>
    <row r="543" spans="1:19" ht="15">
      <c r="A543" s="68"/>
      <c r="B543" s="61"/>
      <c r="C543" s="61"/>
      <c r="D543" s="61"/>
      <c r="E543" s="61"/>
      <c r="F543" s="61"/>
      <c r="G543" s="61"/>
      <c r="H543" s="91"/>
      <c r="I543" s="68"/>
      <c r="J543" s="68"/>
      <c r="K543" s="68"/>
      <c r="L543" s="61"/>
      <c r="M543" s="61"/>
      <c r="N543" s="61"/>
      <c r="O543" s="61"/>
      <c r="P543" s="61"/>
      <c r="Q543" s="61"/>
      <c r="R543" s="61"/>
      <c r="S543" s="61"/>
    </row>
    <row r="544" spans="1:19" ht="15">
      <c r="A544" s="68"/>
      <c r="B544" s="61"/>
      <c r="C544" s="61"/>
      <c r="D544" s="61"/>
      <c r="E544" s="61"/>
      <c r="F544" s="61"/>
      <c r="G544" s="61"/>
      <c r="H544" s="91"/>
      <c r="I544" s="68"/>
      <c r="J544" s="68"/>
      <c r="K544" s="68"/>
      <c r="L544" s="61"/>
      <c r="M544" s="61"/>
      <c r="N544" s="61"/>
      <c r="O544" s="61"/>
      <c r="P544" s="61"/>
      <c r="Q544" s="61"/>
      <c r="R544" s="61"/>
      <c r="S544" s="61"/>
    </row>
    <row r="545" spans="1:19" ht="15">
      <c r="A545" s="68"/>
      <c r="B545" s="61"/>
      <c r="C545" s="61"/>
      <c r="D545" s="61"/>
      <c r="E545" s="61"/>
      <c r="F545" s="61"/>
      <c r="G545" s="61"/>
      <c r="H545" s="91"/>
      <c r="I545" s="68"/>
      <c r="J545" s="68"/>
      <c r="K545" s="68"/>
      <c r="L545" s="61"/>
      <c r="M545" s="61"/>
      <c r="N545" s="61"/>
      <c r="O545" s="61"/>
      <c r="P545" s="61"/>
      <c r="Q545" s="61"/>
      <c r="R545" s="61"/>
      <c r="S545" s="61"/>
    </row>
    <row r="546" spans="1:19" ht="15">
      <c r="A546" s="68"/>
      <c r="B546" s="61"/>
      <c r="C546" s="61"/>
      <c r="D546" s="61"/>
      <c r="E546" s="61"/>
      <c r="F546" s="61"/>
      <c r="G546" s="61"/>
      <c r="H546" s="91"/>
      <c r="I546" s="68"/>
      <c r="J546" s="68"/>
      <c r="K546" s="68"/>
      <c r="L546" s="61"/>
      <c r="M546" s="61"/>
      <c r="N546" s="61"/>
      <c r="O546" s="61"/>
      <c r="P546" s="61"/>
      <c r="Q546" s="61"/>
      <c r="R546" s="61"/>
      <c r="S546" s="61"/>
    </row>
    <row r="547" spans="1:19" ht="15">
      <c r="A547" s="68"/>
      <c r="B547" s="61"/>
      <c r="C547" s="61"/>
      <c r="D547" s="61"/>
      <c r="E547" s="61"/>
      <c r="F547" s="61"/>
      <c r="G547" s="61"/>
      <c r="H547" s="91"/>
      <c r="I547" s="68"/>
      <c r="J547" s="68"/>
      <c r="K547" s="68"/>
      <c r="L547" s="61"/>
      <c r="M547" s="61"/>
      <c r="N547" s="61"/>
      <c r="O547" s="61"/>
      <c r="P547" s="61"/>
      <c r="Q547" s="61"/>
      <c r="R547" s="61"/>
      <c r="S547" s="61"/>
    </row>
    <row r="548" spans="1:19" ht="15">
      <c r="A548" s="68"/>
      <c r="B548" s="61"/>
      <c r="C548" s="61"/>
      <c r="D548" s="61"/>
      <c r="E548" s="61"/>
      <c r="F548" s="61"/>
      <c r="G548" s="61"/>
      <c r="H548" s="91"/>
      <c r="I548" s="68"/>
      <c r="J548" s="68"/>
      <c r="K548" s="68"/>
      <c r="L548" s="61"/>
      <c r="M548" s="61"/>
      <c r="N548" s="61"/>
      <c r="O548" s="61"/>
      <c r="P548" s="61"/>
      <c r="Q548" s="61"/>
      <c r="R548" s="61"/>
      <c r="S548" s="61"/>
    </row>
    <row r="549" spans="1:19" ht="15">
      <c r="A549" s="68"/>
      <c r="B549" s="61"/>
      <c r="C549" s="61"/>
      <c r="D549" s="61"/>
      <c r="E549" s="61"/>
      <c r="F549" s="61"/>
      <c r="G549" s="61"/>
      <c r="H549" s="91"/>
      <c r="I549" s="68"/>
      <c r="J549" s="68"/>
      <c r="K549" s="68"/>
      <c r="L549" s="61"/>
      <c r="M549" s="61"/>
      <c r="N549" s="61"/>
      <c r="O549" s="61"/>
      <c r="P549" s="61"/>
      <c r="Q549" s="61"/>
      <c r="R549" s="61"/>
      <c r="S549" s="61"/>
    </row>
    <row r="550" spans="1:19" ht="15">
      <c r="A550" s="68"/>
      <c r="B550" s="61"/>
      <c r="C550" s="61"/>
      <c r="D550" s="61"/>
      <c r="E550" s="61"/>
      <c r="F550" s="61"/>
      <c r="G550" s="61"/>
      <c r="H550" s="91"/>
      <c r="I550" s="68"/>
      <c r="J550" s="68"/>
      <c r="K550" s="68"/>
      <c r="L550" s="61"/>
      <c r="M550" s="61"/>
      <c r="N550" s="61"/>
      <c r="O550" s="61"/>
      <c r="P550" s="61"/>
      <c r="Q550" s="61"/>
      <c r="R550" s="61"/>
      <c r="S550" s="61"/>
    </row>
    <row r="551" spans="1:19" ht="15">
      <c r="A551" s="68"/>
      <c r="B551" s="61"/>
      <c r="C551" s="61"/>
      <c r="D551" s="61"/>
      <c r="E551" s="61"/>
      <c r="F551" s="61"/>
      <c r="G551" s="61"/>
      <c r="H551" s="91"/>
      <c r="I551" s="68"/>
      <c r="J551" s="68"/>
      <c r="K551" s="68"/>
      <c r="L551" s="61"/>
      <c r="M551" s="61"/>
      <c r="N551" s="61"/>
      <c r="O551" s="61"/>
      <c r="P551" s="61"/>
      <c r="Q551" s="61"/>
      <c r="R551" s="61"/>
      <c r="S551" s="61"/>
    </row>
    <row r="552" spans="1:19" ht="15">
      <c r="A552" s="68"/>
      <c r="B552" s="61"/>
      <c r="C552" s="61"/>
      <c r="D552" s="61"/>
      <c r="E552" s="61"/>
      <c r="F552" s="61"/>
      <c r="G552" s="61"/>
      <c r="H552" s="91"/>
      <c r="I552" s="68"/>
      <c r="J552" s="68"/>
      <c r="K552" s="68"/>
      <c r="L552" s="61"/>
      <c r="M552" s="61"/>
      <c r="N552" s="61"/>
      <c r="O552" s="61"/>
      <c r="P552" s="61"/>
      <c r="Q552" s="61"/>
      <c r="R552" s="61"/>
      <c r="S552" s="61"/>
    </row>
    <row r="553" spans="1:19" ht="15">
      <c r="A553" s="68"/>
      <c r="B553" s="61"/>
      <c r="C553" s="61"/>
      <c r="D553" s="61"/>
      <c r="E553" s="61"/>
      <c r="F553" s="61"/>
      <c r="G553" s="61"/>
      <c r="H553" s="91"/>
      <c r="I553" s="68"/>
      <c r="J553" s="68"/>
      <c r="K553" s="68"/>
      <c r="L553" s="61"/>
      <c r="M553" s="61"/>
      <c r="N553" s="61"/>
      <c r="O553" s="61"/>
      <c r="P553" s="61"/>
      <c r="Q553" s="61"/>
      <c r="R553" s="61"/>
      <c r="S553" s="61"/>
    </row>
    <row r="554" spans="1:19" ht="15">
      <c r="A554" s="68"/>
      <c r="B554" s="61"/>
      <c r="C554" s="61"/>
      <c r="D554" s="61"/>
      <c r="E554" s="61"/>
      <c r="F554" s="61"/>
      <c r="G554" s="61"/>
      <c r="H554" s="91"/>
      <c r="I554" s="68"/>
      <c r="J554" s="68"/>
      <c r="K554" s="68"/>
      <c r="L554" s="61"/>
      <c r="M554" s="61"/>
      <c r="N554" s="61"/>
      <c r="O554" s="61"/>
      <c r="P554" s="61"/>
      <c r="Q554" s="61"/>
      <c r="R554" s="61"/>
      <c r="S554" s="61"/>
    </row>
    <row r="555" spans="1:19" ht="15">
      <c r="A555" s="68"/>
      <c r="B555" s="61"/>
      <c r="C555" s="61"/>
      <c r="D555" s="61"/>
      <c r="E555" s="61"/>
      <c r="F555" s="61"/>
      <c r="G555" s="61"/>
      <c r="H555" s="91"/>
      <c r="I555" s="68"/>
      <c r="J555" s="68"/>
      <c r="K555" s="68"/>
      <c r="L555" s="61"/>
      <c r="M555" s="61"/>
      <c r="N555" s="61"/>
      <c r="O555" s="61"/>
      <c r="P555" s="61"/>
      <c r="Q555" s="61"/>
      <c r="R555" s="61"/>
      <c r="S555" s="61"/>
    </row>
    <row r="556" spans="1:19" ht="15">
      <c r="A556" s="68"/>
      <c r="B556" s="61"/>
      <c r="C556" s="61"/>
      <c r="D556" s="61"/>
      <c r="E556" s="61"/>
      <c r="F556" s="61"/>
      <c r="G556" s="61"/>
      <c r="H556" s="91"/>
      <c r="I556" s="68"/>
      <c r="J556" s="68"/>
      <c r="K556" s="68"/>
      <c r="L556" s="61"/>
      <c r="M556" s="61"/>
      <c r="N556" s="61"/>
      <c r="O556" s="61"/>
      <c r="P556" s="61"/>
      <c r="Q556" s="61"/>
      <c r="R556" s="61"/>
      <c r="S556" s="61"/>
    </row>
    <row r="557" spans="1:19" ht="15">
      <c r="A557" s="68"/>
      <c r="B557" s="61"/>
      <c r="C557" s="61"/>
      <c r="D557" s="61"/>
      <c r="E557" s="61"/>
      <c r="F557" s="61"/>
      <c r="G557" s="61"/>
      <c r="H557" s="91"/>
      <c r="I557" s="68"/>
      <c r="J557" s="68"/>
      <c r="K557" s="68"/>
      <c r="L557" s="61"/>
      <c r="M557" s="61"/>
      <c r="N557" s="61"/>
      <c r="O557" s="61"/>
      <c r="P557" s="61"/>
      <c r="Q557" s="61"/>
      <c r="R557" s="61"/>
      <c r="S557" s="61"/>
    </row>
    <row r="558" spans="1:19" ht="15">
      <c r="A558" s="68"/>
      <c r="B558" s="61"/>
      <c r="C558" s="61"/>
      <c r="D558" s="61"/>
      <c r="E558" s="61"/>
      <c r="F558" s="61"/>
      <c r="G558" s="61"/>
      <c r="H558" s="91"/>
      <c r="I558" s="68"/>
      <c r="J558" s="68"/>
      <c r="K558" s="68"/>
      <c r="L558" s="61"/>
      <c r="M558" s="61"/>
      <c r="N558" s="61"/>
      <c r="O558" s="61"/>
      <c r="P558" s="61"/>
      <c r="Q558" s="61"/>
      <c r="R558" s="61"/>
      <c r="S558" s="61"/>
    </row>
    <row r="559" spans="1:19" ht="15">
      <c r="A559" s="68"/>
      <c r="B559" s="61"/>
      <c r="C559" s="61"/>
      <c r="D559" s="61"/>
      <c r="E559" s="61"/>
      <c r="F559" s="61"/>
      <c r="G559" s="61"/>
      <c r="H559" s="91"/>
      <c r="I559" s="68"/>
      <c r="J559" s="68"/>
      <c r="K559" s="68"/>
      <c r="L559" s="61"/>
      <c r="M559" s="61"/>
      <c r="N559" s="61"/>
      <c r="O559" s="61"/>
      <c r="P559" s="61"/>
      <c r="Q559" s="61"/>
      <c r="R559" s="61"/>
      <c r="S559" s="61"/>
    </row>
    <row r="560" spans="1:19" ht="15">
      <c r="A560" s="68"/>
      <c r="B560" s="61"/>
      <c r="C560" s="61"/>
      <c r="D560" s="61"/>
      <c r="E560" s="61"/>
      <c r="F560" s="61"/>
      <c r="G560" s="61"/>
      <c r="H560" s="91"/>
      <c r="I560" s="68"/>
      <c r="J560" s="68"/>
      <c r="K560" s="68"/>
      <c r="L560" s="61"/>
      <c r="M560" s="61"/>
      <c r="N560" s="61"/>
      <c r="O560" s="61"/>
      <c r="P560" s="61"/>
      <c r="Q560" s="61"/>
      <c r="R560" s="61"/>
      <c r="S560" s="61"/>
    </row>
    <row r="561" spans="1:19" ht="15">
      <c r="A561" s="68"/>
      <c r="B561" s="61"/>
      <c r="C561" s="61"/>
      <c r="D561" s="61"/>
      <c r="E561" s="61"/>
      <c r="F561" s="61"/>
      <c r="G561" s="61"/>
      <c r="H561" s="91"/>
      <c r="I561" s="68"/>
      <c r="J561" s="68"/>
      <c r="K561" s="68"/>
      <c r="L561" s="61"/>
      <c r="M561" s="61"/>
      <c r="N561" s="61"/>
      <c r="O561" s="61"/>
      <c r="P561" s="61"/>
      <c r="Q561" s="61"/>
      <c r="R561" s="61"/>
      <c r="S561" s="61"/>
    </row>
    <row r="562" spans="1:19" ht="15">
      <c r="A562" s="68"/>
      <c r="B562" s="61"/>
      <c r="C562" s="61"/>
      <c r="D562" s="61"/>
      <c r="E562" s="61"/>
      <c r="F562" s="61"/>
      <c r="G562" s="61"/>
      <c r="H562" s="91"/>
      <c r="I562" s="68"/>
      <c r="J562" s="68"/>
      <c r="K562" s="68"/>
      <c r="L562" s="61"/>
      <c r="M562" s="61"/>
      <c r="N562" s="61"/>
      <c r="O562" s="61"/>
      <c r="P562" s="61"/>
      <c r="Q562" s="61"/>
      <c r="R562" s="61"/>
      <c r="S562" s="61"/>
    </row>
    <row r="563" spans="1:19" ht="15">
      <c r="A563" s="68"/>
      <c r="B563" s="61"/>
      <c r="C563" s="61"/>
      <c r="D563" s="61"/>
      <c r="E563" s="61"/>
      <c r="F563" s="61"/>
      <c r="G563" s="61"/>
      <c r="H563" s="91"/>
      <c r="I563" s="68"/>
      <c r="J563" s="68"/>
      <c r="K563" s="68"/>
      <c r="L563" s="61"/>
      <c r="M563" s="61"/>
      <c r="N563" s="61"/>
      <c r="O563" s="61"/>
      <c r="P563" s="61"/>
      <c r="Q563" s="61"/>
      <c r="R563" s="61"/>
      <c r="S563" s="61"/>
    </row>
    <row r="564" spans="1:19" ht="15">
      <c r="A564" s="68"/>
      <c r="B564" s="61"/>
      <c r="C564" s="61"/>
      <c r="D564" s="61"/>
      <c r="E564" s="61"/>
      <c r="F564" s="61"/>
      <c r="G564" s="61"/>
      <c r="H564" s="91"/>
      <c r="I564" s="68"/>
      <c r="J564" s="68"/>
      <c r="K564" s="68"/>
      <c r="L564" s="61"/>
      <c r="M564" s="61"/>
      <c r="N564" s="61"/>
      <c r="O564" s="61"/>
      <c r="P564" s="61"/>
      <c r="Q564" s="61"/>
      <c r="R564" s="61"/>
      <c r="S564" s="61"/>
    </row>
    <row r="565" spans="1:19" ht="15">
      <c r="A565" s="68"/>
      <c r="B565" s="61"/>
      <c r="C565" s="61"/>
      <c r="D565" s="61"/>
      <c r="E565" s="61"/>
      <c r="F565" s="61"/>
      <c r="G565" s="61"/>
      <c r="H565" s="91"/>
      <c r="I565" s="68"/>
      <c r="J565" s="68"/>
      <c r="K565" s="68"/>
      <c r="L565" s="61"/>
      <c r="M565" s="61"/>
      <c r="N565" s="61"/>
      <c r="O565" s="61"/>
      <c r="P565" s="61"/>
      <c r="Q565" s="61"/>
      <c r="R565" s="61"/>
      <c r="S565" s="61"/>
    </row>
    <row r="566" spans="1:19" ht="15">
      <c r="A566" s="68"/>
      <c r="B566" s="61"/>
      <c r="C566" s="61"/>
      <c r="D566" s="61"/>
      <c r="E566" s="61"/>
      <c r="F566" s="61"/>
      <c r="G566" s="61"/>
      <c r="H566" s="91"/>
      <c r="I566" s="68"/>
      <c r="J566" s="68"/>
      <c r="K566" s="68"/>
      <c r="L566" s="61"/>
      <c r="M566" s="61"/>
      <c r="N566" s="61"/>
      <c r="O566" s="61"/>
      <c r="P566" s="61"/>
      <c r="Q566" s="61"/>
      <c r="R566" s="61"/>
      <c r="S566" s="61"/>
    </row>
    <row r="567" spans="1:19" ht="15">
      <c r="A567" s="68"/>
      <c r="B567" s="61"/>
      <c r="C567" s="61"/>
      <c r="D567" s="61"/>
      <c r="E567" s="61"/>
      <c r="F567" s="61"/>
      <c r="G567" s="61"/>
      <c r="H567" s="91"/>
      <c r="I567" s="68"/>
      <c r="J567" s="68"/>
      <c r="K567" s="68"/>
      <c r="L567" s="61"/>
      <c r="M567" s="61"/>
      <c r="N567" s="61"/>
      <c r="O567" s="61"/>
      <c r="P567" s="61"/>
      <c r="Q567" s="61"/>
      <c r="R567" s="61"/>
      <c r="S567" s="61"/>
    </row>
    <row r="568" spans="1:19" ht="15">
      <c r="A568" s="68"/>
      <c r="B568" s="61"/>
      <c r="C568" s="61"/>
      <c r="D568" s="61"/>
      <c r="E568" s="61"/>
      <c r="F568" s="61"/>
      <c r="G568" s="61"/>
      <c r="H568" s="91"/>
      <c r="I568" s="68"/>
      <c r="J568" s="68"/>
      <c r="K568" s="68"/>
      <c r="L568" s="61"/>
      <c r="M568" s="61"/>
      <c r="N568" s="61"/>
      <c r="O568" s="61"/>
      <c r="P568" s="61"/>
      <c r="Q568" s="61"/>
      <c r="R568" s="61"/>
      <c r="S568" s="61"/>
    </row>
    <row r="569" spans="1:19" ht="15">
      <c r="A569" s="68"/>
      <c r="B569" s="61"/>
      <c r="C569" s="61"/>
      <c r="D569" s="61"/>
      <c r="E569" s="61"/>
      <c r="F569" s="61"/>
      <c r="G569" s="61"/>
      <c r="H569" s="91"/>
      <c r="I569" s="68"/>
      <c r="J569" s="68"/>
      <c r="K569" s="68"/>
      <c r="L569" s="61"/>
      <c r="M569" s="61"/>
      <c r="N569" s="61"/>
      <c r="O569" s="61"/>
      <c r="P569" s="61"/>
      <c r="Q569" s="61"/>
      <c r="R569" s="61"/>
      <c r="S569" s="61"/>
    </row>
    <row r="570" spans="1:19" ht="15">
      <c r="A570" s="68"/>
      <c r="B570" s="61"/>
      <c r="C570" s="61"/>
      <c r="D570" s="61"/>
      <c r="E570" s="61"/>
      <c r="F570" s="61"/>
      <c r="G570" s="61"/>
      <c r="H570" s="91"/>
      <c r="I570" s="68"/>
      <c r="J570" s="68"/>
      <c r="K570" s="68"/>
      <c r="L570" s="61"/>
      <c r="M570" s="61"/>
      <c r="N570" s="61"/>
      <c r="O570" s="61"/>
      <c r="P570" s="61"/>
      <c r="Q570" s="61"/>
      <c r="R570" s="61"/>
      <c r="S570" s="61"/>
    </row>
    <row r="571" spans="1:19" ht="15">
      <c r="A571" s="68"/>
      <c r="B571" s="61"/>
      <c r="C571" s="61"/>
      <c r="D571" s="61"/>
      <c r="E571" s="61"/>
      <c r="F571" s="61"/>
      <c r="G571" s="61"/>
      <c r="H571" s="91"/>
      <c r="I571" s="68"/>
      <c r="J571" s="68"/>
      <c r="K571" s="68"/>
      <c r="L571" s="61"/>
      <c r="M571" s="61"/>
      <c r="N571" s="61"/>
      <c r="O571" s="61"/>
      <c r="P571" s="61"/>
      <c r="Q571" s="61"/>
      <c r="R571" s="61"/>
      <c r="S571" s="61"/>
    </row>
    <row r="572" spans="1:19" ht="15">
      <c r="A572" s="68"/>
      <c r="B572" s="61"/>
      <c r="C572" s="61"/>
      <c r="D572" s="61"/>
      <c r="E572" s="61"/>
      <c r="F572" s="61"/>
      <c r="G572" s="61"/>
      <c r="H572" s="91"/>
      <c r="I572" s="68"/>
      <c r="J572" s="68"/>
      <c r="K572" s="68"/>
      <c r="L572" s="61"/>
      <c r="M572" s="61"/>
      <c r="N572" s="61"/>
      <c r="O572" s="61"/>
      <c r="P572" s="61"/>
      <c r="Q572" s="61"/>
      <c r="R572" s="61"/>
      <c r="S572" s="61"/>
    </row>
    <row r="573" spans="1:19" ht="15">
      <c r="A573" s="68"/>
      <c r="B573" s="61"/>
      <c r="C573" s="61"/>
      <c r="D573" s="61"/>
      <c r="E573" s="61"/>
      <c r="F573" s="61"/>
      <c r="G573" s="61"/>
      <c r="H573" s="91"/>
      <c r="I573" s="68"/>
      <c r="J573" s="68"/>
      <c r="K573" s="68"/>
      <c r="L573" s="61"/>
      <c r="M573" s="61"/>
      <c r="N573" s="61"/>
      <c r="O573" s="61"/>
      <c r="P573" s="61"/>
      <c r="Q573" s="61"/>
      <c r="R573" s="61"/>
      <c r="S573" s="61"/>
    </row>
    <row r="574" spans="1:19" ht="15">
      <c r="A574" s="68"/>
      <c r="B574" s="61"/>
      <c r="C574" s="61"/>
      <c r="D574" s="61"/>
      <c r="E574" s="61"/>
      <c r="F574" s="61"/>
      <c r="G574" s="61"/>
      <c r="H574" s="91"/>
      <c r="I574" s="68"/>
      <c r="J574" s="68"/>
      <c r="K574" s="68"/>
      <c r="L574" s="61"/>
      <c r="M574" s="61"/>
      <c r="N574" s="61"/>
      <c r="O574" s="61"/>
      <c r="P574" s="61"/>
      <c r="Q574" s="61"/>
      <c r="R574" s="61"/>
      <c r="S574" s="61"/>
    </row>
    <row r="575" spans="1:19" ht="15">
      <c r="A575" s="68"/>
      <c r="B575" s="61"/>
      <c r="C575" s="61"/>
      <c r="D575" s="61"/>
      <c r="E575" s="61"/>
      <c r="F575" s="61"/>
      <c r="G575" s="61"/>
      <c r="H575" s="91"/>
      <c r="I575" s="68"/>
      <c r="J575" s="68"/>
      <c r="K575" s="68"/>
      <c r="L575" s="61"/>
      <c r="M575" s="61"/>
      <c r="N575" s="61"/>
      <c r="O575" s="61"/>
      <c r="P575" s="61"/>
      <c r="Q575" s="61"/>
      <c r="R575" s="61"/>
      <c r="S575" s="61"/>
    </row>
    <row r="576" spans="1:19" ht="15">
      <c r="A576" s="68"/>
      <c r="B576" s="61"/>
      <c r="C576" s="61"/>
      <c r="D576" s="61"/>
      <c r="E576" s="61"/>
      <c r="F576" s="61"/>
      <c r="G576" s="61"/>
      <c r="H576" s="91"/>
      <c r="I576" s="68"/>
      <c r="J576" s="68"/>
      <c r="K576" s="68"/>
      <c r="L576" s="61"/>
      <c r="M576" s="61"/>
      <c r="N576" s="61"/>
      <c r="O576" s="61"/>
      <c r="P576" s="61"/>
      <c r="Q576" s="61"/>
      <c r="R576" s="61"/>
      <c r="S576" s="61"/>
    </row>
    <row r="577" spans="1:19" ht="15">
      <c r="A577" s="68"/>
      <c r="B577" s="61"/>
      <c r="C577" s="61"/>
      <c r="D577" s="61"/>
      <c r="E577" s="61"/>
      <c r="F577" s="61"/>
      <c r="G577" s="61"/>
      <c r="H577" s="91"/>
      <c r="I577" s="68"/>
      <c r="J577" s="68"/>
      <c r="K577" s="68"/>
      <c r="L577" s="61"/>
      <c r="M577" s="61"/>
      <c r="N577" s="61"/>
      <c r="O577" s="61"/>
      <c r="P577" s="61"/>
      <c r="Q577" s="61"/>
      <c r="R577" s="61"/>
      <c r="S577" s="61"/>
    </row>
    <row r="578" spans="1:19" ht="15">
      <c r="A578" s="68"/>
      <c r="B578" s="61"/>
      <c r="C578" s="61"/>
      <c r="D578" s="61"/>
      <c r="E578" s="61"/>
      <c r="F578" s="61"/>
      <c r="G578" s="61"/>
      <c r="H578" s="91"/>
      <c r="I578" s="68"/>
      <c r="J578" s="68"/>
      <c r="K578" s="68"/>
      <c r="L578" s="61"/>
      <c r="M578" s="61"/>
      <c r="N578" s="61"/>
      <c r="O578" s="61"/>
      <c r="P578" s="61"/>
      <c r="Q578" s="61"/>
      <c r="R578" s="61"/>
      <c r="S578" s="61"/>
    </row>
    <row r="579" spans="1:19" ht="15">
      <c r="A579" s="68"/>
      <c r="B579" s="61"/>
      <c r="C579" s="61"/>
      <c r="D579" s="61"/>
      <c r="E579" s="61"/>
      <c r="F579" s="61"/>
      <c r="G579" s="61"/>
      <c r="H579" s="91"/>
      <c r="I579" s="68"/>
      <c r="J579" s="68"/>
      <c r="K579" s="68"/>
      <c r="L579" s="61"/>
      <c r="M579" s="61"/>
      <c r="N579" s="61"/>
      <c r="O579" s="61"/>
      <c r="P579" s="61"/>
      <c r="Q579" s="61"/>
      <c r="R579" s="61"/>
      <c r="S579" s="61"/>
    </row>
    <row r="580" spans="1:19" ht="15">
      <c r="A580" s="68"/>
      <c r="B580" s="61"/>
      <c r="C580" s="61"/>
      <c r="D580" s="61"/>
      <c r="E580" s="61"/>
      <c r="F580" s="61"/>
      <c r="G580" s="61"/>
      <c r="H580" s="91"/>
      <c r="I580" s="68"/>
      <c r="J580" s="68"/>
      <c r="K580" s="68"/>
      <c r="L580" s="61"/>
      <c r="M580" s="61"/>
      <c r="N580" s="61"/>
      <c r="O580" s="61"/>
      <c r="P580" s="61"/>
      <c r="Q580" s="61"/>
      <c r="R580" s="61"/>
      <c r="S580" s="61"/>
    </row>
    <row r="581" spans="1:19" ht="15">
      <c r="A581" s="68"/>
      <c r="B581" s="61"/>
      <c r="C581" s="61"/>
      <c r="D581" s="61"/>
      <c r="E581" s="61"/>
      <c r="F581" s="61"/>
      <c r="G581" s="61"/>
      <c r="H581" s="91"/>
      <c r="I581" s="68"/>
      <c r="J581" s="68"/>
      <c r="K581" s="68"/>
      <c r="L581" s="61"/>
      <c r="M581" s="61"/>
      <c r="N581" s="61"/>
      <c r="O581" s="61"/>
      <c r="P581" s="61"/>
      <c r="Q581" s="61"/>
      <c r="R581" s="61"/>
      <c r="S581" s="61"/>
    </row>
    <row r="582" spans="1:19" ht="15">
      <c r="A582" s="68"/>
      <c r="B582" s="61"/>
      <c r="C582" s="61"/>
      <c r="D582" s="61"/>
      <c r="E582" s="61"/>
      <c r="F582" s="61"/>
      <c r="G582" s="61"/>
      <c r="H582" s="91"/>
      <c r="I582" s="68"/>
      <c r="J582" s="68"/>
      <c r="K582" s="68"/>
      <c r="L582" s="61"/>
      <c r="M582" s="61"/>
      <c r="N582" s="61"/>
      <c r="O582" s="61"/>
      <c r="P582" s="61"/>
      <c r="Q582" s="61"/>
      <c r="R582" s="61"/>
      <c r="S582" s="61"/>
    </row>
    <row r="583" spans="1:19" ht="15">
      <c r="A583" s="68"/>
      <c r="B583" s="61"/>
      <c r="C583" s="61"/>
      <c r="D583" s="61"/>
      <c r="E583" s="61"/>
      <c r="F583" s="61"/>
      <c r="G583" s="61"/>
      <c r="H583" s="91"/>
      <c r="I583" s="68"/>
      <c r="J583" s="68"/>
      <c r="K583" s="68"/>
      <c r="L583" s="61"/>
      <c r="M583" s="61"/>
      <c r="N583" s="61"/>
      <c r="O583" s="61"/>
      <c r="P583" s="61"/>
      <c r="Q583" s="61"/>
      <c r="R583" s="61"/>
      <c r="S583" s="61"/>
    </row>
    <row r="584" spans="1:19" ht="15">
      <c r="A584" s="68"/>
      <c r="B584" s="61"/>
      <c r="C584" s="61"/>
      <c r="D584" s="61"/>
      <c r="E584" s="61"/>
      <c r="F584" s="61"/>
      <c r="G584" s="61"/>
      <c r="H584" s="91"/>
      <c r="I584" s="68"/>
      <c r="J584" s="68"/>
      <c r="K584" s="68"/>
      <c r="L584" s="61"/>
      <c r="M584" s="61"/>
      <c r="N584" s="61"/>
      <c r="O584" s="61"/>
      <c r="P584" s="61"/>
      <c r="Q584" s="61"/>
      <c r="R584" s="61"/>
      <c r="S584" s="61"/>
    </row>
    <row r="585" spans="1:19" ht="15">
      <c r="A585" s="68"/>
      <c r="B585" s="61"/>
      <c r="C585" s="61"/>
      <c r="D585" s="61"/>
      <c r="E585" s="61"/>
      <c r="F585" s="61"/>
      <c r="G585" s="61"/>
      <c r="H585" s="91"/>
      <c r="I585" s="68"/>
      <c r="J585" s="68"/>
      <c r="K585" s="68"/>
      <c r="L585" s="61"/>
      <c r="M585" s="61"/>
      <c r="N585" s="61"/>
      <c r="O585" s="61"/>
      <c r="P585" s="61"/>
      <c r="Q585" s="61"/>
      <c r="R585" s="61"/>
      <c r="S585" s="61"/>
    </row>
    <row r="586" spans="1:19" ht="15">
      <c r="A586" s="68"/>
      <c r="B586" s="61"/>
      <c r="C586" s="61"/>
      <c r="D586" s="61"/>
      <c r="E586" s="61"/>
      <c r="F586" s="61"/>
      <c r="G586" s="61"/>
      <c r="H586" s="91"/>
      <c r="I586" s="68"/>
      <c r="J586" s="68"/>
      <c r="K586" s="68"/>
      <c r="L586" s="61"/>
      <c r="M586" s="61"/>
      <c r="N586" s="61"/>
      <c r="O586" s="61"/>
      <c r="P586" s="61"/>
      <c r="Q586" s="61"/>
      <c r="R586" s="61"/>
      <c r="S586" s="61"/>
    </row>
    <row r="587" spans="1:19" ht="15">
      <c r="A587" s="68"/>
      <c r="B587" s="61"/>
      <c r="C587" s="61"/>
      <c r="D587" s="61"/>
      <c r="E587" s="61"/>
      <c r="F587" s="61"/>
      <c r="G587" s="61"/>
      <c r="H587" s="91"/>
      <c r="I587" s="68"/>
      <c r="J587" s="68"/>
      <c r="K587" s="68"/>
      <c r="L587" s="61"/>
      <c r="M587" s="61"/>
      <c r="N587" s="61"/>
      <c r="O587" s="61"/>
      <c r="P587" s="61"/>
      <c r="Q587" s="61"/>
      <c r="R587" s="61"/>
      <c r="S587" s="61"/>
    </row>
    <row r="588" spans="1:19" ht="15">
      <c r="A588" s="68"/>
      <c r="B588" s="61"/>
      <c r="C588" s="61"/>
      <c r="D588" s="61"/>
      <c r="E588" s="61"/>
      <c r="F588" s="61"/>
      <c r="G588" s="61"/>
      <c r="H588" s="91"/>
      <c r="I588" s="68"/>
      <c r="J588" s="68"/>
      <c r="K588" s="68"/>
      <c r="L588" s="61"/>
      <c r="M588" s="61"/>
      <c r="N588" s="61"/>
      <c r="O588" s="61"/>
      <c r="P588" s="61"/>
      <c r="Q588" s="61"/>
      <c r="R588" s="61"/>
      <c r="S588" s="61"/>
    </row>
    <row r="589" spans="1:19" ht="15">
      <c r="A589" s="68"/>
      <c r="B589" s="61"/>
      <c r="C589" s="61"/>
      <c r="D589" s="61"/>
      <c r="E589" s="61"/>
      <c r="F589" s="61"/>
      <c r="G589" s="61"/>
      <c r="H589" s="91"/>
      <c r="I589" s="68"/>
      <c r="J589" s="68"/>
      <c r="K589" s="68"/>
      <c r="L589" s="61"/>
      <c r="M589" s="61"/>
      <c r="N589" s="61"/>
      <c r="O589" s="61"/>
      <c r="P589" s="61"/>
      <c r="Q589" s="61"/>
      <c r="R589" s="61"/>
      <c r="S589" s="61"/>
    </row>
    <row r="590" spans="1:19" ht="15">
      <c r="A590" s="68"/>
      <c r="B590" s="61"/>
      <c r="C590" s="61"/>
      <c r="D590" s="61"/>
      <c r="E590" s="61"/>
      <c r="F590" s="61"/>
      <c r="G590" s="61"/>
      <c r="H590" s="91"/>
      <c r="I590" s="68"/>
      <c r="J590" s="68"/>
      <c r="K590" s="68"/>
      <c r="L590" s="61"/>
      <c r="M590" s="61"/>
      <c r="N590" s="61"/>
      <c r="O590" s="61"/>
      <c r="P590" s="61"/>
      <c r="Q590" s="61"/>
      <c r="R590" s="61"/>
      <c r="S590" s="61"/>
    </row>
    <row r="591" spans="1:19" ht="15">
      <c r="A591" s="68"/>
      <c r="B591" s="61"/>
      <c r="C591" s="61"/>
      <c r="D591" s="61"/>
      <c r="E591" s="61"/>
      <c r="F591" s="61"/>
      <c r="G591" s="61"/>
      <c r="H591" s="91"/>
      <c r="I591" s="68"/>
      <c r="J591" s="68"/>
      <c r="K591" s="68"/>
      <c r="L591" s="61"/>
      <c r="M591" s="61"/>
      <c r="N591" s="61"/>
      <c r="O591" s="61"/>
      <c r="P591" s="61"/>
      <c r="Q591" s="61"/>
      <c r="R591" s="61"/>
      <c r="S591" s="61"/>
    </row>
    <row r="592" spans="1:19" ht="15">
      <c r="A592" s="68"/>
      <c r="B592" s="61"/>
      <c r="C592" s="61"/>
      <c r="D592" s="61"/>
      <c r="E592" s="61"/>
      <c r="F592" s="61"/>
      <c r="G592" s="61"/>
      <c r="H592" s="91"/>
      <c r="I592" s="68"/>
      <c r="J592" s="68"/>
      <c r="K592" s="68"/>
      <c r="L592" s="61"/>
      <c r="M592" s="61"/>
      <c r="N592" s="61"/>
      <c r="O592" s="61"/>
      <c r="P592" s="61"/>
      <c r="Q592" s="61"/>
      <c r="R592" s="61"/>
      <c r="S592" s="61"/>
    </row>
    <row r="593" spans="1:19" ht="15">
      <c r="A593" s="68"/>
      <c r="B593" s="61"/>
      <c r="C593" s="61"/>
      <c r="D593" s="61"/>
      <c r="E593" s="61"/>
      <c r="F593" s="61"/>
      <c r="G593" s="61"/>
      <c r="H593" s="91"/>
      <c r="I593" s="68"/>
      <c r="J593" s="68"/>
      <c r="K593" s="68"/>
      <c r="L593" s="61"/>
      <c r="M593" s="61"/>
      <c r="N593" s="61"/>
      <c r="O593" s="61"/>
      <c r="P593" s="61"/>
      <c r="Q593" s="61"/>
      <c r="R593" s="61"/>
      <c r="S593" s="61"/>
    </row>
    <row r="594" spans="1:19" ht="15">
      <c r="A594" s="68"/>
      <c r="B594" s="61"/>
      <c r="C594" s="61"/>
      <c r="D594" s="61"/>
      <c r="E594" s="61"/>
      <c r="F594" s="61"/>
      <c r="G594" s="61"/>
      <c r="H594" s="91"/>
      <c r="I594" s="68"/>
      <c r="J594" s="68"/>
      <c r="K594" s="68"/>
      <c r="L594" s="61"/>
      <c r="M594" s="61"/>
      <c r="N594" s="61"/>
      <c r="O594" s="61"/>
      <c r="P594" s="61"/>
      <c r="Q594" s="61"/>
      <c r="R594" s="61"/>
      <c r="S594" s="61"/>
    </row>
    <row r="595" spans="1:19" ht="15">
      <c r="A595" s="68"/>
      <c r="B595" s="61"/>
      <c r="C595" s="61"/>
      <c r="D595" s="61"/>
      <c r="E595" s="61"/>
      <c r="F595" s="61"/>
      <c r="G595" s="61"/>
      <c r="H595" s="91"/>
      <c r="I595" s="68"/>
      <c r="J595" s="68"/>
      <c r="K595" s="68"/>
      <c r="L595" s="61"/>
      <c r="M595" s="61"/>
      <c r="N595" s="61"/>
      <c r="O595" s="61"/>
      <c r="P595" s="61"/>
      <c r="Q595" s="61"/>
      <c r="R595" s="61"/>
      <c r="S595" s="61"/>
    </row>
    <row r="596" spans="1:19" ht="15">
      <c r="A596" s="68"/>
      <c r="B596" s="61"/>
      <c r="C596" s="61"/>
      <c r="D596" s="61"/>
      <c r="E596" s="61"/>
      <c r="F596" s="61"/>
      <c r="G596" s="61"/>
      <c r="H596" s="91"/>
      <c r="I596" s="68"/>
      <c r="J596" s="68"/>
      <c r="K596" s="68"/>
      <c r="L596" s="61"/>
      <c r="M596" s="61"/>
      <c r="N596" s="61"/>
      <c r="O596" s="61"/>
      <c r="P596" s="61"/>
      <c r="Q596" s="61"/>
      <c r="R596" s="61"/>
      <c r="S596" s="61"/>
    </row>
    <row r="597" spans="1:19" ht="15">
      <c r="A597" s="68"/>
      <c r="B597" s="61"/>
      <c r="C597" s="61"/>
      <c r="D597" s="61"/>
      <c r="E597" s="61"/>
      <c r="F597" s="61"/>
      <c r="G597" s="61"/>
      <c r="H597" s="91"/>
      <c r="I597" s="68"/>
      <c r="J597" s="68"/>
      <c r="K597" s="68"/>
      <c r="L597" s="61"/>
      <c r="M597" s="61"/>
      <c r="N597" s="61"/>
      <c r="O597" s="61"/>
      <c r="P597" s="61"/>
      <c r="Q597" s="61"/>
      <c r="R597" s="61"/>
      <c r="S597" s="61"/>
    </row>
    <row r="598" spans="1:19" ht="15">
      <c r="A598" s="68"/>
      <c r="B598" s="61"/>
      <c r="C598" s="61"/>
      <c r="D598" s="61"/>
      <c r="E598" s="61"/>
      <c r="F598" s="61"/>
      <c r="G598" s="61"/>
      <c r="H598" s="91"/>
      <c r="I598" s="68"/>
      <c r="J598" s="68"/>
      <c r="K598" s="68"/>
      <c r="L598" s="61"/>
      <c r="M598" s="61"/>
      <c r="N598" s="61"/>
      <c r="O598" s="61"/>
      <c r="P598" s="61"/>
      <c r="Q598" s="61"/>
      <c r="R598" s="61"/>
      <c r="S598" s="61"/>
    </row>
    <row r="599" spans="1:19" ht="15">
      <c r="A599" s="68"/>
      <c r="B599" s="61"/>
      <c r="C599" s="61"/>
      <c r="D599" s="61"/>
      <c r="E599" s="61"/>
      <c r="F599" s="61"/>
      <c r="G599" s="61"/>
      <c r="H599" s="91"/>
      <c r="I599" s="68"/>
      <c r="J599" s="68"/>
      <c r="K599" s="68"/>
      <c r="L599" s="61"/>
      <c r="M599" s="61"/>
      <c r="N599" s="61"/>
      <c r="O599" s="61"/>
      <c r="P599" s="61"/>
      <c r="Q599" s="61"/>
      <c r="R599" s="61"/>
      <c r="S599" s="61"/>
    </row>
    <row r="600" spans="1:19" ht="15">
      <c r="A600" s="68"/>
      <c r="B600" s="61"/>
      <c r="C600" s="61"/>
      <c r="D600" s="61"/>
      <c r="E600" s="61"/>
      <c r="F600" s="61"/>
      <c r="G600" s="61"/>
      <c r="H600" s="91"/>
      <c r="I600" s="68"/>
      <c r="J600" s="68"/>
      <c r="K600" s="68"/>
      <c r="L600" s="61"/>
      <c r="M600" s="61"/>
      <c r="N600" s="61"/>
      <c r="O600" s="61"/>
      <c r="P600" s="61"/>
      <c r="Q600" s="61"/>
      <c r="R600" s="61"/>
      <c r="S600" s="61"/>
    </row>
    <row r="601" spans="1:19" ht="15">
      <c r="A601" s="68"/>
      <c r="B601" s="61"/>
      <c r="C601" s="61"/>
      <c r="D601" s="61"/>
      <c r="E601" s="61"/>
      <c r="F601" s="61"/>
      <c r="G601" s="61"/>
      <c r="H601" s="91"/>
      <c r="I601" s="68"/>
      <c r="J601" s="68"/>
      <c r="K601" s="68"/>
      <c r="L601" s="61"/>
      <c r="M601" s="61"/>
      <c r="N601" s="61"/>
      <c r="O601" s="61"/>
      <c r="P601" s="61"/>
      <c r="Q601" s="61"/>
      <c r="R601" s="61"/>
      <c r="S601" s="61"/>
    </row>
    <row r="602" spans="1:19" ht="15">
      <c r="A602" s="68"/>
      <c r="B602" s="61"/>
      <c r="C602" s="61"/>
      <c r="D602" s="61"/>
      <c r="E602" s="61"/>
      <c r="F602" s="61"/>
      <c r="G602" s="61"/>
      <c r="H602" s="91"/>
      <c r="I602" s="68"/>
      <c r="J602" s="68"/>
      <c r="K602" s="68"/>
      <c r="L602" s="61"/>
      <c r="M602" s="61"/>
      <c r="N602" s="61"/>
      <c r="O602" s="61"/>
      <c r="P602" s="61"/>
      <c r="Q602" s="61"/>
      <c r="R602" s="61"/>
      <c r="S602" s="61"/>
    </row>
    <row r="603" spans="1:19" ht="15">
      <c r="A603" s="68"/>
      <c r="B603" s="61"/>
      <c r="C603" s="61"/>
      <c r="D603" s="61"/>
      <c r="E603" s="61"/>
      <c r="F603" s="61"/>
      <c r="G603" s="61"/>
      <c r="H603" s="91"/>
      <c r="I603" s="68"/>
      <c r="J603" s="68"/>
      <c r="K603" s="68"/>
      <c r="L603" s="61"/>
      <c r="M603" s="61"/>
      <c r="N603" s="61"/>
      <c r="O603" s="61"/>
      <c r="P603" s="61"/>
      <c r="Q603" s="61"/>
      <c r="R603" s="61"/>
      <c r="S603" s="61"/>
    </row>
    <row r="604" spans="1:19" ht="15">
      <c r="A604" s="68"/>
      <c r="B604" s="61"/>
      <c r="C604" s="61"/>
      <c r="D604" s="61"/>
      <c r="E604" s="61"/>
      <c r="F604" s="61"/>
      <c r="G604" s="61"/>
      <c r="H604" s="91"/>
      <c r="I604" s="68"/>
      <c r="J604" s="68"/>
      <c r="K604" s="68"/>
      <c r="L604" s="61"/>
      <c r="M604" s="61"/>
      <c r="N604" s="61"/>
      <c r="O604" s="61"/>
      <c r="P604" s="61"/>
      <c r="Q604" s="61"/>
      <c r="R604" s="61"/>
      <c r="S604" s="61"/>
    </row>
    <row r="605" spans="1:19" ht="15">
      <c r="A605" s="68"/>
      <c r="B605" s="61"/>
      <c r="C605" s="61"/>
      <c r="D605" s="61"/>
      <c r="E605" s="61"/>
      <c r="F605" s="61"/>
      <c r="G605" s="61"/>
      <c r="H605" s="91"/>
      <c r="I605" s="68"/>
      <c r="J605" s="68"/>
      <c r="K605" s="68"/>
      <c r="L605" s="61"/>
      <c r="M605" s="61"/>
      <c r="N605" s="61"/>
      <c r="O605" s="61"/>
      <c r="P605" s="61"/>
      <c r="Q605" s="61"/>
      <c r="R605" s="61"/>
      <c r="S605" s="61"/>
    </row>
    <row r="606" spans="1:19" ht="15">
      <c r="A606" s="68"/>
      <c r="B606" s="61"/>
      <c r="C606" s="61"/>
      <c r="D606" s="61"/>
      <c r="E606" s="61"/>
      <c r="F606" s="61"/>
      <c r="G606" s="61"/>
      <c r="H606" s="91"/>
      <c r="I606" s="68"/>
      <c r="J606" s="68"/>
      <c r="K606" s="68"/>
      <c r="L606" s="61"/>
      <c r="M606" s="61"/>
      <c r="N606" s="61"/>
      <c r="O606" s="61"/>
      <c r="P606" s="61"/>
      <c r="Q606" s="61"/>
      <c r="R606" s="61"/>
      <c r="S606" s="61"/>
    </row>
    <row r="607" spans="1:19" ht="15">
      <c r="A607" s="68"/>
      <c r="B607" s="61"/>
      <c r="C607" s="61"/>
      <c r="D607" s="61"/>
      <c r="E607" s="61"/>
      <c r="F607" s="61"/>
      <c r="G607" s="61"/>
      <c r="H607" s="91"/>
      <c r="I607" s="68"/>
      <c r="J607" s="68"/>
      <c r="K607" s="68"/>
      <c r="L607" s="61"/>
      <c r="M607" s="61"/>
      <c r="N607" s="61"/>
      <c r="O607" s="61"/>
      <c r="P607" s="61"/>
      <c r="Q607" s="61"/>
      <c r="R607" s="61"/>
      <c r="S607" s="61"/>
    </row>
    <row r="608" spans="1:19" ht="15">
      <c r="A608" s="68"/>
      <c r="B608" s="61"/>
      <c r="C608" s="61"/>
      <c r="D608" s="61"/>
      <c r="E608" s="61"/>
      <c r="F608" s="61"/>
      <c r="G608" s="61"/>
      <c r="H608" s="91"/>
      <c r="I608" s="68"/>
      <c r="J608" s="68"/>
      <c r="K608" s="68"/>
      <c r="L608" s="61"/>
      <c r="M608" s="61"/>
      <c r="N608" s="61"/>
      <c r="O608" s="61"/>
      <c r="P608" s="61"/>
      <c r="Q608" s="61"/>
      <c r="R608" s="61"/>
      <c r="S608" s="61"/>
    </row>
    <row r="609" spans="1:19" ht="15">
      <c r="A609" s="68"/>
      <c r="B609" s="61"/>
      <c r="C609" s="61"/>
      <c r="D609" s="61"/>
      <c r="E609" s="61"/>
      <c r="F609" s="61"/>
      <c r="G609" s="61"/>
      <c r="H609" s="91"/>
      <c r="I609" s="68"/>
      <c r="J609" s="68"/>
      <c r="K609" s="68"/>
      <c r="L609" s="61"/>
      <c r="M609" s="61"/>
      <c r="N609" s="61"/>
      <c r="O609" s="61"/>
      <c r="P609" s="61"/>
      <c r="Q609" s="61"/>
      <c r="R609" s="61"/>
      <c r="S609" s="61"/>
    </row>
    <row r="610" spans="1:19" ht="15">
      <c r="A610" s="68"/>
      <c r="B610" s="61"/>
      <c r="C610" s="61"/>
      <c r="D610" s="61"/>
      <c r="E610" s="61"/>
      <c r="F610" s="61"/>
      <c r="G610" s="61"/>
      <c r="H610" s="91"/>
      <c r="I610" s="68"/>
      <c r="J610" s="68"/>
      <c r="K610" s="68"/>
      <c r="L610" s="61"/>
      <c r="M610" s="61"/>
      <c r="N610" s="61"/>
      <c r="O610" s="61"/>
      <c r="P610" s="61"/>
      <c r="Q610" s="61"/>
      <c r="R610" s="61"/>
      <c r="S610" s="61"/>
    </row>
    <row r="611" spans="1:19" ht="15">
      <c r="A611" s="68"/>
      <c r="B611" s="61"/>
      <c r="C611" s="61"/>
      <c r="D611" s="61"/>
      <c r="E611" s="61"/>
      <c r="F611" s="61"/>
      <c r="G611" s="61"/>
      <c r="H611" s="91"/>
      <c r="I611" s="68"/>
      <c r="J611" s="68"/>
      <c r="K611" s="68"/>
      <c r="L611" s="61"/>
      <c r="M611" s="61"/>
      <c r="N611" s="61"/>
      <c r="O611" s="61"/>
      <c r="P611" s="61"/>
      <c r="Q611" s="61"/>
      <c r="R611" s="61"/>
      <c r="S611" s="61"/>
    </row>
    <row r="612" spans="1:19" ht="15">
      <c r="A612" s="68"/>
      <c r="B612" s="61"/>
      <c r="C612" s="61"/>
      <c r="D612" s="61"/>
      <c r="E612" s="61"/>
      <c r="F612" s="61"/>
      <c r="G612" s="61"/>
      <c r="H612" s="91"/>
      <c r="I612" s="68"/>
      <c r="J612" s="68"/>
      <c r="K612" s="68"/>
      <c r="L612" s="61"/>
      <c r="M612" s="61"/>
      <c r="N612" s="61"/>
      <c r="O612" s="61"/>
      <c r="P612" s="61"/>
      <c r="Q612" s="61"/>
      <c r="R612" s="61"/>
      <c r="S612" s="61"/>
    </row>
    <row r="613" spans="1:19" ht="15">
      <c r="A613" s="68"/>
      <c r="B613" s="61"/>
      <c r="C613" s="61"/>
      <c r="D613" s="61"/>
      <c r="E613" s="61"/>
      <c r="F613" s="61"/>
      <c r="G613" s="61"/>
      <c r="H613" s="91"/>
      <c r="I613" s="68"/>
      <c r="J613" s="68"/>
      <c r="K613" s="68"/>
      <c r="L613" s="61"/>
      <c r="M613" s="61"/>
      <c r="N613" s="61"/>
      <c r="O613" s="61"/>
      <c r="P613" s="61"/>
      <c r="Q613" s="61"/>
      <c r="R613" s="61"/>
      <c r="S613" s="61"/>
    </row>
    <row r="614" spans="1:19" ht="15">
      <c r="A614" s="68"/>
      <c r="B614" s="61"/>
      <c r="C614" s="61"/>
      <c r="D614" s="61"/>
      <c r="E614" s="61"/>
      <c r="F614" s="61"/>
      <c r="G614" s="61"/>
      <c r="H614" s="91"/>
      <c r="I614" s="68"/>
      <c r="J614" s="68"/>
      <c r="K614" s="68"/>
      <c r="L614" s="61"/>
      <c r="M614" s="61"/>
      <c r="N614" s="61"/>
      <c r="O614" s="61"/>
      <c r="P614" s="61"/>
      <c r="Q614" s="61"/>
      <c r="R614" s="61"/>
      <c r="S614" s="61"/>
    </row>
    <row r="615" spans="1:19" ht="15">
      <c r="A615" s="68"/>
      <c r="B615" s="61"/>
      <c r="C615" s="61"/>
      <c r="D615" s="61"/>
      <c r="E615" s="61"/>
      <c r="F615" s="61"/>
      <c r="G615" s="61"/>
      <c r="H615" s="91"/>
      <c r="I615" s="68"/>
      <c r="J615" s="68"/>
      <c r="K615" s="68"/>
      <c r="L615" s="61"/>
      <c r="M615" s="61"/>
      <c r="N615" s="61"/>
      <c r="O615" s="61"/>
      <c r="P615" s="61"/>
      <c r="Q615" s="61"/>
      <c r="R615" s="61"/>
      <c r="S615" s="61"/>
    </row>
    <row r="616" spans="1:19" ht="15">
      <c r="A616" s="68"/>
      <c r="B616" s="61"/>
      <c r="C616" s="61"/>
      <c r="D616" s="61"/>
      <c r="E616" s="61"/>
      <c r="F616" s="61"/>
      <c r="G616" s="61"/>
      <c r="H616" s="91"/>
      <c r="I616" s="68"/>
      <c r="J616" s="68"/>
      <c r="K616" s="68"/>
      <c r="L616" s="61"/>
      <c r="M616" s="61"/>
      <c r="N616" s="61"/>
      <c r="O616" s="61"/>
      <c r="P616" s="61"/>
      <c r="Q616" s="61"/>
      <c r="R616" s="61"/>
      <c r="S616" s="61"/>
    </row>
    <row r="617" spans="1:19" ht="15">
      <c r="A617" s="68"/>
      <c r="B617" s="61"/>
      <c r="C617" s="61"/>
      <c r="D617" s="61"/>
      <c r="E617" s="61"/>
      <c r="F617" s="61"/>
      <c r="G617" s="61"/>
      <c r="H617" s="91"/>
      <c r="I617" s="68"/>
      <c r="J617" s="68"/>
      <c r="K617" s="68"/>
      <c r="L617" s="61"/>
      <c r="M617" s="61"/>
      <c r="N617" s="61"/>
      <c r="O617" s="61"/>
      <c r="P617" s="61"/>
      <c r="Q617" s="61"/>
      <c r="R617" s="61"/>
      <c r="S617" s="61"/>
    </row>
    <row r="618" spans="1:19" ht="15">
      <c r="A618" s="68"/>
      <c r="B618" s="61"/>
      <c r="C618" s="61"/>
      <c r="D618" s="61"/>
      <c r="E618" s="61"/>
      <c r="F618" s="61"/>
      <c r="G618" s="61"/>
      <c r="H618" s="91"/>
      <c r="I618" s="68"/>
      <c r="J618" s="68"/>
      <c r="K618" s="68"/>
      <c r="L618" s="61"/>
      <c r="M618" s="61"/>
      <c r="N618" s="61"/>
      <c r="O618" s="61"/>
      <c r="P618" s="61"/>
      <c r="Q618" s="61"/>
      <c r="R618" s="61"/>
      <c r="S618" s="61"/>
    </row>
    <row r="619" spans="1:19" ht="15">
      <c r="A619" s="68"/>
      <c r="B619" s="61"/>
      <c r="C619" s="61"/>
      <c r="D619" s="61"/>
      <c r="E619" s="61"/>
      <c r="F619" s="61"/>
      <c r="G619" s="61"/>
      <c r="H619" s="91"/>
      <c r="I619" s="68"/>
      <c r="J619" s="68"/>
      <c r="K619" s="68"/>
      <c r="L619" s="61"/>
      <c r="M619" s="61"/>
      <c r="N619" s="61"/>
      <c r="O619" s="61"/>
      <c r="P619" s="61"/>
      <c r="Q619" s="61"/>
      <c r="R619" s="61"/>
      <c r="S619" s="61"/>
    </row>
    <row r="620" spans="1:19" ht="15">
      <c r="A620" s="68"/>
      <c r="B620" s="61"/>
      <c r="C620" s="61"/>
      <c r="D620" s="61"/>
      <c r="E620" s="61"/>
      <c r="F620" s="61"/>
      <c r="G620" s="61"/>
      <c r="H620" s="91"/>
      <c r="I620" s="68"/>
      <c r="J620" s="68"/>
      <c r="K620" s="68"/>
      <c r="L620" s="61"/>
      <c r="M620" s="61"/>
      <c r="N620" s="61"/>
      <c r="O620" s="61"/>
      <c r="P620" s="61"/>
      <c r="Q620" s="61"/>
      <c r="R620" s="61"/>
      <c r="S620" s="61"/>
    </row>
    <row r="621" spans="1:19" ht="15">
      <c r="A621" s="68"/>
      <c r="B621" s="61"/>
      <c r="C621" s="61"/>
      <c r="D621" s="61"/>
      <c r="E621" s="61"/>
      <c r="F621" s="61"/>
      <c r="G621" s="61"/>
      <c r="H621" s="91"/>
      <c r="I621" s="68"/>
      <c r="J621" s="68"/>
      <c r="K621" s="68"/>
      <c r="L621" s="61"/>
      <c r="M621" s="61"/>
      <c r="N621" s="61"/>
      <c r="O621" s="61"/>
      <c r="P621" s="61"/>
      <c r="Q621" s="61"/>
      <c r="R621" s="61"/>
      <c r="S621" s="61"/>
    </row>
    <row r="622" spans="1:19" ht="15">
      <c r="A622" s="68"/>
      <c r="B622" s="61"/>
      <c r="C622" s="61"/>
      <c r="D622" s="61"/>
      <c r="E622" s="61"/>
      <c r="F622" s="61"/>
      <c r="G622" s="61"/>
      <c r="H622" s="91"/>
      <c r="I622" s="68"/>
      <c r="J622" s="68"/>
      <c r="K622" s="68"/>
      <c r="L622" s="61"/>
      <c r="M622" s="61"/>
      <c r="N622" s="61"/>
      <c r="O622" s="61"/>
      <c r="P622" s="61"/>
      <c r="Q622" s="61"/>
      <c r="R622" s="61"/>
      <c r="S622" s="61"/>
    </row>
    <row r="623" spans="1:19" ht="15">
      <c r="A623" s="68"/>
      <c r="B623" s="61"/>
      <c r="C623" s="61"/>
      <c r="D623" s="61"/>
      <c r="E623" s="61"/>
      <c r="F623" s="61"/>
      <c r="G623" s="61"/>
      <c r="H623" s="91"/>
      <c r="I623" s="68"/>
      <c r="J623" s="68"/>
      <c r="K623" s="68"/>
      <c r="L623" s="61"/>
      <c r="M623" s="61"/>
      <c r="N623" s="61"/>
      <c r="O623" s="61"/>
      <c r="P623" s="61"/>
      <c r="Q623" s="61"/>
      <c r="R623" s="61"/>
      <c r="S623" s="61"/>
    </row>
    <row r="624" spans="1:19" ht="15">
      <c r="A624" s="68"/>
      <c r="B624" s="61"/>
      <c r="C624" s="61"/>
      <c r="D624" s="61"/>
      <c r="E624" s="61"/>
      <c r="F624" s="61"/>
      <c r="G624" s="61"/>
      <c r="H624" s="91"/>
      <c r="I624" s="68"/>
      <c r="J624" s="68"/>
      <c r="K624" s="68"/>
      <c r="L624" s="61"/>
      <c r="M624" s="61"/>
      <c r="N624" s="61"/>
      <c r="O624" s="61"/>
      <c r="P624" s="61"/>
      <c r="Q624" s="61"/>
      <c r="R624" s="61"/>
      <c r="S624" s="61"/>
    </row>
    <row r="625" spans="1:19" ht="15">
      <c r="A625" s="68"/>
      <c r="B625" s="61"/>
      <c r="C625" s="61"/>
      <c r="D625" s="61"/>
      <c r="E625" s="61"/>
      <c r="F625" s="61"/>
      <c r="G625" s="61"/>
      <c r="H625" s="91"/>
      <c r="I625" s="68"/>
      <c r="J625" s="68"/>
      <c r="K625" s="68"/>
      <c r="L625" s="61"/>
      <c r="M625" s="61"/>
      <c r="N625" s="61"/>
      <c r="O625" s="61"/>
      <c r="P625" s="61"/>
      <c r="Q625" s="61"/>
      <c r="R625" s="61"/>
      <c r="S625" s="61"/>
    </row>
    <row r="626" spans="1:19" ht="15">
      <c r="A626" s="68"/>
      <c r="B626" s="61"/>
      <c r="C626" s="61"/>
      <c r="D626" s="61"/>
      <c r="E626" s="61"/>
      <c r="F626" s="61"/>
      <c r="G626" s="61"/>
      <c r="H626" s="91"/>
      <c r="I626" s="68"/>
      <c r="J626" s="68"/>
      <c r="K626" s="68"/>
      <c r="L626" s="61"/>
      <c r="M626" s="61"/>
      <c r="N626" s="61"/>
      <c r="O626" s="61"/>
      <c r="P626" s="61"/>
      <c r="Q626" s="61"/>
      <c r="R626" s="61"/>
      <c r="S626" s="61"/>
    </row>
    <row r="627" spans="1:19" ht="15">
      <c r="A627" s="68"/>
      <c r="B627" s="61"/>
      <c r="C627" s="61"/>
      <c r="D627" s="61"/>
      <c r="E627" s="61"/>
      <c r="F627" s="61"/>
      <c r="G627" s="61"/>
      <c r="H627" s="91"/>
      <c r="I627" s="68"/>
      <c r="J627" s="68"/>
      <c r="K627" s="68"/>
      <c r="L627" s="61"/>
      <c r="M627" s="61"/>
      <c r="N627" s="61"/>
      <c r="O627" s="61"/>
      <c r="P627" s="61"/>
      <c r="Q627" s="61"/>
      <c r="R627" s="61"/>
      <c r="S627" s="61"/>
    </row>
    <row r="628" spans="1:19" ht="15">
      <c r="A628" s="68"/>
      <c r="B628" s="61"/>
      <c r="C628" s="61"/>
      <c r="D628" s="61"/>
      <c r="E628" s="61"/>
      <c r="F628" s="61"/>
      <c r="G628" s="61"/>
      <c r="H628" s="91"/>
      <c r="I628" s="68"/>
      <c r="J628" s="68"/>
      <c r="K628" s="68"/>
      <c r="L628" s="61"/>
      <c r="M628" s="61"/>
      <c r="N628" s="61"/>
      <c r="O628" s="61"/>
      <c r="P628" s="61"/>
      <c r="Q628" s="61"/>
      <c r="R628" s="61"/>
      <c r="S628" s="61"/>
    </row>
    <row r="629" spans="1:19" ht="15">
      <c r="A629" s="68"/>
      <c r="B629" s="61"/>
      <c r="C629" s="61"/>
      <c r="D629" s="61"/>
      <c r="E629" s="61"/>
      <c r="F629" s="61"/>
      <c r="G629" s="61"/>
      <c r="H629" s="91"/>
      <c r="I629" s="68"/>
      <c r="J629" s="68"/>
      <c r="K629" s="68"/>
      <c r="L629" s="61"/>
      <c r="M629" s="61"/>
      <c r="N629" s="61"/>
      <c r="O629" s="61"/>
      <c r="P629" s="61"/>
      <c r="Q629" s="61"/>
      <c r="R629" s="61"/>
      <c r="S629" s="61"/>
    </row>
    <row r="630" spans="1:19" ht="15">
      <c r="A630" s="68"/>
      <c r="B630" s="61"/>
      <c r="C630" s="61"/>
      <c r="D630" s="61"/>
      <c r="E630" s="61"/>
      <c r="F630" s="61"/>
      <c r="G630" s="61"/>
      <c r="H630" s="91"/>
      <c r="I630" s="68"/>
      <c r="J630" s="68"/>
      <c r="K630" s="68"/>
      <c r="L630" s="61"/>
      <c r="M630" s="61"/>
      <c r="N630" s="61"/>
      <c r="O630" s="61"/>
      <c r="P630" s="61"/>
      <c r="Q630" s="61"/>
      <c r="R630" s="61"/>
      <c r="S630" s="61"/>
    </row>
    <row r="631" spans="1:19" ht="15">
      <c r="A631" s="68"/>
      <c r="B631" s="61"/>
      <c r="C631" s="61"/>
      <c r="D631" s="61"/>
      <c r="E631" s="61"/>
      <c r="F631" s="61"/>
      <c r="G631" s="61"/>
      <c r="H631" s="91"/>
      <c r="I631" s="68"/>
      <c r="J631" s="68"/>
      <c r="K631" s="68"/>
      <c r="L631" s="61"/>
      <c r="M631" s="61"/>
      <c r="N631" s="61"/>
      <c r="O631" s="61"/>
      <c r="P631" s="61"/>
      <c r="Q631" s="61"/>
      <c r="R631" s="61"/>
      <c r="S631" s="61"/>
    </row>
    <row r="632" spans="1:19" ht="15">
      <c r="A632" s="68"/>
      <c r="B632" s="61"/>
      <c r="C632" s="61"/>
      <c r="D632" s="61"/>
      <c r="E632" s="61"/>
      <c r="F632" s="61"/>
      <c r="G632" s="61"/>
      <c r="H632" s="91"/>
      <c r="I632" s="68"/>
      <c r="J632" s="68"/>
      <c r="K632" s="68"/>
      <c r="L632" s="61"/>
      <c r="M632" s="61"/>
      <c r="N632" s="61"/>
      <c r="O632" s="61"/>
      <c r="P632" s="61"/>
      <c r="Q632" s="61"/>
      <c r="R632" s="61"/>
      <c r="S632" s="61"/>
    </row>
    <row r="633" spans="1:19" ht="15">
      <c r="A633" s="68"/>
      <c r="B633" s="61"/>
      <c r="C633" s="61"/>
      <c r="D633" s="61"/>
      <c r="E633" s="61"/>
      <c r="F633" s="61"/>
      <c r="G633" s="61"/>
      <c r="H633" s="91"/>
      <c r="I633" s="68"/>
      <c r="J633" s="68"/>
      <c r="K633" s="68"/>
      <c r="L633" s="61"/>
      <c r="M633" s="61"/>
      <c r="N633" s="61"/>
      <c r="O633" s="61"/>
      <c r="P633" s="61"/>
      <c r="Q633" s="61"/>
      <c r="R633" s="61"/>
      <c r="S633" s="61"/>
    </row>
    <row r="634" spans="1:19" ht="15">
      <c r="A634" s="68"/>
      <c r="B634" s="61"/>
      <c r="C634" s="61"/>
      <c r="D634" s="61"/>
      <c r="E634" s="61"/>
      <c r="F634" s="61"/>
      <c r="G634" s="61"/>
      <c r="H634" s="91"/>
      <c r="I634" s="68"/>
      <c r="J634" s="68"/>
      <c r="K634" s="68"/>
      <c r="L634" s="61"/>
      <c r="M634" s="61"/>
      <c r="N634" s="61"/>
      <c r="O634" s="61"/>
      <c r="P634" s="61"/>
      <c r="Q634" s="61"/>
      <c r="R634" s="61"/>
      <c r="S634" s="61"/>
    </row>
    <row r="635" spans="1:19" ht="15">
      <c r="A635" s="68"/>
      <c r="B635" s="61"/>
      <c r="C635" s="61"/>
      <c r="D635" s="61"/>
      <c r="E635" s="61"/>
      <c r="F635" s="61"/>
      <c r="G635" s="61"/>
      <c r="H635" s="91"/>
      <c r="I635" s="68"/>
      <c r="J635" s="68"/>
      <c r="K635" s="68"/>
      <c r="L635" s="61"/>
      <c r="M635" s="61"/>
      <c r="N635" s="61"/>
      <c r="O635" s="61"/>
      <c r="P635" s="61"/>
      <c r="Q635" s="61"/>
      <c r="R635" s="61"/>
      <c r="S635" s="61"/>
    </row>
    <row r="636" spans="1:19" ht="15">
      <c r="A636" s="68"/>
      <c r="B636" s="61"/>
      <c r="C636" s="61"/>
      <c r="D636" s="61"/>
      <c r="E636" s="61"/>
      <c r="F636" s="61"/>
      <c r="G636" s="61"/>
      <c r="H636" s="91"/>
      <c r="I636" s="68"/>
      <c r="J636" s="68"/>
      <c r="K636" s="68"/>
      <c r="L636" s="61"/>
      <c r="M636" s="61"/>
      <c r="N636" s="61"/>
      <c r="O636" s="61"/>
      <c r="P636" s="61"/>
      <c r="Q636" s="61"/>
      <c r="R636" s="61"/>
      <c r="S636" s="61"/>
    </row>
    <row r="637" spans="1:19" ht="15">
      <c r="A637" s="68"/>
      <c r="B637" s="61"/>
      <c r="C637" s="61"/>
      <c r="D637" s="61"/>
      <c r="E637" s="61"/>
      <c r="F637" s="61"/>
      <c r="G637" s="61"/>
      <c r="H637" s="91"/>
      <c r="I637" s="68"/>
      <c r="J637" s="68"/>
      <c r="K637" s="68"/>
      <c r="L637" s="61"/>
      <c r="M637" s="61"/>
      <c r="N637" s="61"/>
      <c r="O637" s="61"/>
      <c r="P637" s="61"/>
      <c r="Q637" s="61"/>
      <c r="R637" s="61"/>
      <c r="S637" s="61"/>
    </row>
    <row r="638" spans="1:19" ht="15">
      <c r="A638" s="68"/>
      <c r="B638" s="61"/>
      <c r="C638" s="61"/>
      <c r="D638" s="61"/>
      <c r="E638" s="61"/>
      <c r="F638" s="61"/>
      <c r="G638" s="61"/>
      <c r="H638" s="91"/>
      <c r="I638" s="68"/>
      <c r="J638" s="68"/>
      <c r="K638" s="68"/>
      <c r="L638" s="61"/>
      <c r="M638" s="61"/>
      <c r="N638" s="61"/>
      <c r="O638" s="61"/>
      <c r="P638" s="61"/>
      <c r="Q638" s="61"/>
      <c r="R638" s="61"/>
      <c r="S638" s="61"/>
    </row>
    <row r="639" spans="1:19" ht="15">
      <c r="A639" s="68"/>
      <c r="B639" s="61"/>
      <c r="C639" s="61"/>
      <c r="D639" s="61"/>
      <c r="E639" s="61"/>
      <c r="F639" s="61"/>
      <c r="G639" s="61"/>
      <c r="H639" s="91"/>
      <c r="I639" s="68"/>
      <c r="J639" s="68"/>
      <c r="K639" s="68"/>
      <c r="L639" s="61"/>
      <c r="M639" s="61"/>
      <c r="N639" s="61"/>
      <c r="O639" s="61"/>
      <c r="P639" s="61"/>
      <c r="Q639" s="61"/>
      <c r="R639" s="61"/>
      <c r="S639" s="61"/>
    </row>
    <row r="640" spans="1:19" ht="15">
      <c r="A640" s="68"/>
      <c r="B640" s="61"/>
      <c r="C640" s="61"/>
      <c r="D640" s="61"/>
      <c r="E640" s="61"/>
      <c r="F640" s="61"/>
      <c r="G640" s="61"/>
      <c r="H640" s="91"/>
      <c r="I640" s="68"/>
      <c r="J640" s="68"/>
      <c r="K640" s="68"/>
      <c r="L640" s="61"/>
      <c r="M640" s="61"/>
      <c r="N640" s="61"/>
      <c r="O640" s="61"/>
      <c r="P640" s="61"/>
      <c r="Q640" s="61"/>
      <c r="R640" s="61"/>
      <c r="S640" s="61"/>
    </row>
    <row r="641" spans="1:19" ht="15">
      <c r="A641" s="68"/>
      <c r="B641" s="61"/>
      <c r="C641" s="61"/>
      <c r="D641" s="61"/>
      <c r="E641" s="61"/>
      <c r="F641" s="61"/>
      <c r="G641" s="61"/>
      <c r="H641" s="91"/>
      <c r="I641" s="68"/>
      <c r="J641" s="68"/>
      <c r="K641" s="68"/>
      <c r="L641" s="61"/>
      <c r="M641" s="61"/>
      <c r="N641" s="61"/>
      <c r="O641" s="61"/>
      <c r="P641" s="61"/>
      <c r="Q641" s="61"/>
      <c r="R641" s="61"/>
      <c r="S641" s="61"/>
    </row>
    <row r="642" spans="1:19" ht="15">
      <c r="A642" s="68"/>
      <c r="B642" s="61"/>
      <c r="C642" s="61"/>
      <c r="D642" s="61"/>
      <c r="E642" s="61"/>
      <c r="F642" s="61"/>
      <c r="G642" s="61"/>
      <c r="H642" s="91"/>
      <c r="I642" s="68"/>
      <c r="J642" s="68"/>
      <c r="K642" s="68"/>
      <c r="L642" s="61"/>
      <c r="M642" s="61"/>
      <c r="N642" s="61"/>
      <c r="O642" s="61"/>
      <c r="P642" s="61"/>
      <c r="Q642" s="61"/>
      <c r="R642" s="61"/>
      <c r="S642" s="61"/>
    </row>
    <row r="643" spans="1:19" ht="15">
      <c r="A643" s="68"/>
      <c r="B643" s="61"/>
      <c r="C643" s="61"/>
      <c r="D643" s="61"/>
      <c r="E643" s="61"/>
      <c r="F643" s="61"/>
      <c r="G643" s="61"/>
      <c r="H643" s="91"/>
      <c r="I643" s="68"/>
      <c r="J643" s="68"/>
      <c r="K643" s="68"/>
      <c r="L643" s="61"/>
      <c r="M643" s="61"/>
      <c r="N643" s="61"/>
      <c r="O643" s="61"/>
      <c r="P643" s="61"/>
      <c r="Q643" s="61"/>
      <c r="R643" s="61"/>
      <c r="S643" s="61"/>
    </row>
    <row r="644" spans="1:19" ht="15">
      <c r="A644" s="68"/>
      <c r="B644" s="61"/>
      <c r="C644" s="61"/>
      <c r="D644" s="61"/>
      <c r="E644" s="61"/>
      <c r="F644" s="61"/>
      <c r="G644" s="61"/>
      <c r="H644" s="91"/>
      <c r="I644" s="68"/>
      <c r="J644" s="68"/>
      <c r="K644" s="68"/>
      <c r="L644" s="61"/>
      <c r="M644" s="61"/>
      <c r="N644" s="61"/>
      <c r="O644" s="61"/>
      <c r="P644" s="61"/>
      <c r="Q644" s="61"/>
      <c r="R644" s="61"/>
      <c r="S644" s="61"/>
    </row>
    <row r="645" spans="1:19" ht="15">
      <c r="A645" s="68"/>
      <c r="B645" s="61"/>
      <c r="C645" s="61"/>
      <c r="D645" s="61"/>
      <c r="E645" s="61"/>
      <c r="F645" s="61"/>
      <c r="G645" s="61"/>
      <c r="H645" s="91"/>
      <c r="I645" s="68"/>
      <c r="J645" s="68"/>
      <c r="K645" s="68"/>
      <c r="L645" s="61"/>
      <c r="M645" s="61"/>
      <c r="N645" s="61"/>
      <c r="O645" s="61"/>
      <c r="P645" s="61"/>
      <c r="Q645" s="61"/>
      <c r="R645" s="61"/>
      <c r="S645" s="61"/>
    </row>
    <row r="646" spans="1:19" ht="15">
      <c r="A646" s="68"/>
      <c r="B646" s="61"/>
      <c r="C646" s="61"/>
      <c r="D646" s="61"/>
      <c r="E646" s="61"/>
      <c r="F646" s="61"/>
      <c r="G646" s="61"/>
      <c r="H646" s="91"/>
      <c r="I646" s="68"/>
      <c r="J646" s="68"/>
      <c r="K646" s="68"/>
      <c r="L646" s="61"/>
      <c r="M646" s="61"/>
      <c r="N646" s="61"/>
      <c r="O646" s="61"/>
      <c r="P646" s="61"/>
      <c r="Q646" s="61"/>
      <c r="R646" s="61"/>
      <c r="S646" s="61"/>
    </row>
    <row r="647" spans="1:19" ht="15">
      <c r="A647" s="68"/>
      <c r="B647" s="61"/>
      <c r="C647" s="61"/>
      <c r="D647" s="61"/>
      <c r="E647" s="61"/>
      <c r="F647" s="61"/>
      <c r="G647" s="61"/>
      <c r="H647" s="91"/>
      <c r="I647" s="68"/>
      <c r="J647" s="68"/>
      <c r="K647" s="68"/>
      <c r="L647" s="61"/>
      <c r="M647" s="61"/>
      <c r="N647" s="61"/>
      <c r="O647" s="61"/>
      <c r="P647" s="61"/>
      <c r="Q647" s="61"/>
      <c r="R647" s="61"/>
      <c r="S647" s="61"/>
    </row>
    <row r="648" spans="1:19" ht="15">
      <c r="A648" s="68"/>
      <c r="B648" s="61"/>
      <c r="C648" s="61"/>
      <c r="D648" s="61"/>
      <c r="E648" s="61"/>
      <c r="F648" s="61"/>
      <c r="G648" s="61"/>
      <c r="H648" s="91"/>
      <c r="I648" s="68"/>
      <c r="J648" s="68"/>
      <c r="K648" s="68"/>
      <c r="L648" s="61"/>
      <c r="M648" s="61"/>
      <c r="N648" s="61"/>
      <c r="O648" s="61"/>
      <c r="P648" s="61"/>
      <c r="Q648" s="61"/>
      <c r="R648" s="61"/>
      <c r="S648" s="61"/>
    </row>
    <row r="649" spans="1:19" ht="15">
      <c r="A649" s="68"/>
      <c r="B649" s="61"/>
      <c r="C649" s="61"/>
      <c r="D649" s="61"/>
      <c r="E649" s="61"/>
      <c r="F649" s="61"/>
      <c r="G649" s="61"/>
      <c r="H649" s="91"/>
      <c r="I649" s="68"/>
      <c r="J649" s="68"/>
      <c r="K649" s="68"/>
      <c r="L649" s="61"/>
      <c r="M649" s="61"/>
      <c r="N649" s="61"/>
      <c r="O649" s="61"/>
      <c r="P649" s="61"/>
      <c r="Q649" s="61"/>
      <c r="R649" s="61"/>
      <c r="S649" s="61"/>
    </row>
    <row r="650" spans="1:19" ht="15">
      <c r="A650" s="68"/>
      <c r="B650" s="61"/>
      <c r="C650" s="61"/>
      <c r="D650" s="61"/>
      <c r="E650" s="61"/>
      <c r="F650" s="61"/>
      <c r="G650" s="61"/>
      <c r="H650" s="91"/>
      <c r="I650" s="68"/>
      <c r="J650" s="68"/>
      <c r="K650" s="68"/>
      <c r="L650" s="61"/>
      <c r="M650" s="61"/>
      <c r="N650" s="61"/>
      <c r="O650" s="61"/>
      <c r="P650" s="61"/>
      <c r="Q650" s="61"/>
      <c r="R650" s="61"/>
      <c r="S650" s="61"/>
    </row>
    <row r="651" spans="1:19" ht="15">
      <c r="A651" s="68"/>
      <c r="B651" s="61"/>
      <c r="C651" s="61"/>
      <c r="D651" s="61"/>
      <c r="E651" s="61"/>
      <c r="F651" s="61"/>
      <c r="G651" s="61"/>
      <c r="H651" s="91"/>
      <c r="I651" s="68"/>
      <c r="J651" s="68"/>
      <c r="K651" s="68"/>
      <c r="L651" s="61"/>
      <c r="M651" s="61"/>
      <c r="N651" s="61"/>
      <c r="O651" s="61"/>
      <c r="P651" s="61"/>
      <c r="Q651" s="61"/>
      <c r="R651" s="61"/>
      <c r="S651" s="61"/>
    </row>
    <row r="652" spans="1:19" ht="15">
      <c r="A652" s="68"/>
      <c r="B652" s="61"/>
      <c r="C652" s="61"/>
      <c r="D652" s="61"/>
      <c r="E652" s="61"/>
      <c r="F652" s="61"/>
      <c r="G652" s="61"/>
      <c r="H652" s="91"/>
      <c r="I652" s="68"/>
      <c r="J652" s="68"/>
      <c r="K652" s="68"/>
      <c r="L652" s="61"/>
      <c r="M652" s="61"/>
      <c r="N652" s="61"/>
      <c r="O652" s="61"/>
      <c r="P652" s="61"/>
      <c r="Q652" s="61"/>
      <c r="R652" s="61"/>
      <c r="S652" s="61"/>
    </row>
    <row r="653" spans="1:19" ht="15">
      <c r="A653" s="68"/>
      <c r="B653" s="61"/>
      <c r="C653" s="61"/>
      <c r="D653" s="61"/>
      <c r="E653" s="61"/>
      <c r="F653" s="61"/>
      <c r="G653" s="61"/>
      <c r="H653" s="91"/>
      <c r="I653" s="68"/>
      <c r="J653" s="68"/>
      <c r="K653" s="68"/>
      <c r="L653" s="61"/>
      <c r="M653" s="61"/>
      <c r="N653" s="61"/>
      <c r="O653" s="61"/>
      <c r="P653" s="61"/>
      <c r="Q653" s="61"/>
      <c r="R653" s="61"/>
      <c r="S653" s="61"/>
    </row>
    <row r="654" spans="1:19" ht="15">
      <c r="A654" s="68"/>
      <c r="B654" s="61"/>
      <c r="C654" s="61"/>
      <c r="D654" s="61"/>
      <c r="E654" s="61"/>
      <c r="F654" s="61"/>
      <c r="G654" s="61"/>
      <c r="H654" s="91"/>
      <c r="I654" s="68"/>
      <c r="J654" s="68"/>
      <c r="K654" s="68"/>
      <c r="L654" s="61"/>
      <c r="M654" s="61"/>
      <c r="N654" s="61"/>
      <c r="O654" s="61"/>
      <c r="P654" s="61"/>
      <c r="Q654" s="61"/>
      <c r="R654" s="61"/>
      <c r="S654" s="61"/>
    </row>
    <row r="655" spans="1:19" ht="15">
      <c r="A655" s="68"/>
      <c r="B655" s="61"/>
      <c r="C655" s="61"/>
      <c r="D655" s="61"/>
      <c r="E655" s="61"/>
      <c r="F655" s="61"/>
      <c r="G655" s="61"/>
      <c r="H655" s="91"/>
      <c r="I655" s="68"/>
      <c r="J655" s="68"/>
      <c r="K655" s="68"/>
      <c r="L655" s="61"/>
      <c r="M655" s="61"/>
      <c r="N655" s="61"/>
      <c r="O655" s="61"/>
      <c r="P655" s="61"/>
      <c r="Q655" s="61"/>
      <c r="R655" s="61"/>
      <c r="S655" s="61"/>
    </row>
    <row r="656" spans="1:19" ht="15">
      <c r="A656" s="68"/>
      <c r="B656" s="61"/>
      <c r="C656" s="61"/>
      <c r="D656" s="61"/>
      <c r="E656" s="61"/>
      <c r="F656" s="61"/>
      <c r="G656" s="61"/>
      <c r="H656" s="91"/>
      <c r="I656" s="68"/>
      <c r="J656" s="68"/>
      <c r="K656" s="68"/>
      <c r="L656" s="61"/>
      <c r="M656" s="61"/>
      <c r="N656" s="61"/>
      <c r="O656" s="61"/>
      <c r="P656" s="61"/>
      <c r="Q656" s="61"/>
      <c r="R656" s="61"/>
      <c r="S656" s="61"/>
    </row>
    <row r="657" spans="1:19" ht="15">
      <c r="A657" s="68"/>
      <c r="B657" s="61"/>
      <c r="C657" s="61"/>
      <c r="D657" s="61"/>
      <c r="E657" s="61"/>
      <c r="F657" s="61"/>
      <c r="G657" s="61"/>
      <c r="H657" s="91"/>
      <c r="I657" s="68"/>
      <c r="J657" s="68"/>
      <c r="K657" s="68"/>
      <c r="L657" s="61"/>
      <c r="M657" s="61"/>
      <c r="N657" s="61"/>
      <c r="O657" s="61"/>
      <c r="P657" s="61"/>
      <c r="Q657" s="61"/>
      <c r="R657" s="61"/>
      <c r="S657" s="61"/>
    </row>
    <row r="658" spans="1:19" ht="15">
      <c r="A658" s="68"/>
      <c r="B658" s="61"/>
      <c r="C658" s="61"/>
      <c r="D658" s="61"/>
      <c r="E658" s="61"/>
      <c r="F658" s="61"/>
      <c r="G658" s="61"/>
      <c r="H658" s="91"/>
      <c r="I658" s="68"/>
      <c r="J658" s="68"/>
      <c r="K658" s="68"/>
      <c r="L658" s="61"/>
      <c r="M658" s="61"/>
      <c r="N658" s="61"/>
      <c r="O658" s="61"/>
      <c r="P658" s="61"/>
      <c r="Q658" s="61"/>
      <c r="R658" s="61"/>
      <c r="S658" s="61"/>
    </row>
    <row r="659" spans="1:19" ht="15">
      <c r="A659" s="68"/>
      <c r="B659" s="61"/>
      <c r="C659" s="61"/>
      <c r="D659" s="61"/>
      <c r="E659" s="61"/>
      <c r="F659" s="61"/>
      <c r="G659" s="61"/>
      <c r="H659" s="91"/>
      <c r="I659" s="68"/>
      <c r="J659" s="68"/>
      <c r="K659" s="68"/>
      <c r="L659" s="61"/>
      <c r="M659" s="61"/>
      <c r="N659" s="61"/>
      <c r="O659" s="61"/>
      <c r="P659" s="61"/>
      <c r="Q659" s="61"/>
      <c r="R659" s="61"/>
      <c r="S659" s="61"/>
    </row>
    <row r="660" spans="1:19" ht="15">
      <c r="A660" s="68"/>
      <c r="B660" s="61"/>
      <c r="C660" s="61"/>
      <c r="D660" s="61"/>
      <c r="E660" s="61"/>
      <c r="F660" s="61"/>
      <c r="G660" s="61"/>
      <c r="H660" s="91"/>
      <c r="I660" s="68"/>
      <c r="J660" s="68"/>
      <c r="K660" s="68"/>
      <c r="L660" s="61"/>
      <c r="M660" s="61"/>
      <c r="N660" s="61"/>
      <c r="O660" s="61"/>
      <c r="P660" s="61"/>
      <c r="Q660" s="61"/>
      <c r="R660" s="61"/>
      <c r="S660" s="61"/>
    </row>
    <row r="661" spans="1:19" ht="15">
      <c r="A661" s="68"/>
      <c r="B661" s="61"/>
      <c r="C661" s="61"/>
      <c r="D661" s="61"/>
      <c r="E661" s="61"/>
      <c r="F661" s="61"/>
      <c r="G661" s="61"/>
      <c r="H661" s="91"/>
      <c r="I661" s="68"/>
      <c r="J661" s="68"/>
      <c r="K661" s="68"/>
      <c r="L661" s="61"/>
      <c r="M661" s="61"/>
      <c r="N661" s="61"/>
      <c r="O661" s="61"/>
      <c r="P661" s="61"/>
      <c r="Q661" s="61"/>
      <c r="R661" s="61"/>
      <c r="S661" s="61"/>
    </row>
    <row r="662" spans="1:19" ht="15">
      <c r="A662" s="68"/>
      <c r="B662" s="61"/>
      <c r="C662" s="61"/>
      <c r="D662" s="61"/>
      <c r="E662" s="61"/>
      <c r="F662" s="61"/>
      <c r="G662" s="61"/>
      <c r="H662" s="91"/>
      <c r="I662" s="68"/>
      <c r="J662" s="68"/>
      <c r="K662" s="68"/>
      <c r="L662" s="61"/>
      <c r="M662" s="61"/>
      <c r="N662" s="61"/>
      <c r="O662" s="61"/>
      <c r="P662" s="61"/>
      <c r="Q662" s="61"/>
      <c r="R662" s="61"/>
      <c r="S662" s="61"/>
    </row>
    <row r="663" spans="1:19" ht="15">
      <c r="A663" s="68"/>
      <c r="B663" s="61"/>
      <c r="C663" s="61"/>
      <c r="D663" s="61"/>
      <c r="E663" s="61"/>
      <c r="F663" s="61"/>
      <c r="G663" s="61"/>
      <c r="H663" s="91"/>
      <c r="I663" s="68"/>
      <c r="J663" s="68"/>
      <c r="K663" s="68"/>
      <c r="L663" s="61"/>
      <c r="M663" s="61"/>
      <c r="N663" s="61"/>
      <c r="O663" s="61"/>
      <c r="P663" s="61"/>
      <c r="Q663" s="61"/>
      <c r="R663" s="61"/>
      <c r="S663" s="61"/>
    </row>
    <row r="664" spans="1:19" ht="15">
      <c r="A664" s="68"/>
      <c r="B664" s="61"/>
      <c r="C664" s="61"/>
      <c r="D664" s="61"/>
      <c r="E664" s="61"/>
      <c r="F664" s="61"/>
      <c r="G664" s="61"/>
      <c r="H664" s="91"/>
      <c r="I664" s="68"/>
      <c r="J664" s="68"/>
      <c r="K664" s="68"/>
      <c r="L664" s="61"/>
      <c r="M664" s="61"/>
      <c r="N664" s="61"/>
      <c r="O664" s="61"/>
      <c r="P664" s="61"/>
      <c r="Q664" s="61"/>
      <c r="R664" s="61"/>
      <c r="S664" s="61"/>
    </row>
    <row r="665" spans="1:19" ht="15">
      <c r="A665" s="68"/>
      <c r="B665" s="61"/>
      <c r="C665" s="61"/>
      <c r="D665" s="61"/>
      <c r="E665" s="61"/>
      <c r="F665" s="61"/>
      <c r="G665" s="61"/>
      <c r="H665" s="91"/>
      <c r="I665" s="68"/>
      <c r="J665" s="68"/>
      <c r="K665" s="68"/>
      <c r="L665" s="61"/>
      <c r="M665" s="61"/>
      <c r="N665" s="61"/>
      <c r="O665" s="61"/>
      <c r="P665" s="61"/>
      <c r="Q665" s="61"/>
      <c r="R665" s="61"/>
      <c r="S665" s="61"/>
    </row>
    <row r="666" spans="1:19" ht="15">
      <c r="A666" s="68"/>
      <c r="B666" s="61"/>
      <c r="C666" s="61"/>
      <c r="D666" s="61"/>
      <c r="E666" s="61"/>
      <c r="F666" s="61"/>
      <c r="G666" s="61"/>
      <c r="H666" s="91"/>
      <c r="I666" s="68"/>
      <c r="J666" s="68"/>
      <c r="K666" s="68"/>
      <c r="L666" s="61"/>
      <c r="M666" s="61"/>
      <c r="N666" s="61"/>
      <c r="O666" s="61"/>
      <c r="P666" s="61"/>
      <c r="Q666" s="61"/>
      <c r="R666" s="61"/>
      <c r="S666" s="61"/>
    </row>
    <row r="667" spans="1:19" ht="15">
      <c r="A667" s="68"/>
      <c r="B667" s="61"/>
      <c r="C667" s="61"/>
      <c r="D667" s="61"/>
      <c r="E667" s="61"/>
      <c r="F667" s="61"/>
      <c r="G667" s="61"/>
      <c r="H667" s="91"/>
      <c r="I667" s="68"/>
      <c r="J667" s="68"/>
      <c r="K667" s="68"/>
      <c r="L667" s="61"/>
      <c r="M667" s="61"/>
      <c r="N667" s="61"/>
      <c r="O667" s="61"/>
      <c r="P667" s="61"/>
      <c r="Q667" s="61"/>
      <c r="R667" s="61"/>
      <c r="S667" s="61"/>
    </row>
    <row r="668" spans="1:19" ht="15">
      <c r="A668" s="68"/>
      <c r="B668" s="61"/>
      <c r="C668" s="61"/>
      <c r="D668" s="61"/>
      <c r="E668" s="61"/>
      <c r="F668" s="61"/>
      <c r="G668" s="61"/>
      <c r="H668" s="91"/>
      <c r="I668" s="68"/>
      <c r="J668" s="68"/>
      <c r="K668" s="68"/>
      <c r="L668" s="61"/>
      <c r="M668" s="61"/>
      <c r="N668" s="61"/>
      <c r="O668" s="61"/>
      <c r="P668" s="61"/>
      <c r="Q668" s="61"/>
      <c r="R668" s="61"/>
      <c r="S668" s="61"/>
    </row>
    <row r="669" spans="1:19" ht="15">
      <c r="A669" s="68"/>
      <c r="B669" s="61"/>
      <c r="C669" s="61"/>
      <c r="D669" s="61"/>
      <c r="E669" s="61"/>
      <c r="F669" s="61"/>
      <c r="G669" s="61"/>
      <c r="H669" s="91"/>
      <c r="I669" s="68"/>
      <c r="J669" s="68"/>
      <c r="K669" s="68"/>
      <c r="L669" s="61"/>
      <c r="M669" s="61"/>
      <c r="N669" s="61"/>
      <c r="O669" s="61"/>
      <c r="P669" s="61"/>
      <c r="Q669" s="61"/>
      <c r="R669" s="61"/>
      <c r="S669" s="61"/>
    </row>
    <row r="670" spans="1:19" ht="15">
      <c r="A670" s="68"/>
      <c r="B670" s="61"/>
      <c r="C670" s="61"/>
      <c r="D670" s="61"/>
      <c r="E670" s="61"/>
      <c r="F670" s="61"/>
      <c r="G670" s="61"/>
      <c r="H670" s="91"/>
      <c r="I670" s="68"/>
      <c r="J670" s="68"/>
      <c r="K670" s="68"/>
      <c r="L670" s="61"/>
      <c r="M670" s="61"/>
      <c r="N670" s="61"/>
      <c r="O670" s="61"/>
      <c r="P670" s="61"/>
      <c r="Q670" s="61"/>
      <c r="R670" s="61"/>
      <c r="S670" s="61"/>
    </row>
    <row r="671" spans="1:19" ht="15">
      <c r="A671" s="68"/>
      <c r="B671" s="61"/>
      <c r="C671" s="61"/>
      <c r="D671" s="61"/>
      <c r="E671" s="61"/>
      <c r="F671" s="61"/>
      <c r="G671" s="61"/>
      <c r="H671" s="91"/>
      <c r="I671" s="68"/>
      <c r="J671" s="68"/>
      <c r="K671" s="68"/>
      <c r="L671" s="61"/>
      <c r="M671" s="61"/>
      <c r="N671" s="61"/>
      <c r="O671" s="61"/>
      <c r="P671" s="61"/>
      <c r="Q671" s="61"/>
      <c r="R671" s="61"/>
      <c r="S671" s="61"/>
    </row>
    <row r="672" spans="1:19" ht="15">
      <c r="A672" s="68"/>
      <c r="B672" s="61"/>
      <c r="C672" s="61"/>
      <c r="D672" s="61"/>
      <c r="E672" s="61"/>
      <c r="F672" s="61"/>
      <c r="G672" s="61"/>
      <c r="H672" s="91"/>
      <c r="I672" s="68"/>
      <c r="J672" s="68"/>
      <c r="K672" s="68"/>
      <c r="L672" s="61"/>
      <c r="M672" s="61"/>
      <c r="N672" s="61"/>
      <c r="O672" s="61"/>
      <c r="P672" s="61"/>
      <c r="Q672" s="61"/>
      <c r="R672" s="61"/>
      <c r="S672" s="61"/>
    </row>
    <row r="673" spans="1:19" ht="15">
      <c r="A673" s="68"/>
      <c r="B673" s="61"/>
      <c r="C673" s="61"/>
      <c r="D673" s="61"/>
      <c r="E673" s="61"/>
      <c r="F673" s="61"/>
      <c r="G673" s="61"/>
      <c r="H673" s="91"/>
      <c r="I673" s="68"/>
      <c r="J673" s="68"/>
      <c r="K673" s="68"/>
      <c r="L673" s="61"/>
      <c r="M673" s="61"/>
      <c r="N673" s="61"/>
      <c r="O673" s="61"/>
      <c r="P673" s="61"/>
      <c r="Q673" s="61"/>
      <c r="R673" s="61"/>
      <c r="S673" s="61"/>
    </row>
    <row r="674" spans="1:19" ht="15">
      <c r="A674" s="68"/>
      <c r="B674" s="61"/>
      <c r="C674" s="61"/>
      <c r="D674" s="61"/>
      <c r="E674" s="61"/>
      <c r="F674" s="61"/>
      <c r="G674" s="61"/>
      <c r="H674" s="91"/>
      <c r="I674" s="68"/>
      <c r="J674" s="68"/>
      <c r="K674" s="68"/>
      <c r="L674" s="61"/>
      <c r="M674" s="61"/>
      <c r="N674" s="61"/>
      <c r="O674" s="61"/>
      <c r="P674" s="61"/>
      <c r="Q674" s="61"/>
      <c r="R674" s="61"/>
      <c r="S674" s="61"/>
    </row>
    <row r="675" spans="1:19" ht="15">
      <c r="A675" s="68"/>
      <c r="B675" s="61"/>
      <c r="C675" s="61"/>
      <c r="D675" s="61"/>
      <c r="E675" s="61"/>
      <c r="F675" s="61"/>
      <c r="G675" s="61"/>
      <c r="H675" s="91"/>
      <c r="I675" s="68"/>
      <c r="J675" s="68"/>
      <c r="K675" s="68"/>
      <c r="L675" s="61"/>
      <c r="M675" s="61"/>
      <c r="N675" s="61"/>
      <c r="O675" s="61"/>
      <c r="P675" s="61"/>
      <c r="Q675" s="61"/>
      <c r="R675" s="61"/>
      <c r="S675" s="61"/>
    </row>
    <row r="676" spans="1:19" ht="15">
      <c r="A676" s="68"/>
      <c r="B676" s="61"/>
      <c r="C676" s="61"/>
      <c r="D676" s="61"/>
      <c r="E676" s="61"/>
      <c r="F676" s="61"/>
      <c r="G676" s="61"/>
      <c r="H676" s="91"/>
      <c r="I676" s="68"/>
      <c r="J676" s="68"/>
      <c r="K676" s="68"/>
      <c r="L676" s="61"/>
      <c r="M676" s="61"/>
      <c r="N676" s="61"/>
      <c r="O676" s="61"/>
      <c r="P676" s="61"/>
      <c r="Q676" s="61"/>
      <c r="R676" s="61"/>
      <c r="S676" s="61"/>
    </row>
    <row r="677" spans="1:19" ht="15">
      <c r="A677" s="68"/>
      <c r="B677" s="61"/>
      <c r="C677" s="61"/>
      <c r="D677" s="61"/>
      <c r="E677" s="61"/>
      <c r="F677" s="61"/>
      <c r="G677" s="61"/>
      <c r="H677" s="91"/>
      <c r="I677" s="68"/>
      <c r="J677" s="68"/>
      <c r="K677" s="68"/>
      <c r="L677" s="61"/>
      <c r="M677" s="61"/>
      <c r="N677" s="61"/>
      <c r="O677" s="61"/>
      <c r="P677" s="61"/>
      <c r="Q677" s="61"/>
      <c r="R677" s="61"/>
      <c r="S677" s="61"/>
    </row>
    <row r="678" spans="1:19" ht="15">
      <c r="A678" s="68"/>
      <c r="B678" s="61"/>
      <c r="C678" s="61"/>
      <c r="D678" s="61"/>
      <c r="E678" s="61"/>
      <c r="F678" s="61"/>
      <c r="G678" s="61"/>
      <c r="H678" s="91"/>
      <c r="I678" s="68"/>
      <c r="J678" s="68"/>
      <c r="K678" s="68"/>
      <c r="L678" s="61"/>
      <c r="M678" s="61"/>
      <c r="N678" s="61"/>
      <c r="O678" s="61"/>
      <c r="P678" s="61"/>
      <c r="Q678" s="61"/>
      <c r="R678" s="61"/>
      <c r="S678" s="61"/>
    </row>
    <row r="679" spans="1:19" ht="15">
      <c r="A679" s="68"/>
      <c r="B679" s="61"/>
      <c r="C679" s="61"/>
      <c r="D679" s="61"/>
      <c r="E679" s="61"/>
      <c r="F679" s="61"/>
      <c r="G679" s="61"/>
      <c r="H679" s="91"/>
      <c r="I679" s="68"/>
      <c r="J679" s="68"/>
      <c r="K679" s="68"/>
      <c r="L679" s="61"/>
      <c r="M679" s="61"/>
      <c r="N679" s="61"/>
      <c r="O679" s="61"/>
      <c r="P679" s="61"/>
      <c r="Q679" s="61"/>
      <c r="R679" s="61"/>
      <c r="S679" s="61"/>
    </row>
    <row r="680" spans="1:19" ht="15">
      <c r="A680" s="68"/>
      <c r="B680" s="61"/>
      <c r="C680" s="61"/>
      <c r="D680" s="61"/>
      <c r="E680" s="61"/>
      <c r="F680" s="61"/>
      <c r="G680" s="61"/>
      <c r="H680" s="91"/>
      <c r="I680" s="68"/>
      <c r="J680" s="68"/>
      <c r="K680" s="68"/>
      <c r="L680" s="61"/>
      <c r="M680" s="61"/>
      <c r="N680" s="61"/>
      <c r="O680" s="61"/>
      <c r="P680" s="61"/>
      <c r="Q680" s="61"/>
      <c r="R680" s="61"/>
      <c r="S680" s="61"/>
    </row>
    <row r="681" spans="1:19" ht="15">
      <c r="A681" s="68"/>
      <c r="B681" s="61"/>
      <c r="C681" s="61"/>
      <c r="D681" s="61"/>
      <c r="E681" s="61"/>
      <c r="F681" s="61"/>
      <c r="G681" s="61"/>
      <c r="H681" s="91"/>
      <c r="I681" s="68"/>
      <c r="J681" s="68"/>
      <c r="K681" s="68"/>
      <c r="L681" s="61"/>
      <c r="M681" s="61"/>
      <c r="N681" s="61"/>
      <c r="O681" s="61"/>
      <c r="P681" s="61"/>
      <c r="Q681" s="61"/>
      <c r="R681" s="61"/>
      <c r="S681" s="61"/>
    </row>
    <row r="682" spans="1:19" ht="15">
      <c r="A682" s="68"/>
      <c r="B682" s="61"/>
      <c r="C682" s="61"/>
      <c r="D682" s="61"/>
      <c r="E682" s="61"/>
      <c r="F682" s="61"/>
      <c r="G682" s="61"/>
      <c r="H682" s="91"/>
      <c r="I682" s="68"/>
      <c r="J682" s="68"/>
      <c r="K682" s="68"/>
      <c r="L682" s="61"/>
      <c r="M682" s="61"/>
      <c r="N682" s="61"/>
      <c r="O682" s="61"/>
      <c r="P682" s="61"/>
      <c r="Q682" s="61"/>
      <c r="R682" s="61"/>
      <c r="S682" s="61"/>
    </row>
    <row r="683" spans="1:19" ht="15">
      <c r="A683" s="68"/>
      <c r="B683" s="61"/>
      <c r="C683" s="61"/>
      <c r="D683" s="61"/>
      <c r="E683" s="61"/>
      <c r="F683" s="61"/>
      <c r="G683" s="61"/>
      <c r="H683" s="91"/>
      <c r="I683" s="68"/>
      <c r="J683" s="68"/>
      <c r="K683" s="68"/>
      <c r="L683" s="61"/>
      <c r="M683" s="61"/>
      <c r="N683" s="61"/>
      <c r="O683" s="61"/>
      <c r="P683" s="61"/>
      <c r="Q683" s="61"/>
      <c r="R683" s="61"/>
      <c r="S683" s="61"/>
    </row>
    <row r="684" spans="1:19" ht="15">
      <c r="A684" s="68"/>
      <c r="B684" s="61"/>
      <c r="C684" s="61"/>
      <c r="D684" s="61"/>
      <c r="E684" s="61"/>
      <c r="F684" s="61"/>
      <c r="G684" s="61"/>
      <c r="H684" s="91"/>
      <c r="I684" s="68"/>
      <c r="J684" s="68"/>
      <c r="K684" s="68"/>
      <c r="L684" s="61"/>
      <c r="M684" s="61"/>
      <c r="N684" s="61"/>
      <c r="O684" s="61"/>
      <c r="P684" s="61"/>
      <c r="Q684" s="61"/>
      <c r="R684" s="61"/>
      <c r="S684" s="61"/>
    </row>
    <row r="685" spans="1:19" ht="15">
      <c r="A685" s="68"/>
      <c r="B685" s="61"/>
      <c r="C685" s="61"/>
      <c r="D685" s="61"/>
      <c r="E685" s="61"/>
      <c r="F685" s="61"/>
      <c r="G685" s="61"/>
      <c r="H685" s="91"/>
      <c r="I685" s="68"/>
      <c r="J685" s="68"/>
      <c r="K685" s="68"/>
      <c r="L685" s="61"/>
      <c r="M685" s="61"/>
      <c r="N685" s="61"/>
      <c r="O685" s="61"/>
      <c r="P685" s="61"/>
      <c r="Q685" s="61"/>
      <c r="R685" s="61"/>
      <c r="S685" s="61"/>
    </row>
    <row r="686" spans="1:19" ht="15">
      <c r="A686" s="68"/>
      <c r="B686" s="61"/>
      <c r="C686" s="61"/>
      <c r="D686" s="61"/>
      <c r="E686" s="61"/>
      <c r="F686" s="61"/>
      <c r="G686" s="61"/>
      <c r="H686" s="91"/>
      <c r="I686" s="68"/>
      <c r="J686" s="68"/>
      <c r="K686" s="68"/>
      <c r="L686" s="61"/>
      <c r="M686" s="61"/>
      <c r="N686" s="61"/>
      <c r="O686" s="61"/>
      <c r="P686" s="61"/>
      <c r="Q686" s="61"/>
      <c r="R686" s="61"/>
      <c r="S686" s="61"/>
    </row>
    <row r="687" spans="1:19" ht="15">
      <c r="A687" s="68"/>
      <c r="B687" s="61"/>
      <c r="C687" s="61"/>
      <c r="D687" s="61"/>
      <c r="E687" s="61"/>
      <c r="F687" s="61"/>
      <c r="G687" s="61"/>
      <c r="H687" s="91"/>
      <c r="I687" s="68"/>
      <c r="J687" s="68"/>
      <c r="K687" s="68"/>
      <c r="L687" s="61"/>
      <c r="M687" s="61"/>
      <c r="N687" s="61"/>
      <c r="O687" s="61"/>
      <c r="P687" s="61"/>
      <c r="Q687" s="61"/>
      <c r="R687" s="61"/>
      <c r="S687" s="61"/>
    </row>
    <row r="688" spans="1:19" ht="15">
      <c r="A688" s="68"/>
      <c r="B688" s="61"/>
      <c r="C688" s="61"/>
      <c r="D688" s="61"/>
      <c r="E688" s="61"/>
      <c r="F688" s="61"/>
      <c r="G688" s="61"/>
      <c r="H688" s="91"/>
      <c r="I688" s="68"/>
      <c r="J688" s="68"/>
      <c r="K688" s="68"/>
      <c r="L688" s="61"/>
      <c r="M688" s="61"/>
      <c r="N688" s="61"/>
      <c r="O688" s="61"/>
      <c r="P688" s="61"/>
      <c r="Q688" s="61"/>
      <c r="R688" s="61"/>
      <c r="S688" s="61"/>
    </row>
    <row r="689" spans="1:19" ht="15">
      <c r="A689" s="68"/>
      <c r="B689" s="61"/>
      <c r="C689" s="61"/>
      <c r="D689" s="61"/>
      <c r="E689" s="61"/>
      <c r="F689" s="61"/>
      <c r="G689" s="61"/>
      <c r="H689" s="91"/>
      <c r="I689" s="68"/>
      <c r="J689" s="68"/>
      <c r="K689" s="68"/>
      <c r="L689" s="61"/>
      <c r="M689" s="61"/>
      <c r="N689" s="61"/>
      <c r="O689" s="61"/>
      <c r="P689" s="61"/>
      <c r="Q689" s="61"/>
      <c r="R689" s="61"/>
      <c r="S689" s="61"/>
    </row>
    <row r="690" spans="1:19" ht="15">
      <c r="A690" s="68"/>
      <c r="B690" s="61"/>
      <c r="C690" s="61"/>
      <c r="D690" s="61"/>
      <c r="E690" s="61"/>
      <c r="F690" s="61"/>
      <c r="G690" s="61"/>
      <c r="H690" s="91"/>
      <c r="I690" s="68"/>
      <c r="J690" s="68"/>
      <c r="K690" s="68"/>
      <c r="L690" s="61"/>
      <c r="M690" s="61"/>
      <c r="N690" s="61"/>
      <c r="O690" s="61"/>
      <c r="P690" s="61"/>
      <c r="Q690" s="61"/>
      <c r="R690" s="61"/>
      <c r="S690" s="61"/>
    </row>
    <row r="691" spans="1:19" ht="15">
      <c r="A691" s="68"/>
      <c r="B691" s="61"/>
      <c r="C691" s="61"/>
      <c r="D691" s="61"/>
      <c r="E691" s="61"/>
      <c r="F691" s="61"/>
      <c r="G691" s="61"/>
      <c r="H691" s="91"/>
      <c r="I691" s="68"/>
      <c r="J691" s="68"/>
      <c r="K691" s="68"/>
      <c r="L691" s="61"/>
      <c r="M691" s="61"/>
      <c r="N691" s="61"/>
      <c r="O691" s="61"/>
      <c r="P691" s="61"/>
      <c r="Q691" s="61"/>
      <c r="R691" s="61"/>
      <c r="S691" s="61"/>
    </row>
    <row r="692" spans="1:19" ht="15">
      <c r="A692" s="68"/>
      <c r="B692" s="61"/>
      <c r="C692" s="61"/>
      <c r="D692" s="61"/>
      <c r="E692" s="61"/>
      <c r="F692" s="61"/>
      <c r="G692" s="61"/>
      <c r="H692" s="91"/>
      <c r="I692" s="68"/>
      <c r="J692" s="68"/>
      <c r="K692" s="68"/>
      <c r="L692" s="61"/>
      <c r="M692" s="61"/>
      <c r="N692" s="61"/>
      <c r="O692" s="61"/>
      <c r="P692" s="61"/>
      <c r="Q692" s="61"/>
      <c r="R692" s="61"/>
      <c r="S692" s="61"/>
    </row>
    <row r="693" spans="1:19" ht="15">
      <c r="A693" s="68"/>
      <c r="B693" s="61"/>
      <c r="C693" s="61"/>
      <c r="D693" s="61"/>
      <c r="E693" s="61"/>
      <c r="F693" s="61"/>
      <c r="G693" s="61"/>
      <c r="H693" s="91"/>
      <c r="I693" s="68"/>
      <c r="J693" s="68"/>
      <c r="K693" s="68"/>
      <c r="L693" s="61"/>
      <c r="M693" s="61"/>
      <c r="N693" s="61"/>
      <c r="O693" s="61"/>
      <c r="P693" s="61"/>
      <c r="Q693" s="61"/>
      <c r="R693" s="61"/>
      <c r="S693" s="61"/>
    </row>
    <row r="694" spans="1:19" ht="15">
      <c r="A694" s="68"/>
      <c r="B694" s="61"/>
      <c r="C694" s="61"/>
      <c r="D694" s="61"/>
      <c r="E694" s="61"/>
      <c r="F694" s="61"/>
      <c r="G694" s="61"/>
      <c r="H694" s="91"/>
      <c r="I694" s="68"/>
      <c r="J694" s="68"/>
      <c r="K694" s="68"/>
      <c r="L694" s="61"/>
      <c r="M694" s="61"/>
      <c r="N694" s="61"/>
      <c r="O694" s="61"/>
      <c r="P694" s="61"/>
      <c r="Q694" s="61"/>
      <c r="R694" s="61"/>
      <c r="S694" s="61"/>
    </row>
    <row r="695" spans="1:19" ht="15">
      <c r="A695" s="68"/>
      <c r="B695" s="61"/>
      <c r="C695" s="61"/>
      <c r="D695" s="61"/>
      <c r="E695" s="61"/>
      <c r="F695" s="61"/>
      <c r="G695" s="61"/>
      <c r="H695" s="91"/>
      <c r="I695" s="68"/>
      <c r="J695" s="68"/>
      <c r="K695" s="68"/>
      <c r="L695" s="61"/>
      <c r="M695" s="61"/>
      <c r="N695" s="61"/>
      <c r="O695" s="61"/>
      <c r="P695" s="61"/>
      <c r="Q695" s="61"/>
      <c r="R695" s="61"/>
      <c r="S695" s="61"/>
    </row>
    <row r="696" spans="1:19" ht="15">
      <c r="A696" s="68"/>
      <c r="B696" s="61"/>
      <c r="C696" s="61"/>
      <c r="D696" s="61"/>
      <c r="E696" s="61"/>
      <c r="F696" s="61"/>
      <c r="G696" s="61"/>
      <c r="H696" s="91"/>
      <c r="I696" s="68"/>
      <c r="J696" s="68"/>
      <c r="K696" s="68"/>
      <c r="L696" s="61"/>
      <c r="M696" s="61"/>
      <c r="N696" s="61"/>
      <c r="O696" s="61"/>
      <c r="P696" s="61"/>
      <c r="Q696" s="61"/>
      <c r="R696" s="61"/>
      <c r="S696" s="61"/>
    </row>
    <row r="697" spans="1:19" ht="15">
      <c r="A697" s="68"/>
      <c r="B697" s="61"/>
      <c r="C697" s="61"/>
      <c r="D697" s="61"/>
      <c r="E697" s="61"/>
      <c r="F697" s="61"/>
      <c r="G697" s="61"/>
      <c r="H697" s="91"/>
      <c r="I697" s="68"/>
      <c r="J697" s="68"/>
      <c r="K697" s="68"/>
      <c r="L697" s="61"/>
      <c r="M697" s="61"/>
      <c r="N697" s="61"/>
      <c r="O697" s="61"/>
      <c r="P697" s="61"/>
      <c r="Q697" s="61"/>
      <c r="R697" s="61"/>
      <c r="S697" s="61"/>
    </row>
    <row r="698" spans="1:19" ht="15">
      <c r="A698" s="68"/>
      <c r="B698" s="61"/>
      <c r="C698" s="61"/>
      <c r="D698" s="61"/>
      <c r="E698" s="61"/>
      <c r="F698" s="61"/>
      <c r="G698" s="61"/>
      <c r="H698" s="91"/>
      <c r="I698" s="68"/>
      <c r="J698" s="68"/>
      <c r="K698" s="68"/>
      <c r="L698" s="61"/>
      <c r="M698" s="61"/>
      <c r="N698" s="61"/>
      <c r="O698" s="61"/>
      <c r="P698" s="61"/>
      <c r="Q698" s="61"/>
      <c r="R698" s="61"/>
      <c r="S698" s="61"/>
    </row>
    <row r="699" spans="1:19" ht="15">
      <c r="A699" s="68"/>
      <c r="B699" s="61"/>
      <c r="C699" s="61"/>
      <c r="D699" s="61"/>
      <c r="E699" s="61"/>
      <c r="F699" s="61"/>
      <c r="G699" s="61"/>
      <c r="H699" s="91"/>
      <c r="I699" s="68"/>
      <c r="J699" s="68"/>
      <c r="K699" s="68"/>
      <c r="L699" s="61"/>
      <c r="M699" s="61"/>
      <c r="N699" s="61"/>
      <c r="O699" s="61"/>
      <c r="P699" s="61"/>
      <c r="Q699" s="61"/>
      <c r="R699" s="61"/>
      <c r="S699" s="61"/>
    </row>
    <row r="700" spans="1:19" ht="15">
      <c r="A700" s="68"/>
      <c r="B700" s="61"/>
      <c r="C700" s="61"/>
      <c r="D700" s="61"/>
      <c r="E700" s="61"/>
      <c r="F700" s="61"/>
      <c r="G700" s="61"/>
      <c r="H700" s="91"/>
      <c r="I700" s="68"/>
      <c r="J700" s="68"/>
      <c r="K700" s="68"/>
      <c r="L700" s="61"/>
      <c r="M700" s="61"/>
      <c r="N700" s="61"/>
      <c r="O700" s="61"/>
      <c r="P700" s="61"/>
      <c r="Q700" s="61"/>
      <c r="R700" s="61"/>
      <c r="S700" s="61"/>
    </row>
    <row r="701" spans="1:19" ht="15">
      <c r="A701" s="68"/>
      <c r="B701" s="61"/>
      <c r="C701" s="61"/>
      <c r="D701" s="61"/>
      <c r="E701" s="61"/>
      <c r="F701" s="61"/>
      <c r="G701" s="61"/>
      <c r="H701" s="91"/>
      <c r="I701" s="68"/>
      <c r="J701" s="68"/>
      <c r="K701" s="68"/>
      <c r="L701" s="61"/>
      <c r="M701" s="61"/>
      <c r="N701" s="61"/>
      <c r="O701" s="61"/>
      <c r="P701" s="61"/>
      <c r="Q701" s="61"/>
      <c r="R701" s="61"/>
      <c r="S701" s="61"/>
    </row>
    <row r="702" spans="1:19" ht="15">
      <c r="A702" s="68"/>
      <c r="B702" s="61"/>
      <c r="C702" s="61"/>
      <c r="D702" s="61"/>
      <c r="E702" s="61"/>
      <c r="F702" s="61"/>
      <c r="G702" s="61"/>
      <c r="H702" s="91"/>
      <c r="I702" s="68"/>
      <c r="J702" s="68"/>
      <c r="K702" s="68"/>
      <c r="L702" s="61"/>
      <c r="M702" s="61"/>
      <c r="N702" s="61"/>
      <c r="O702" s="61"/>
      <c r="P702" s="61"/>
      <c r="Q702" s="61"/>
      <c r="R702" s="61"/>
      <c r="S702" s="61"/>
    </row>
    <row r="703" spans="1:19" ht="15">
      <c r="A703" s="68"/>
      <c r="B703" s="61"/>
      <c r="C703" s="61"/>
      <c r="D703" s="61"/>
      <c r="E703" s="61"/>
      <c r="F703" s="61"/>
      <c r="G703" s="61"/>
      <c r="H703" s="91"/>
      <c r="I703" s="68"/>
      <c r="J703" s="68"/>
      <c r="K703" s="68"/>
      <c r="L703" s="61"/>
      <c r="M703" s="61"/>
      <c r="N703" s="61"/>
      <c r="O703" s="61"/>
      <c r="P703" s="61"/>
      <c r="Q703" s="61"/>
      <c r="R703" s="61"/>
      <c r="S703" s="61"/>
    </row>
    <row r="704" spans="1:19" ht="15">
      <c r="A704" s="68"/>
      <c r="B704" s="61"/>
      <c r="C704" s="61"/>
      <c r="D704" s="61"/>
      <c r="E704" s="61"/>
      <c r="F704" s="61"/>
      <c r="G704" s="61"/>
      <c r="H704" s="91"/>
      <c r="I704" s="68"/>
      <c r="J704" s="68"/>
      <c r="K704" s="68"/>
      <c r="L704" s="61"/>
      <c r="M704" s="61"/>
      <c r="N704" s="61"/>
      <c r="O704" s="61"/>
      <c r="P704" s="61"/>
      <c r="Q704" s="61"/>
      <c r="R704" s="61"/>
      <c r="S704" s="61"/>
    </row>
    <row r="705" spans="1:19" ht="15">
      <c r="A705" s="68"/>
      <c r="B705" s="61"/>
      <c r="C705" s="61"/>
      <c r="D705" s="61"/>
      <c r="E705" s="61"/>
      <c r="F705" s="61"/>
      <c r="G705" s="61"/>
      <c r="H705" s="91"/>
      <c r="I705" s="68"/>
      <c r="J705" s="68"/>
      <c r="K705" s="68"/>
      <c r="L705" s="61"/>
      <c r="M705" s="61"/>
      <c r="N705" s="61"/>
      <c r="O705" s="61"/>
      <c r="P705" s="61"/>
      <c r="Q705" s="61"/>
      <c r="R705" s="61"/>
      <c r="S705" s="61"/>
    </row>
    <row r="706" spans="1:19" ht="15">
      <c r="A706" s="68"/>
      <c r="B706" s="61"/>
      <c r="C706" s="61"/>
      <c r="D706" s="61"/>
      <c r="E706" s="61"/>
      <c r="F706" s="61"/>
      <c r="G706" s="61"/>
      <c r="H706" s="91"/>
      <c r="I706" s="68"/>
      <c r="J706" s="68"/>
      <c r="K706" s="68"/>
      <c r="L706" s="61"/>
      <c r="M706" s="61"/>
      <c r="N706" s="61"/>
      <c r="O706" s="61"/>
      <c r="P706" s="61"/>
      <c r="Q706" s="61"/>
      <c r="R706" s="61"/>
      <c r="S706" s="61"/>
    </row>
    <row r="707" spans="1:19" ht="15">
      <c r="A707" s="68"/>
      <c r="B707" s="61"/>
      <c r="C707" s="61"/>
      <c r="D707" s="61"/>
      <c r="E707" s="61"/>
      <c r="F707" s="61"/>
      <c r="G707" s="61"/>
      <c r="H707" s="91"/>
      <c r="I707" s="68"/>
      <c r="J707" s="68"/>
      <c r="K707" s="68"/>
      <c r="L707" s="61"/>
      <c r="M707" s="61"/>
      <c r="N707" s="61"/>
      <c r="O707" s="61"/>
      <c r="P707" s="61"/>
      <c r="Q707" s="61"/>
      <c r="R707" s="61"/>
      <c r="S707" s="61"/>
    </row>
    <row r="708" spans="1:19" ht="15">
      <c r="A708" s="68"/>
      <c r="B708" s="61"/>
      <c r="C708" s="61"/>
      <c r="D708" s="61"/>
      <c r="E708" s="61"/>
      <c r="F708" s="61"/>
      <c r="G708" s="61"/>
      <c r="H708" s="91"/>
      <c r="I708" s="68"/>
      <c r="J708" s="68"/>
      <c r="K708" s="68"/>
      <c r="L708" s="61"/>
      <c r="M708" s="61"/>
      <c r="N708" s="61"/>
      <c r="O708" s="61"/>
      <c r="P708" s="61"/>
      <c r="Q708" s="61"/>
      <c r="R708" s="61"/>
      <c r="S708" s="61"/>
    </row>
    <row r="709" spans="1:19" ht="15">
      <c r="A709" s="68"/>
      <c r="B709" s="61"/>
      <c r="C709" s="61"/>
      <c r="D709" s="61"/>
      <c r="E709" s="61"/>
      <c r="F709" s="61"/>
      <c r="G709" s="61"/>
      <c r="H709" s="91"/>
      <c r="I709" s="68"/>
      <c r="J709" s="68"/>
      <c r="K709" s="68"/>
      <c r="L709" s="61"/>
      <c r="M709" s="61"/>
      <c r="N709" s="61"/>
      <c r="O709" s="61"/>
      <c r="P709" s="61"/>
      <c r="Q709" s="61"/>
      <c r="R709" s="61"/>
      <c r="S709" s="61"/>
    </row>
    <row r="710" spans="1:19" ht="15">
      <c r="A710" s="68"/>
      <c r="B710" s="61"/>
      <c r="C710" s="61"/>
      <c r="D710" s="61"/>
      <c r="E710" s="61"/>
      <c r="F710" s="61"/>
      <c r="G710" s="61"/>
      <c r="H710" s="91"/>
      <c r="I710" s="68"/>
      <c r="J710" s="68"/>
      <c r="K710" s="68"/>
      <c r="L710" s="61"/>
      <c r="M710" s="61"/>
      <c r="N710" s="61"/>
      <c r="O710" s="61"/>
      <c r="P710" s="61"/>
      <c r="Q710" s="61"/>
      <c r="R710" s="61"/>
      <c r="S710" s="61"/>
    </row>
    <row r="711" spans="1:19" ht="15">
      <c r="A711" s="68"/>
      <c r="B711" s="61"/>
      <c r="C711" s="61"/>
      <c r="D711" s="61"/>
      <c r="E711" s="61"/>
      <c r="F711" s="61"/>
      <c r="G711" s="61"/>
      <c r="H711" s="91"/>
      <c r="I711" s="68"/>
      <c r="J711" s="68"/>
      <c r="K711" s="68"/>
      <c r="L711" s="61"/>
      <c r="M711" s="61"/>
      <c r="N711" s="61"/>
      <c r="O711" s="61"/>
      <c r="P711" s="61"/>
      <c r="Q711" s="61"/>
      <c r="R711" s="61"/>
      <c r="S711" s="61"/>
    </row>
    <row r="712" spans="1:19" ht="15">
      <c r="A712" s="68"/>
      <c r="B712" s="61"/>
      <c r="C712" s="61"/>
      <c r="D712" s="61"/>
      <c r="E712" s="61"/>
      <c r="F712" s="61"/>
      <c r="G712" s="61"/>
      <c r="H712" s="91"/>
      <c r="I712" s="68"/>
      <c r="J712" s="68"/>
      <c r="K712" s="68"/>
      <c r="L712" s="61"/>
      <c r="M712" s="61"/>
      <c r="N712" s="61"/>
      <c r="O712" s="61"/>
      <c r="P712" s="61"/>
      <c r="Q712" s="61"/>
      <c r="R712" s="61"/>
      <c r="S712" s="61"/>
    </row>
    <row r="713" spans="1:19" ht="15">
      <c r="A713" s="68"/>
      <c r="B713" s="61"/>
      <c r="C713" s="61"/>
      <c r="D713" s="61"/>
      <c r="E713" s="61"/>
      <c r="F713" s="61"/>
      <c r="G713" s="61"/>
      <c r="H713" s="91"/>
      <c r="I713" s="68"/>
      <c r="J713" s="68"/>
      <c r="K713" s="68"/>
      <c r="L713" s="61"/>
      <c r="M713" s="61"/>
      <c r="N713" s="61"/>
      <c r="O713" s="61"/>
      <c r="P713" s="61"/>
      <c r="Q713" s="61"/>
      <c r="R713" s="61"/>
      <c r="S713" s="61"/>
    </row>
    <row r="714" spans="1:19" ht="15">
      <c r="A714" s="68"/>
      <c r="B714" s="61"/>
      <c r="C714" s="61"/>
      <c r="D714" s="61"/>
      <c r="E714" s="61"/>
      <c r="F714" s="61"/>
      <c r="G714" s="61"/>
      <c r="H714" s="91"/>
      <c r="I714" s="68"/>
      <c r="J714" s="68"/>
      <c r="K714" s="68"/>
      <c r="L714" s="61"/>
      <c r="M714" s="61"/>
      <c r="N714" s="61"/>
      <c r="O714" s="61"/>
      <c r="P714" s="61"/>
      <c r="Q714" s="61"/>
      <c r="R714" s="61"/>
      <c r="S714" s="61"/>
    </row>
    <row r="715" spans="1:19" ht="15">
      <c r="A715" s="68"/>
      <c r="B715" s="61"/>
      <c r="C715" s="61"/>
      <c r="D715" s="61"/>
      <c r="E715" s="61"/>
      <c r="F715" s="61"/>
      <c r="G715" s="61"/>
      <c r="H715" s="91"/>
      <c r="I715" s="68"/>
      <c r="J715" s="68"/>
      <c r="K715" s="68"/>
      <c r="L715" s="61"/>
      <c r="M715" s="61"/>
      <c r="N715" s="61"/>
      <c r="O715" s="61"/>
      <c r="P715" s="61"/>
      <c r="Q715" s="61"/>
      <c r="R715" s="61"/>
      <c r="S715" s="61"/>
    </row>
    <row r="716" spans="1:19" ht="15">
      <c r="A716" s="68"/>
      <c r="B716" s="61"/>
      <c r="C716" s="61"/>
      <c r="D716" s="61"/>
      <c r="E716" s="61"/>
      <c r="F716" s="61"/>
      <c r="G716" s="61"/>
      <c r="H716" s="91"/>
      <c r="I716" s="68"/>
      <c r="J716" s="68"/>
      <c r="K716" s="68"/>
      <c r="L716" s="61"/>
      <c r="M716" s="61"/>
      <c r="N716" s="61"/>
      <c r="O716" s="61"/>
      <c r="P716" s="61"/>
      <c r="Q716" s="61"/>
      <c r="R716" s="61"/>
      <c r="S716" s="61"/>
    </row>
    <row r="717" spans="1:19" ht="15">
      <c r="A717" s="68"/>
      <c r="B717" s="61"/>
      <c r="C717" s="61"/>
      <c r="D717" s="61"/>
      <c r="E717" s="61"/>
      <c r="F717" s="61"/>
      <c r="G717" s="61"/>
      <c r="H717" s="91"/>
      <c r="I717" s="68"/>
      <c r="J717" s="68"/>
      <c r="K717" s="68"/>
      <c r="L717" s="61"/>
      <c r="M717" s="61"/>
      <c r="N717" s="61"/>
      <c r="O717" s="61"/>
      <c r="P717" s="61"/>
      <c r="Q717" s="61"/>
      <c r="R717" s="61"/>
      <c r="S717" s="61"/>
    </row>
    <row r="718" spans="1:19" ht="15">
      <c r="A718" s="68"/>
      <c r="B718" s="61"/>
      <c r="C718" s="61"/>
      <c r="D718" s="61"/>
      <c r="E718" s="61"/>
      <c r="F718" s="61"/>
      <c r="G718" s="61"/>
      <c r="H718" s="91"/>
      <c r="I718" s="68"/>
      <c r="J718" s="68"/>
      <c r="K718" s="68"/>
      <c r="L718" s="61"/>
      <c r="M718" s="61"/>
      <c r="N718" s="61"/>
      <c r="O718" s="61"/>
      <c r="P718" s="61"/>
      <c r="Q718" s="61"/>
      <c r="R718" s="61"/>
      <c r="S718" s="61"/>
    </row>
    <row r="719" spans="1:19" ht="15">
      <c r="A719" s="68"/>
      <c r="B719" s="61"/>
      <c r="C719" s="61"/>
      <c r="D719" s="61"/>
      <c r="E719" s="61"/>
      <c r="F719" s="61"/>
      <c r="G719" s="61"/>
      <c r="H719" s="91"/>
      <c r="I719" s="68"/>
      <c r="J719" s="68"/>
      <c r="K719" s="68"/>
      <c r="L719" s="61"/>
      <c r="M719" s="61"/>
      <c r="N719" s="61"/>
      <c r="O719" s="61"/>
      <c r="P719" s="61"/>
      <c r="Q719" s="61"/>
      <c r="R719" s="61"/>
      <c r="S719" s="61"/>
    </row>
    <row r="720" spans="1:19" ht="15">
      <c r="A720" s="68"/>
      <c r="B720" s="61"/>
      <c r="C720" s="61"/>
      <c r="D720" s="61"/>
      <c r="E720" s="61"/>
      <c r="F720" s="61"/>
      <c r="G720" s="61"/>
      <c r="H720" s="91"/>
      <c r="I720" s="68"/>
      <c r="J720" s="68"/>
      <c r="K720" s="68"/>
      <c r="L720" s="61"/>
      <c r="M720" s="61"/>
      <c r="N720" s="61"/>
      <c r="O720" s="61"/>
      <c r="P720" s="61"/>
      <c r="Q720" s="61"/>
      <c r="R720" s="61"/>
      <c r="S720" s="61"/>
    </row>
    <row r="721" spans="1:19" ht="15">
      <c r="A721" s="68"/>
      <c r="B721" s="61"/>
      <c r="C721" s="61"/>
      <c r="D721" s="61"/>
      <c r="E721" s="61"/>
      <c r="F721" s="61"/>
      <c r="G721" s="61"/>
      <c r="H721" s="91"/>
      <c r="I721" s="68"/>
      <c r="J721" s="68"/>
      <c r="K721" s="68"/>
      <c r="L721" s="61"/>
      <c r="M721" s="61"/>
      <c r="N721" s="61"/>
      <c r="O721" s="61"/>
      <c r="P721" s="61"/>
      <c r="Q721" s="61"/>
      <c r="R721" s="61"/>
      <c r="S721" s="61"/>
    </row>
    <row r="722" spans="1:19" ht="15">
      <c r="A722" s="68"/>
      <c r="B722" s="61"/>
      <c r="C722" s="61"/>
      <c r="D722" s="61"/>
      <c r="E722" s="61"/>
      <c r="F722" s="61"/>
      <c r="G722" s="61"/>
      <c r="H722" s="91"/>
      <c r="I722" s="68"/>
      <c r="J722" s="68"/>
      <c r="K722" s="68"/>
      <c r="L722" s="61"/>
      <c r="M722" s="61"/>
      <c r="N722" s="61"/>
      <c r="O722" s="61"/>
      <c r="P722" s="61"/>
      <c r="Q722" s="61"/>
      <c r="R722" s="61"/>
      <c r="S722" s="61"/>
    </row>
    <row r="723" spans="1:19" ht="15">
      <c r="A723" s="68"/>
      <c r="B723" s="61"/>
      <c r="C723" s="61"/>
      <c r="D723" s="61"/>
      <c r="E723" s="61"/>
      <c r="F723" s="61"/>
      <c r="G723" s="61"/>
      <c r="H723" s="91"/>
      <c r="I723" s="68"/>
      <c r="J723" s="68"/>
      <c r="K723" s="68"/>
      <c r="L723" s="61"/>
      <c r="M723" s="61"/>
      <c r="N723" s="61"/>
      <c r="O723" s="61"/>
      <c r="P723" s="61"/>
      <c r="Q723" s="61"/>
      <c r="R723" s="61"/>
      <c r="S723" s="61"/>
    </row>
    <row r="724" spans="1:19" ht="15">
      <c r="A724" s="68"/>
      <c r="B724" s="61"/>
      <c r="C724" s="61"/>
      <c r="D724" s="61"/>
      <c r="E724" s="61"/>
      <c r="F724" s="61"/>
      <c r="G724" s="61"/>
      <c r="H724" s="91"/>
      <c r="I724" s="68"/>
      <c r="J724" s="68"/>
      <c r="K724" s="68"/>
      <c r="L724" s="61"/>
      <c r="M724" s="61"/>
      <c r="N724" s="61"/>
      <c r="O724" s="61"/>
      <c r="P724" s="61"/>
      <c r="Q724" s="61"/>
      <c r="R724" s="61"/>
      <c r="S724" s="61"/>
    </row>
    <row r="725" spans="1:19" ht="15">
      <c r="A725" s="68"/>
      <c r="B725" s="61"/>
      <c r="C725" s="61"/>
      <c r="D725" s="61"/>
      <c r="E725" s="61"/>
      <c r="F725" s="61"/>
      <c r="G725" s="61"/>
      <c r="H725" s="91"/>
      <c r="I725" s="68"/>
      <c r="J725" s="68"/>
      <c r="K725" s="68"/>
      <c r="L725" s="61"/>
      <c r="M725" s="61"/>
      <c r="N725" s="61"/>
      <c r="O725" s="61"/>
      <c r="P725" s="61"/>
      <c r="Q725" s="61"/>
      <c r="R725" s="61"/>
      <c r="S725" s="61"/>
    </row>
    <row r="726" spans="1:19" ht="15">
      <c r="A726" s="68"/>
      <c r="B726" s="61"/>
      <c r="C726" s="61"/>
      <c r="D726" s="61"/>
      <c r="E726" s="61"/>
      <c r="F726" s="61"/>
      <c r="G726" s="61"/>
      <c r="H726" s="91"/>
      <c r="I726" s="68"/>
      <c r="J726" s="68"/>
      <c r="K726" s="68"/>
      <c r="L726" s="61"/>
      <c r="M726" s="61"/>
      <c r="N726" s="61"/>
      <c r="O726" s="61"/>
      <c r="P726" s="61"/>
      <c r="Q726" s="61"/>
      <c r="R726" s="61"/>
      <c r="S726" s="61"/>
    </row>
    <row r="727" spans="1:19" ht="15">
      <c r="A727" s="68"/>
      <c r="B727" s="61"/>
      <c r="C727" s="61"/>
      <c r="D727" s="61"/>
      <c r="E727" s="61"/>
      <c r="F727" s="61"/>
      <c r="G727" s="61"/>
      <c r="H727" s="91"/>
      <c r="I727" s="68"/>
      <c r="J727" s="68"/>
      <c r="K727" s="68"/>
      <c r="L727" s="61"/>
      <c r="M727" s="61"/>
      <c r="N727" s="61"/>
      <c r="O727" s="61"/>
      <c r="P727" s="61"/>
      <c r="Q727" s="61"/>
      <c r="R727" s="61"/>
      <c r="S727" s="61"/>
    </row>
    <row r="728" spans="1:19" ht="15">
      <c r="A728" s="68"/>
      <c r="B728" s="61"/>
      <c r="C728" s="61"/>
      <c r="D728" s="61"/>
      <c r="E728" s="61"/>
      <c r="F728" s="61"/>
      <c r="G728" s="61"/>
      <c r="H728" s="91"/>
      <c r="I728" s="68"/>
      <c r="J728" s="68"/>
      <c r="K728" s="68"/>
      <c r="L728" s="61"/>
      <c r="M728" s="61"/>
      <c r="N728" s="61"/>
      <c r="O728" s="61"/>
      <c r="P728" s="61"/>
      <c r="Q728" s="61"/>
      <c r="R728" s="61"/>
      <c r="S728" s="61"/>
    </row>
    <row r="729" spans="1:19" ht="15">
      <c r="A729" s="68"/>
      <c r="B729" s="61"/>
      <c r="C729" s="61"/>
      <c r="D729" s="61"/>
      <c r="E729" s="61"/>
      <c r="F729" s="61"/>
      <c r="G729" s="61"/>
      <c r="H729" s="91"/>
      <c r="I729" s="68"/>
      <c r="J729" s="68"/>
      <c r="K729" s="68"/>
      <c r="L729" s="61"/>
      <c r="M729" s="61"/>
      <c r="N729" s="61"/>
      <c r="O729" s="61"/>
      <c r="P729" s="61"/>
      <c r="Q729" s="61"/>
      <c r="R729" s="61"/>
      <c r="S729" s="61"/>
    </row>
    <row r="730" spans="1:19" ht="15">
      <c r="A730" s="68"/>
      <c r="B730" s="61"/>
      <c r="C730" s="61"/>
      <c r="D730" s="61"/>
      <c r="E730" s="61"/>
      <c r="F730" s="61"/>
      <c r="G730" s="61"/>
      <c r="H730" s="91"/>
      <c r="I730" s="68"/>
      <c r="J730" s="68"/>
      <c r="K730" s="68"/>
      <c r="L730" s="61"/>
      <c r="M730" s="61"/>
      <c r="N730" s="61"/>
      <c r="O730" s="61"/>
      <c r="P730" s="61"/>
      <c r="Q730" s="61"/>
      <c r="R730" s="61"/>
      <c r="S730" s="61"/>
    </row>
    <row r="731" spans="1:19" ht="15">
      <c r="A731" s="68"/>
      <c r="B731" s="61"/>
      <c r="C731" s="61"/>
      <c r="D731" s="61"/>
      <c r="E731" s="61"/>
      <c r="F731" s="61"/>
      <c r="G731" s="61"/>
      <c r="H731" s="91"/>
      <c r="I731" s="68"/>
      <c r="J731" s="68"/>
      <c r="K731" s="68"/>
      <c r="L731" s="61"/>
      <c r="M731" s="61"/>
      <c r="N731" s="61"/>
      <c r="O731" s="61"/>
      <c r="P731" s="61"/>
      <c r="Q731" s="61"/>
      <c r="R731" s="61"/>
      <c r="S731" s="61"/>
    </row>
    <row r="732" spans="1:19" ht="15">
      <c r="A732" s="68"/>
      <c r="B732" s="61"/>
      <c r="C732" s="61"/>
      <c r="D732" s="61"/>
      <c r="E732" s="61"/>
      <c r="F732" s="61"/>
      <c r="G732" s="61"/>
      <c r="H732" s="91"/>
      <c r="I732" s="68"/>
      <c r="J732" s="68"/>
      <c r="K732" s="68"/>
      <c r="L732" s="61"/>
      <c r="M732" s="61"/>
      <c r="N732" s="61"/>
      <c r="O732" s="61"/>
      <c r="P732" s="61"/>
      <c r="Q732" s="61"/>
      <c r="R732" s="61"/>
      <c r="S732" s="61"/>
    </row>
    <row r="733" spans="1:19" ht="15">
      <c r="A733" s="68"/>
      <c r="B733" s="61"/>
      <c r="C733" s="61"/>
      <c r="D733" s="61"/>
      <c r="E733" s="61"/>
      <c r="F733" s="61"/>
      <c r="G733" s="61"/>
      <c r="H733" s="91"/>
      <c r="I733" s="68"/>
      <c r="J733" s="68"/>
      <c r="K733" s="68"/>
      <c r="L733" s="61"/>
      <c r="M733" s="61"/>
      <c r="N733" s="61"/>
      <c r="O733" s="61"/>
      <c r="P733" s="61"/>
      <c r="Q733" s="61"/>
      <c r="R733" s="61"/>
      <c r="S733" s="61"/>
    </row>
    <row r="734" spans="1:19" ht="15">
      <c r="A734" s="68"/>
      <c r="B734" s="61"/>
      <c r="C734" s="61"/>
      <c r="D734" s="61"/>
      <c r="E734" s="61"/>
      <c r="F734" s="61"/>
      <c r="G734" s="61"/>
      <c r="H734" s="91"/>
      <c r="I734" s="68"/>
      <c r="J734" s="68"/>
      <c r="K734" s="68"/>
      <c r="L734" s="61"/>
      <c r="M734" s="61"/>
      <c r="N734" s="61"/>
      <c r="O734" s="61"/>
      <c r="P734" s="61"/>
      <c r="Q734" s="61"/>
      <c r="R734" s="61"/>
      <c r="S734" s="61"/>
    </row>
    <row r="735" spans="1:19" ht="15">
      <c r="A735" s="68"/>
      <c r="B735" s="61"/>
      <c r="C735" s="61"/>
      <c r="D735" s="61"/>
      <c r="E735" s="61"/>
      <c r="F735" s="61"/>
      <c r="G735" s="61"/>
      <c r="H735" s="91"/>
      <c r="I735" s="68"/>
      <c r="J735" s="68"/>
      <c r="K735" s="68"/>
      <c r="L735" s="61"/>
      <c r="M735" s="61"/>
      <c r="N735" s="61"/>
      <c r="O735" s="61"/>
      <c r="P735" s="61"/>
      <c r="Q735" s="61"/>
      <c r="R735" s="61"/>
      <c r="S735" s="61"/>
    </row>
    <row r="736" spans="1:19" ht="15">
      <c r="A736" s="68"/>
      <c r="B736" s="61"/>
      <c r="C736" s="61"/>
      <c r="D736" s="61"/>
      <c r="E736" s="61"/>
      <c r="F736" s="61"/>
      <c r="G736" s="61"/>
      <c r="H736" s="91"/>
      <c r="I736" s="68"/>
      <c r="J736" s="68"/>
      <c r="K736" s="68"/>
      <c r="L736" s="61"/>
      <c r="M736" s="61"/>
      <c r="N736" s="61"/>
      <c r="O736" s="61"/>
      <c r="P736" s="61"/>
      <c r="Q736" s="61"/>
      <c r="R736" s="61"/>
      <c r="S736" s="61"/>
    </row>
    <row r="737" spans="1:19" ht="15">
      <c r="A737" s="68"/>
      <c r="B737" s="61"/>
      <c r="C737" s="61"/>
      <c r="D737" s="61"/>
      <c r="E737" s="61"/>
      <c r="F737" s="61"/>
      <c r="G737" s="61"/>
      <c r="H737" s="91"/>
      <c r="I737" s="68"/>
      <c r="J737" s="68"/>
      <c r="K737" s="68"/>
      <c r="L737" s="61"/>
      <c r="M737" s="61"/>
      <c r="N737" s="61"/>
      <c r="O737" s="61"/>
      <c r="P737" s="61"/>
      <c r="Q737" s="61"/>
      <c r="R737" s="61"/>
      <c r="S737" s="61"/>
    </row>
    <row r="738" spans="1:19" ht="15">
      <c r="A738" s="68"/>
      <c r="B738" s="61"/>
      <c r="C738" s="61"/>
      <c r="D738" s="61"/>
      <c r="E738" s="61"/>
      <c r="F738" s="61"/>
      <c r="G738" s="61"/>
      <c r="H738" s="91"/>
      <c r="I738" s="68"/>
      <c r="J738" s="68"/>
      <c r="K738" s="68"/>
      <c r="L738" s="61"/>
      <c r="M738" s="61"/>
      <c r="N738" s="61"/>
      <c r="O738" s="61"/>
      <c r="P738" s="61"/>
      <c r="Q738" s="61"/>
      <c r="R738" s="61"/>
      <c r="S738" s="61"/>
    </row>
    <row r="739" spans="1:19" ht="15">
      <c r="A739" s="68"/>
      <c r="B739" s="61"/>
      <c r="C739" s="61"/>
      <c r="D739" s="61"/>
      <c r="E739" s="61"/>
      <c r="F739" s="61"/>
      <c r="G739" s="61"/>
      <c r="H739" s="91"/>
      <c r="I739" s="68"/>
      <c r="J739" s="68"/>
      <c r="K739" s="68"/>
      <c r="L739" s="61"/>
      <c r="M739" s="61"/>
      <c r="N739" s="61"/>
      <c r="O739" s="61"/>
      <c r="P739" s="61"/>
      <c r="Q739" s="61"/>
      <c r="R739" s="61"/>
      <c r="S739" s="61"/>
    </row>
    <row r="740" spans="1:19" ht="15">
      <c r="A740" s="68"/>
      <c r="B740" s="61"/>
      <c r="C740" s="61"/>
      <c r="D740" s="61"/>
      <c r="E740" s="61"/>
      <c r="F740" s="61"/>
      <c r="G740" s="61"/>
      <c r="H740" s="91"/>
      <c r="I740" s="68"/>
      <c r="J740" s="68"/>
      <c r="K740" s="68"/>
      <c r="L740" s="61"/>
      <c r="M740" s="61"/>
      <c r="N740" s="61"/>
      <c r="O740" s="61"/>
      <c r="P740" s="61"/>
      <c r="Q740" s="61"/>
      <c r="R740" s="61"/>
      <c r="S740" s="61"/>
    </row>
    <row r="741" spans="1:19" ht="15">
      <c r="A741" s="68"/>
      <c r="B741" s="61"/>
      <c r="C741" s="61"/>
      <c r="D741" s="61"/>
      <c r="E741" s="61"/>
      <c r="F741" s="61"/>
      <c r="G741" s="61"/>
      <c r="H741" s="91"/>
      <c r="I741" s="68"/>
      <c r="J741" s="68"/>
      <c r="K741" s="68"/>
      <c r="L741" s="61"/>
      <c r="M741" s="61"/>
      <c r="N741" s="61"/>
      <c r="O741" s="61"/>
      <c r="P741" s="61"/>
      <c r="Q741" s="61"/>
      <c r="R741" s="61"/>
      <c r="S741" s="61"/>
    </row>
    <row r="742" spans="1:19" ht="15">
      <c r="A742" s="68"/>
      <c r="B742" s="61"/>
      <c r="C742" s="61"/>
      <c r="D742" s="61"/>
      <c r="E742" s="61"/>
      <c r="F742" s="61"/>
      <c r="G742" s="61"/>
      <c r="H742" s="91"/>
      <c r="I742" s="68"/>
      <c r="J742" s="68"/>
      <c r="K742" s="68"/>
      <c r="L742" s="61"/>
      <c r="M742" s="61"/>
      <c r="N742" s="61"/>
      <c r="O742" s="61"/>
      <c r="P742" s="61"/>
      <c r="Q742" s="61"/>
      <c r="R742" s="61"/>
      <c r="S742" s="61"/>
    </row>
    <row r="743" spans="1:19" ht="15">
      <c r="A743" s="68"/>
      <c r="B743" s="61"/>
      <c r="C743" s="61"/>
      <c r="D743" s="61"/>
      <c r="E743" s="61"/>
      <c r="F743" s="61"/>
      <c r="G743" s="61"/>
      <c r="H743" s="91"/>
      <c r="I743" s="68"/>
      <c r="J743" s="68"/>
      <c r="K743" s="68"/>
      <c r="L743" s="61"/>
      <c r="M743" s="61"/>
      <c r="N743" s="61"/>
      <c r="O743" s="61"/>
      <c r="P743" s="61"/>
      <c r="Q743" s="61"/>
      <c r="R743" s="61"/>
      <c r="S743" s="61"/>
    </row>
    <row r="744" spans="1:19" ht="15">
      <c r="A744" s="68"/>
      <c r="B744" s="61"/>
      <c r="C744" s="61"/>
      <c r="D744" s="61"/>
      <c r="E744" s="61"/>
      <c r="F744" s="61"/>
      <c r="G744" s="61"/>
      <c r="H744" s="91"/>
      <c r="I744" s="68"/>
      <c r="J744" s="68"/>
      <c r="K744" s="68"/>
      <c r="L744" s="61"/>
      <c r="M744" s="61"/>
      <c r="N744" s="61"/>
      <c r="O744" s="61"/>
      <c r="P744" s="61"/>
      <c r="Q744" s="61"/>
      <c r="R744" s="61"/>
      <c r="S744" s="61"/>
    </row>
    <row r="745" spans="1:19" ht="15">
      <c r="A745" s="68"/>
      <c r="B745" s="61"/>
      <c r="C745" s="61"/>
      <c r="D745" s="61"/>
      <c r="E745" s="61"/>
      <c r="F745" s="61"/>
      <c r="G745" s="61"/>
      <c r="H745" s="91"/>
      <c r="I745" s="68"/>
      <c r="J745" s="68"/>
      <c r="K745" s="68"/>
      <c r="L745" s="61"/>
      <c r="M745" s="61"/>
      <c r="N745" s="61"/>
      <c r="O745" s="61"/>
      <c r="P745" s="61"/>
      <c r="Q745" s="61"/>
      <c r="R745" s="61"/>
      <c r="S745" s="61"/>
    </row>
    <row r="746" spans="1:19" ht="15">
      <c r="A746" s="68"/>
      <c r="B746" s="61"/>
      <c r="C746" s="61"/>
      <c r="D746" s="61"/>
      <c r="E746" s="61"/>
      <c r="F746" s="61"/>
      <c r="G746" s="61"/>
      <c r="H746" s="91"/>
      <c r="I746" s="68"/>
      <c r="J746" s="68"/>
      <c r="K746" s="68"/>
      <c r="L746" s="61"/>
      <c r="M746" s="61"/>
      <c r="N746" s="61"/>
      <c r="O746" s="61"/>
      <c r="P746" s="61"/>
      <c r="Q746" s="61"/>
      <c r="R746" s="61"/>
      <c r="S746" s="61"/>
    </row>
    <row r="747" spans="1:19" ht="15">
      <c r="A747" s="68"/>
      <c r="B747" s="61"/>
      <c r="C747" s="61"/>
      <c r="D747" s="61"/>
      <c r="E747" s="61"/>
      <c r="F747" s="61"/>
      <c r="G747" s="61"/>
      <c r="H747" s="91"/>
      <c r="I747" s="68"/>
      <c r="J747" s="68"/>
      <c r="K747" s="68"/>
      <c r="L747" s="61"/>
      <c r="M747" s="61"/>
      <c r="N747" s="61"/>
      <c r="O747" s="61"/>
      <c r="P747" s="61"/>
      <c r="Q747" s="61"/>
      <c r="R747" s="61"/>
      <c r="S747" s="61"/>
    </row>
    <row r="748" spans="1:19" ht="15">
      <c r="A748" s="68"/>
      <c r="B748" s="61"/>
      <c r="C748" s="61"/>
      <c r="D748" s="61"/>
      <c r="E748" s="61"/>
      <c r="F748" s="61"/>
      <c r="G748" s="61"/>
      <c r="H748" s="91"/>
      <c r="I748" s="68"/>
      <c r="J748" s="68"/>
      <c r="K748" s="68"/>
      <c r="L748" s="61"/>
      <c r="M748" s="61"/>
      <c r="N748" s="61"/>
      <c r="O748" s="61"/>
      <c r="P748" s="61"/>
      <c r="Q748" s="61"/>
      <c r="R748" s="61"/>
      <c r="S748" s="61"/>
    </row>
    <row r="749" spans="1:19" ht="15">
      <c r="A749" s="68"/>
      <c r="B749" s="61"/>
      <c r="C749" s="61"/>
      <c r="D749" s="61"/>
      <c r="E749" s="61"/>
      <c r="F749" s="61"/>
      <c r="G749" s="61"/>
      <c r="H749" s="91"/>
      <c r="I749" s="68"/>
      <c r="J749" s="68"/>
      <c r="K749" s="68"/>
      <c r="L749" s="61"/>
      <c r="M749" s="61"/>
      <c r="N749" s="61"/>
      <c r="O749" s="61"/>
      <c r="P749" s="61"/>
      <c r="Q749" s="61"/>
      <c r="R749" s="61"/>
      <c r="S749" s="61"/>
    </row>
    <row r="750" spans="1:19" ht="15">
      <c r="A750" s="68"/>
      <c r="B750" s="61"/>
      <c r="C750" s="61"/>
      <c r="D750" s="61"/>
      <c r="E750" s="61"/>
      <c r="F750" s="61"/>
      <c r="G750" s="61"/>
      <c r="H750" s="91"/>
      <c r="I750" s="68"/>
      <c r="J750" s="68"/>
      <c r="K750" s="68"/>
      <c r="L750" s="61"/>
      <c r="M750" s="61"/>
      <c r="N750" s="61"/>
      <c r="O750" s="61"/>
      <c r="P750" s="61"/>
      <c r="Q750" s="61"/>
      <c r="R750" s="61"/>
      <c r="S750" s="61"/>
    </row>
    <row r="751" spans="1:19" ht="15">
      <c r="A751" s="68"/>
      <c r="B751" s="61"/>
      <c r="C751" s="61"/>
      <c r="D751" s="61"/>
      <c r="E751" s="61"/>
      <c r="F751" s="61"/>
      <c r="G751" s="61"/>
      <c r="H751" s="91"/>
      <c r="I751" s="68"/>
      <c r="J751" s="68"/>
      <c r="K751" s="68"/>
      <c r="L751" s="61"/>
      <c r="M751" s="61"/>
      <c r="N751" s="61"/>
      <c r="O751" s="61"/>
      <c r="P751" s="61"/>
      <c r="Q751" s="61"/>
      <c r="R751" s="61"/>
      <c r="S751" s="61"/>
    </row>
    <row r="752" spans="1:19" ht="15">
      <c r="A752" s="68"/>
      <c r="B752" s="61"/>
      <c r="C752" s="61"/>
      <c r="D752" s="61"/>
      <c r="E752" s="61"/>
      <c r="F752" s="61"/>
      <c r="G752" s="61"/>
      <c r="H752" s="91"/>
      <c r="I752" s="68"/>
      <c r="J752" s="68"/>
      <c r="K752" s="68"/>
      <c r="L752" s="61"/>
      <c r="M752" s="61"/>
      <c r="N752" s="61"/>
      <c r="O752" s="61"/>
      <c r="P752" s="61"/>
      <c r="Q752" s="61"/>
      <c r="R752" s="61"/>
      <c r="S752" s="61"/>
    </row>
    <row r="753" spans="1:19" ht="15">
      <c r="A753" s="68"/>
      <c r="B753" s="61"/>
      <c r="C753" s="61"/>
      <c r="D753" s="61"/>
      <c r="E753" s="61"/>
      <c r="F753" s="61"/>
      <c r="G753" s="61"/>
      <c r="H753" s="91"/>
      <c r="I753" s="68"/>
      <c r="J753" s="68"/>
      <c r="K753" s="68"/>
      <c r="L753" s="61"/>
      <c r="M753" s="61"/>
      <c r="N753" s="61"/>
      <c r="O753" s="61"/>
      <c r="P753" s="61"/>
      <c r="Q753" s="61"/>
      <c r="R753" s="61"/>
      <c r="S753" s="61"/>
    </row>
    <row r="754" spans="1:19" ht="15">
      <c r="A754" s="68"/>
      <c r="B754" s="61"/>
      <c r="C754" s="61"/>
      <c r="D754" s="61"/>
      <c r="E754" s="61"/>
      <c r="F754" s="61"/>
      <c r="G754" s="61"/>
      <c r="H754" s="91"/>
      <c r="I754" s="68"/>
      <c r="J754" s="68"/>
      <c r="K754" s="68"/>
      <c r="L754" s="61"/>
      <c r="M754" s="61"/>
      <c r="N754" s="61"/>
      <c r="O754" s="61"/>
      <c r="P754" s="61"/>
      <c r="Q754" s="61"/>
      <c r="R754" s="61"/>
      <c r="S754" s="61"/>
    </row>
    <row r="755" spans="1:19" ht="15">
      <c r="A755" s="68"/>
      <c r="B755" s="61"/>
      <c r="C755" s="61"/>
      <c r="D755" s="61"/>
      <c r="E755" s="61"/>
      <c r="F755" s="61"/>
      <c r="G755" s="61"/>
      <c r="H755" s="91"/>
      <c r="I755" s="68"/>
      <c r="J755" s="68"/>
      <c r="K755" s="68"/>
      <c r="L755" s="61"/>
      <c r="M755" s="61"/>
      <c r="N755" s="61"/>
      <c r="O755" s="61"/>
      <c r="P755" s="61"/>
      <c r="Q755" s="61"/>
      <c r="R755" s="61"/>
      <c r="S755" s="61"/>
    </row>
    <row r="756" spans="1:19" ht="15">
      <c r="A756" s="68"/>
      <c r="B756" s="61"/>
      <c r="C756" s="61"/>
      <c r="D756" s="61"/>
      <c r="E756" s="61"/>
      <c r="F756" s="61"/>
      <c r="G756" s="61"/>
      <c r="H756" s="91"/>
      <c r="I756" s="68"/>
      <c r="J756" s="68"/>
      <c r="K756" s="68"/>
      <c r="L756" s="61"/>
      <c r="M756" s="61"/>
      <c r="N756" s="61"/>
      <c r="O756" s="61"/>
      <c r="P756" s="61"/>
      <c r="Q756" s="61"/>
      <c r="R756" s="61"/>
      <c r="S756" s="61"/>
    </row>
    <row r="757" spans="1:19" ht="15">
      <c r="A757" s="68"/>
      <c r="B757" s="61"/>
      <c r="C757" s="61"/>
      <c r="D757" s="61"/>
      <c r="E757" s="61"/>
      <c r="F757" s="61"/>
      <c r="G757" s="61"/>
      <c r="H757" s="91"/>
      <c r="I757" s="68"/>
      <c r="J757" s="68"/>
      <c r="K757" s="68"/>
      <c r="L757" s="61"/>
      <c r="M757" s="61"/>
      <c r="N757" s="61"/>
      <c r="O757" s="61"/>
      <c r="P757" s="61"/>
      <c r="Q757" s="61"/>
      <c r="R757" s="61"/>
      <c r="S757" s="61"/>
    </row>
    <row r="758" spans="1:19" ht="15">
      <c r="A758" s="68"/>
      <c r="B758" s="61"/>
      <c r="C758" s="61"/>
      <c r="D758" s="61"/>
      <c r="E758" s="61"/>
      <c r="F758" s="61"/>
      <c r="G758" s="61"/>
      <c r="H758" s="91"/>
      <c r="I758" s="68"/>
      <c r="J758" s="68"/>
      <c r="K758" s="68"/>
      <c r="L758" s="61"/>
      <c r="M758" s="61"/>
      <c r="N758" s="61"/>
      <c r="O758" s="61"/>
      <c r="P758" s="61"/>
      <c r="Q758" s="61"/>
      <c r="R758" s="61"/>
      <c r="S758" s="61"/>
    </row>
    <row r="759" spans="1:19" ht="15">
      <c r="A759" s="68"/>
      <c r="B759" s="61"/>
      <c r="C759" s="61"/>
      <c r="D759" s="61"/>
      <c r="E759" s="61"/>
      <c r="F759" s="61"/>
      <c r="G759" s="61"/>
      <c r="H759" s="91"/>
      <c r="I759" s="68"/>
      <c r="J759" s="68"/>
      <c r="K759" s="68"/>
      <c r="L759" s="61"/>
      <c r="M759" s="61"/>
      <c r="N759" s="61"/>
      <c r="O759" s="61"/>
      <c r="P759" s="61"/>
      <c r="Q759" s="61"/>
      <c r="R759" s="61"/>
      <c r="S759" s="61"/>
    </row>
    <row r="760" spans="1:19" ht="15">
      <c r="A760" s="68"/>
      <c r="B760" s="61"/>
      <c r="C760" s="61"/>
      <c r="D760" s="61"/>
      <c r="E760" s="61"/>
      <c r="F760" s="61"/>
      <c r="G760" s="61"/>
      <c r="H760" s="91"/>
      <c r="I760" s="68"/>
      <c r="J760" s="68"/>
      <c r="K760" s="68"/>
      <c r="L760" s="61"/>
      <c r="M760" s="61"/>
      <c r="N760" s="61"/>
      <c r="O760" s="61"/>
      <c r="P760" s="61"/>
      <c r="Q760" s="61"/>
      <c r="R760" s="61"/>
      <c r="S760" s="61"/>
    </row>
    <row r="761" spans="1:19" ht="15">
      <c r="A761" s="68"/>
      <c r="B761" s="61"/>
      <c r="C761" s="61"/>
      <c r="D761" s="61"/>
      <c r="E761" s="61"/>
      <c r="F761" s="61"/>
      <c r="G761" s="61"/>
      <c r="H761" s="91"/>
      <c r="I761" s="68"/>
      <c r="J761" s="68"/>
      <c r="K761" s="68"/>
      <c r="L761" s="61"/>
      <c r="M761" s="61"/>
      <c r="N761" s="61"/>
      <c r="O761" s="61"/>
      <c r="P761" s="61"/>
      <c r="Q761" s="61"/>
      <c r="R761" s="61"/>
      <c r="S761" s="61"/>
    </row>
    <row r="762" spans="1:19" ht="15">
      <c r="A762" s="68"/>
      <c r="B762" s="61"/>
      <c r="C762" s="61"/>
      <c r="D762" s="61"/>
      <c r="E762" s="61"/>
      <c r="F762" s="61"/>
      <c r="G762" s="61"/>
      <c r="H762" s="91"/>
      <c r="I762" s="68"/>
      <c r="J762" s="68"/>
      <c r="K762" s="68"/>
      <c r="L762" s="61"/>
      <c r="M762" s="61"/>
      <c r="N762" s="61"/>
      <c r="O762" s="61"/>
      <c r="P762" s="61"/>
      <c r="Q762" s="61"/>
      <c r="R762" s="61"/>
      <c r="S762" s="61"/>
    </row>
    <row r="763" spans="1:19" ht="15">
      <c r="A763" s="68"/>
      <c r="B763" s="61"/>
      <c r="C763" s="61"/>
      <c r="D763" s="61"/>
      <c r="E763" s="61"/>
      <c r="F763" s="61"/>
      <c r="G763" s="61"/>
      <c r="H763" s="91"/>
      <c r="I763" s="68"/>
      <c r="J763" s="68"/>
      <c r="K763" s="68"/>
      <c r="L763" s="61"/>
      <c r="M763" s="61"/>
      <c r="N763" s="61"/>
      <c r="O763" s="61"/>
      <c r="P763" s="61"/>
      <c r="Q763" s="61"/>
      <c r="R763" s="61"/>
      <c r="S763" s="61"/>
    </row>
    <row r="764" spans="1:19" ht="15">
      <c r="A764" s="68"/>
      <c r="B764" s="61"/>
      <c r="C764" s="61"/>
      <c r="D764" s="61"/>
      <c r="E764" s="61"/>
      <c r="F764" s="61"/>
      <c r="G764" s="61"/>
      <c r="H764" s="91"/>
      <c r="I764" s="68"/>
      <c r="J764" s="68"/>
      <c r="K764" s="68"/>
      <c r="L764" s="61"/>
      <c r="M764" s="61"/>
      <c r="N764" s="61"/>
      <c r="O764" s="61"/>
      <c r="P764" s="61"/>
      <c r="Q764" s="61"/>
      <c r="R764" s="61"/>
      <c r="S764" s="61"/>
    </row>
    <row r="765" spans="1:19" ht="15">
      <c r="A765" s="68"/>
      <c r="B765" s="61"/>
      <c r="C765" s="61"/>
      <c r="D765" s="61"/>
      <c r="E765" s="61"/>
      <c r="F765" s="61"/>
      <c r="G765" s="61"/>
      <c r="H765" s="91"/>
      <c r="I765" s="68"/>
      <c r="J765" s="68"/>
      <c r="K765" s="68"/>
      <c r="L765" s="61"/>
      <c r="M765" s="61"/>
      <c r="N765" s="61"/>
      <c r="O765" s="61"/>
      <c r="P765" s="61"/>
      <c r="Q765" s="61"/>
      <c r="R765" s="61"/>
      <c r="S765" s="61"/>
    </row>
    <row r="766" spans="1:19" ht="15">
      <c r="A766" s="68"/>
      <c r="B766" s="61"/>
      <c r="C766" s="61"/>
      <c r="D766" s="61"/>
      <c r="E766" s="61"/>
      <c r="F766" s="61"/>
      <c r="G766" s="61"/>
      <c r="H766" s="91"/>
      <c r="I766" s="68"/>
      <c r="J766" s="68"/>
      <c r="K766" s="68"/>
      <c r="L766" s="61"/>
      <c r="M766" s="61"/>
      <c r="N766" s="61"/>
      <c r="O766" s="61"/>
      <c r="P766" s="61"/>
      <c r="Q766" s="61"/>
      <c r="R766" s="61"/>
      <c r="S766" s="61"/>
    </row>
    <row r="767" spans="1:19" ht="15">
      <c r="A767" s="68"/>
      <c r="B767" s="61"/>
      <c r="C767" s="61"/>
      <c r="D767" s="61"/>
      <c r="E767" s="61"/>
      <c r="F767" s="61"/>
      <c r="G767" s="61"/>
      <c r="H767" s="91"/>
      <c r="I767" s="68"/>
      <c r="J767" s="68"/>
      <c r="K767" s="68"/>
      <c r="L767" s="61"/>
      <c r="M767" s="61"/>
      <c r="N767" s="61"/>
      <c r="O767" s="61"/>
      <c r="P767" s="61"/>
      <c r="Q767" s="61"/>
      <c r="R767" s="61"/>
      <c r="S767" s="61"/>
    </row>
    <row r="768" spans="1:19" ht="15">
      <c r="A768" s="68"/>
      <c r="B768" s="61"/>
      <c r="C768" s="61"/>
      <c r="D768" s="61"/>
      <c r="E768" s="61"/>
      <c r="F768" s="61"/>
      <c r="G768" s="61"/>
      <c r="H768" s="91"/>
      <c r="I768" s="68"/>
      <c r="J768" s="68"/>
      <c r="K768" s="68"/>
      <c r="L768" s="61"/>
      <c r="M768" s="61"/>
      <c r="N768" s="61"/>
      <c r="O768" s="61"/>
      <c r="P768" s="61"/>
      <c r="Q768" s="61"/>
      <c r="R768" s="61"/>
      <c r="S768" s="61"/>
    </row>
    <row r="769" spans="1:19" ht="15">
      <c r="A769" s="68"/>
      <c r="B769" s="61"/>
      <c r="C769" s="61"/>
      <c r="D769" s="61"/>
      <c r="E769" s="61"/>
      <c r="F769" s="61"/>
      <c r="G769" s="61"/>
      <c r="H769" s="91"/>
      <c r="I769" s="68"/>
      <c r="J769" s="68"/>
      <c r="K769" s="68"/>
      <c r="L769" s="61"/>
      <c r="M769" s="61"/>
      <c r="N769" s="61"/>
      <c r="O769" s="61"/>
      <c r="P769" s="61"/>
      <c r="Q769" s="61"/>
      <c r="R769" s="61"/>
      <c r="S769" s="61"/>
    </row>
    <row r="770" spans="1:19" ht="15">
      <c r="A770" s="68"/>
      <c r="B770" s="61"/>
      <c r="C770" s="61"/>
      <c r="D770" s="61"/>
      <c r="E770" s="61"/>
      <c r="F770" s="61"/>
      <c r="G770" s="61"/>
      <c r="H770" s="91"/>
      <c r="I770" s="68"/>
      <c r="J770" s="68"/>
      <c r="K770" s="68"/>
      <c r="L770" s="61"/>
      <c r="M770" s="61"/>
      <c r="N770" s="61"/>
      <c r="O770" s="61"/>
      <c r="P770" s="61"/>
      <c r="Q770" s="61"/>
      <c r="R770" s="61"/>
      <c r="S770" s="61"/>
    </row>
    <row r="771" spans="1:19" ht="15">
      <c r="A771" s="68"/>
      <c r="B771" s="61"/>
      <c r="C771" s="61"/>
      <c r="D771" s="61"/>
      <c r="E771" s="61"/>
      <c r="F771" s="61"/>
      <c r="G771" s="61"/>
      <c r="H771" s="91"/>
      <c r="I771" s="68"/>
      <c r="J771" s="68"/>
      <c r="K771" s="68"/>
      <c r="L771" s="61"/>
      <c r="M771" s="61"/>
      <c r="N771" s="61"/>
      <c r="O771" s="61"/>
      <c r="P771" s="61"/>
      <c r="Q771" s="61"/>
      <c r="R771" s="61"/>
      <c r="S771" s="61"/>
    </row>
    <row r="772" spans="1:19" ht="15">
      <c r="A772" s="68"/>
      <c r="B772" s="61"/>
      <c r="C772" s="61"/>
      <c r="D772" s="61"/>
      <c r="E772" s="61"/>
      <c r="F772" s="61"/>
      <c r="G772" s="61"/>
      <c r="H772" s="91"/>
      <c r="I772" s="68"/>
      <c r="J772" s="68"/>
      <c r="K772" s="68"/>
      <c r="L772" s="61"/>
      <c r="M772" s="61"/>
      <c r="N772" s="61"/>
      <c r="O772" s="61"/>
      <c r="P772" s="61"/>
      <c r="Q772" s="61"/>
      <c r="R772" s="61"/>
      <c r="S772" s="61"/>
    </row>
    <row r="773" spans="1:19" ht="15">
      <c r="A773" s="68"/>
      <c r="B773" s="61"/>
      <c r="C773" s="61"/>
      <c r="D773" s="61"/>
      <c r="E773" s="61"/>
      <c r="F773" s="61"/>
      <c r="G773" s="61"/>
      <c r="H773" s="91"/>
      <c r="I773" s="68"/>
      <c r="J773" s="68"/>
      <c r="K773" s="68"/>
      <c r="L773" s="61"/>
      <c r="M773" s="61"/>
      <c r="N773" s="61"/>
      <c r="O773" s="61"/>
      <c r="P773" s="61"/>
      <c r="Q773" s="61"/>
      <c r="R773" s="61"/>
      <c r="S773" s="61"/>
    </row>
    <row r="774" spans="1:19" ht="15">
      <c r="A774" s="68"/>
      <c r="B774" s="61"/>
      <c r="C774" s="61"/>
      <c r="D774" s="61"/>
      <c r="E774" s="61"/>
      <c r="F774" s="61"/>
      <c r="G774" s="61"/>
      <c r="H774" s="91"/>
      <c r="I774" s="68"/>
      <c r="J774" s="68"/>
      <c r="K774" s="68"/>
      <c r="L774" s="61"/>
      <c r="M774" s="61"/>
      <c r="N774" s="61"/>
      <c r="O774" s="61"/>
      <c r="P774" s="61"/>
      <c r="Q774" s="61"/>
      <c r="R774" s="61"/>
      <c r="S774" s="61"/>
    </row>
    <row r="775" spans="1:19" ht="15">
      <c r="A775" s="68"/>
      <c r="B775" s="61"/>
      <c r="C775" s="61"/>
      <c r="D775" s="61"/>
      <c r="E775" s="61"/>
      <c r="F775" s="61"/>
      <c r="G775" s="61"/>
      <c r="H775" s="91"/>
      <c r="I775" s="68"/>
      <c r="J775" s="68"/>
      <c r="K775" s="68"/>
      <c r="L775" s="61"/>
      <c r="M775" s="61"/>
      <c r="N775" s="61"/>
      <c r="O775" s="61"/>
      <c r="P775" s="61"/>
      <c r="Q775" s="61"/>
      <c r="R775" s="61"/>
      <c r="S775" s="61"/>
    </row>
    <row r="776" spans="1:19" ht="15">
      <c r="A776" s="68"/>
      <c r="B776" s="61"/>
      <c r="C776" s="61"/>
      <c r="D776" s="61"/>
      <c r="E776" s="61"/>
      <c r="F776" s="61"/>
      <c r="G776" s="61"/>
      <c r="H776" s="91"/>
      <c r="I776" s="68"/>
      <c r="J776" s="68"/>
      <c r="K776" s="68"/>
      <c r="L776" s="61"/>
      <c r="M776" s="61"/>
      <c r="N776" s="61"/>
      <c r="O776" s="61"/>
      <c r="P776" s="61"/>
      <c r="Q776" s="61"/>
      <c r="R776" s="61"/>
      <c r="S776" s="61"/>
    </row>
    <row r="777" spans="1:19" ht="15">
      <c r="A777" s="68"/>
      <c r="B777" s="61"/>
      <c r="C777" s="61"/>
      <c r="D777" s="61"/>
      <c r="E777" s="61"/>
      <c r="F777" s="61"/>
      <c r="G777" s="61"/>
      <c r="H777" s="91"/>
      <c r="I777" s="68"/>
      <c r="J777" s="68"/>
      <c r="K777" s="68"/>
      <c r="L777" s="61"/>
      <c r="M777" s="61"/>
      <c r="N777" s="61"/>
      <c r="O777" s="61"/>
      <c r="P777" s="61"/>
      <c r="Q777" s="61"/>
      <c r="R777" s="61"/>
      <c r="S777" s="61"/>
    </row>
    <row r="778" spans="1:19" ht="15">
      <c r="A778" s="68"/>
      <c r="B778" s="61"/>
      <c r="C778" s="61"/>
      <c r="D778" s="61"/>
      <c r="E778" s="61"/>
      <c r="F778" s="61"/>
      <c r="G778" s="61"/>
      <c r="H778" s="91"/>
      <c r="I778" s="68"/>
      <c r="J778" s="68"/>
      <c r="K778" s="68"/>
      <c r="L778" s="61"/>
      <c r="M778" s="61"/>
      <c r="N778" s="61"/>
      <c r="O778" s="61"/>
      <c r="P778" s="61"/>
      <c r="Q778" s="61"/>
      <c r="R778" s="61"/>
      <c r="S778" s="61"/>
    </row>
    <row r="779" spans="1:19" ht="15">
      <c r="A779" s="68"/>
      <c r="B779" s="61"/>
      <c r="C779" s="61"/>
      <c r="D779" s="61"/>
      <c r="E779" s="61"/>
      <c r="F779" s="61"/>
      <c r="G779" s="61"/>
      <c r="H779" s="91"/>
      <c r="I779" s="68"/>
      <c r="J779" s="68"/>
      <c r="K779" s="68"/>
      <c r="L779" s="61"/>
      <c r="M779" s="61"/>
      <c r="N779" s="61"/>
      <c r="O779" s="61"/>
      <c r="P779" s="61"/>
      <c r="Q779" s="61"/>
      <c r="R779" s="61"/>
      <c r="S779" s="61"/>
    </row>
    <row r="780" spans="1:19" ht="15">
      <c r="A780" s="68"/>
      <c r="B780" s="61"/>
      <c r="C780" s="61"/>
      <c r="D780" s="61"/>
      <c r="E780" s="61"/>
      <c r="F780" s="61"/>
      <c r="G780" s="61"/>
      <c r="H780" s="91"/>
      <c r="I780" s="68"/>
      <c r="J780" s="68"/>
      <c r="K780" s="68"/>
      <c r="L780" s="61"/>
      <c r="M780" s="61"/>
      <c r="N780" s="61"/>
      <c r="O780" s="61"/>
      <c r="P780" s="61"/>
      <c r="Q780" s="61"/>
      <c r="R780" s="61"/>
      <c r="S780" s="61"/>
    </row>
    <row r="781" spans="1:19" ht="15">
      <c r="A781" s="68"/>
      <c r="B781" s="61"/>
      <c r="C781" s="61"/>
      <c r="D781" s="61"/>
      <c r="E781" s="61"/>
      <c r="F781" s="61"/>
      <c r="G781" s="61"/>
      <c r="H781" s="91"/>
      <c r="I781" s="68"/>
      <c r="J781" s="68"/>
      <c r="K781" s="68"/>
      <c r="L781" s="61"/>
      <c r="M781" s="61"/>
      <c r="N781" s="61"/>
      <c r="O781" s="61"/>
      <c r="P781" s="61"/>
      <c r="Q781" s="61"/>
      <c r="R781" s="61"/>
      <c r="S781" s="61"/>
    </row>
    <row r="782" spans="1:19" ht="15">
      <c r="A782" s="68"/>
      <c r="B782" s="61"/>
      <c r="C782" s="61"/>
      <c r="D782" s="61"/>
      <c r="E782" s="61"/>
      <c r="F782" s="61"/>
      <c r="G782" s="61"/>
      <c r="H782" s="91"/>
      <c r="I782" s="68"/>
      <c r="J782" s="68"/>
      <c r="K782" s="68"/>
      <c r="L782" s="61"/>
      <c r="M782" s="61"/>
      <c r="N782" s="61"/>
      <c r="O782" s="61"/>
      <c r="P782" s="61"/>
      <c r="Q782" s="61"/>
      <c r="R782" s="61"/>
      <c r="S782" s="61"/>
    </row>
    <row r="783" spans="1:19" ht="15">
      <c r="A783" s="68"/>
      <c r="B783" s="61"/>
      <c r="C783" s="61"/>
      <c r="D783" s="61"/>
      <c r="E783" s="61"/>
      <c r="F783" s="61"/>
      <c r="G783" s="61"/>
      <c r="H783" s="91"/>
      <c r="I783" s="68"/>
      <c r="J783" s="68"/>
      <c r="K783" s="68"/>
      <c r="L783" s="61"/>
      <c r="M783" s="61"/>
      <c r="N783" s="61"/>
      <c r="O783" s="61"/>
      <c r="P783" s="61"/>
      <c r="Q783" s="61"/>
      <c r="R783" s="61"/>
      <c r="S783" s="61"/>
    </row>
    <row r="784" spans="1:19" ht="15">
      <c r="A784" s="68"/>
      <c r="B784" s="61"/>
      <c r="C784" s="61"/>
      <c r="D784" s="61"/>
      <c r="E784" s="61"/>
      <c r="F784" s="61"/>
      <c r="G784" s="61"/>
      <c r="H784" s="91"/>
      <c r="I784" s="68"/>
      <c r="J784" s="68"/>
      <c r="K784" s="68"/>
      <c r="L784" s="61"/>
      <c r="M784" s="61"/>
      <c r="N784" s="61"/>
      <c r="O784" s="61"/>
      <c r="P784" s="61"/>
      <c r="Q784" s="61"/>
      <c r="R784" s="61"/>
      <c r="S784" s="61"/>
    </row>
    <row r="785" spans="1:19" ht="15">
      <c r="A785" s="68"/>
      <c r="B785" s="61"/>
      <c r="C785" s="61"/>
      <c r="D785" s="61"/>
      <c r="E785" s="61"/>
      <c r="F785" s="61"/>
      <c r="G785" s="61"/>
      <c r="H785" s="91"/>
      <c r="I785" s="68"/>
      <c r="J785" s="68"/>
      <c r="K785" s="68"/>
      <c r="L785" s="61"/>
      <c r="M785" s="61"/>
      <c r="N785" s="61"/>
      <c r="O785" s="61"/>
      <c r="P785" s="61"/>
      <c r="Q785" s="61"/>
      <c r="R785" s="61"/>
      <c r="S785" s="61"/>
    </row>
    <row r="786" spans="1:19" ht="15">
      <c r="A786" s="68"/>
      <c r="B786" s="61"/>
      <c r="C786" s="61"/>
      <c r="D786" s="61"/>
      <c r="E786" s="61"/>
      <c r="F786" s="61"/>
      <c r="G786" s="61"/>
      <c r="H786" s="91"/>
      <c r="I786" s="68"/>
      <c r="J786" s="68"/>
      <c r="K786" s="68"/>
      <c r="L786" s="61"/>
      <c r="M786" s="61"/>
      <c r="N786" s="61"/>
      <c r="O786" s="61"/>
      <c r="P786" s="61"/>
      <c r="Q786" s="61"/>
      <c r="R786" s="61"/>
      <c r="S786" s="61"/>
    </row>
    <row r="787" spans="1:19" ht="15">
      <c r="A787" s="68"/>
      <c r="B787" s="61"/>
      <c r="C787" s="61"/>
      <c r="D787" s="61"/>
      <c r="E787" s="61"/>
      <c r="F787" s="61"/>
      <c r="G787" s="61"/>
      <c r="H787" s="91"/>
      <c r="I787" s="68"/>
      <c r="J787" s="68"/>
      <c r="K787" s="68"/>
      <c r="L787" s="61"/>
      <c r="M787" s="61"/>
      <c r="N787" s="61"/>
      <c r="O787" s="61"/>
      <c r="P787" s="61"/>
      <c r="Q787" s="61"/>
      <c r="R787" s="61"/>
      <c r="S787" s="61"/>
    </row>
    <row r="788" spans="1:19" ht="15">
      <c r="A788" s="68"/>
      <c r="B788" s="61"/>
      <c r="C788" s="61"/>
      <c r="D788" s="61"/>
      <c r="E788" s="61"/>
      <c r="F788" s="61"/>
      <c r="G788" s="61"/>
      <c r="H788" s="91"/>
      <c r="I788" s="68"/>
      <c r="J788" s="68"/>
      <c r="K788" s="68"/>
      <c r="L788" s="61"/>
      <c r="M788" s="61"/>
      <c r="N788" s="61"/>
      <c r="O788" s="61"/>
      <c r="P788" s="61"/>
      <c r="Q788" s="61"/>
      <c r="R788" s="61"/>
      <c r="S788" s="61"/>
    </row>
    <row r="789" spans="1:19" ht="15">
      <c r="A789" s="68"/>
      <c r="B789" s="61"/>
      <c r="C789" s="61"/>
      <c r="D789" s="61"/>
      <c r="E789" s="61"/>
      <c r="F789" s="61"/>
      <c r="G789" s="61"/>
      <c r="H789" s="91"/>
      <c r="I789" s="68"/>
      <c r="J789" s="68"/>
      <c r="K789" s="68"/>
      <c r="L789" s="61"/>
      <c r="M789" s="61"/>
      <c r="N789" s="61"/>
      <c r="O789" s="61"/>
      <c r="P789" s="61"/>
      <c r="Q789" s="61"/>
      <c r="R789" s="61"/>
      <c r="S789" s="61"/>
    </row>
    <row r="790" spans="1:19" ht="15">
      <c r="A790" s="68"/>
      <c r="B790" s="61"/>
      <c r="C790" s="61"/>
      <c r="D790" s="61"/>
      <c r="E790" s="61"/>
      <c r="F790" s="61"/>
      <c r="G790" s="61"/>
      <c r="H790" s="91"/>
      <c r="I790" s="68"/>
      <c r="J790" s="68"/>
      <c r="K790" s="68"/>
      <c r="L790" s="61"/>
      <c r="M790" s="61"/>
      <c r="N790" s="61"/>
      <c r="O790" s="61"/>
      <c r="P790" s="61"/>
      <c r="Q790" s="61"/>
      <c r="R790" s="61"/>
      <c r="S790" s="61"/>
    </row>
    <row r="791" spans="1:19" ht="15">
      <c r="A791" s="68"/>
      <c r="B791" s="61"/>
      <c r="C791" s="61"/>
      <c r="D791" s="61"/>
      <c r="E791" s="61"/>
      <c r="F791" s="61"/>
      <c r="G791" s="61"/>
      <c r="H791" s="91"/>
      <c r="I791" s="68"/>
      <c r="J791" s="68"/>
      <c r="K791" s="68"/>
      <c r="L791" s="61"/>
      <c r="M791" s="61"/>
      <c r="N791" s="61"/>
      <c r="O791" s="61"/>
      <c r="P791" s="61"/>
      <c r="Q791" s="61"/>
      <c r="R791" s="61"/>
      <c r="S791" s="61"/>
    </row>
    <row r="792" spans="1:19" ht="15">
      <c r="A792" s="68"/>
      <c r="B792" s="61"/>
      <c r="C792" s="61"/>
      <c r="D792" s="61"/>
      <c r="E792" s="61"/>
      <c r="F792" s="61"/>
      <c r="G792" s="61"/>
      <c r="H792" s="91"/>
      <c r="I792" s="68"/>
      <c r="J792" s="68"/>
      <c r="K792" s="68"/>
      <c r="L792" s="61"/>
      <c r="M792" s="61"/>
      <c r="N792" s="61"/>
      <c r="O792" s="61"/>
      <c r="P792" s="61"/>
      <c r="Q792" s="61"/>
      <c r="R792" s="61"/>
      <c r="S792" s="61"/>
    </row>
    <row r="793" spans="1:19" ht="15">
      <c r="A793" s="68"/>
      <c r="B793" s="61"/>
      <c r="C793" s="61"/>
      <c r="D793" s="61"/>
      <c r="E793" s="61"/>
      <c r="F793" s="61"/>
      <c r="G793" s="61"/>
      <c r="H793" s="91"/>
      <c r="I793" s="68"/>
      <c r="J793" s="68"/>
      <c r="K793" s="68"/>
      <c r="L793" s="61"/>
      <c r="M793" s="61"/>
      <c r="N793" s="61"/>
      <c r="O793" s="61"/>
      <c r="P793" s="61"/>
      <c r="Q793" s="61"/>
      <c r="R793" s="61"/>
      <c r="S793" s="61"/>
    </row>
    <row r="794" spans="1:19" ht="15">
      <c r="A794" s="68"/>
      <c r="B794" s="61"/>
      <c r="C794" s="61"/>
      <c r="D794" s="61"/>
      <c r="E794" s="61"/>
      <c r="F794" s="61"/>
      <c r="G794" s="61"/>
      <c r="H794" s="91"/>
      <c r="I794" s="68"/>
      <c r="J794" s="68"/>
      <c r="K794" s="68"/>
      <c r="L794" s="61"/>
      <c r="M794" s="61"/>
      <c r="N794" s="61"/>
      <c r="O794" s="61"/>
      <c r="P794" s="61"/>
      <c r="Q794" s="61"/>
      <c r="R794" s="61"/>
      <c r="S794" s="61"/>
    </row>
    <row r="795" spans="1:19" ht="15">
      <c r="A795" s="68"/>
      <c r="B795" s="61"/>
      <c r="C795" s="61"/>
      <c r="D795" s="61"/>
      <c r="E795" s="61"/>
      <c r="F795" s="61"/>
      <c r="G795" s="61"/>
      <c r="H795" s="91"/>
      <c r="I795" s="68"/>
      <c r="J795" s="68"/>
      <c r="K795" s="68"/>
      <c r="L795" s="61"/>
      <c r="M795" s="61"/>
      <c r="N795" s="61"/>
      <c r="O795" s="61"/>
      <c r="P795" s="61"/>
      <c r="Q795" s="61"/>
      <c r="R795" s="61"/>
      <c r="S795" s="61"/>
    </row>
    <row r="796" spans="1:19" ht="15">
      <c r="A796" s="68"/>
      <c r="B796" s="61"/>
      <c r="C796" s="61"/>
      <c r="D796" s="61"/>
      <c r="E796" s="61"/>
      <c r="F796" s="61"/>
      <c r="G796" s="61"/>
      <c r="H796" s="91"/>
      <c r="I796" s="68"/>
      <c r="J796" s="68"/>
      <c r="K796" s="68"/>
      <c r="L796" s="61"/>
      <c r="M796" s="61"/>
      <c r="N796" s="61"/>
      <c r="O796" s="61"/>
      <c r="P796" s="61"/>
      <c r="Q796" s="61"/>
      <c r="R796" s="61"/>
      <c r="S796" s="61"/>
    </row>
    <row r="797" spans="1:19" ht="15">
      <c r="A797" s="68"/>
      <c r="B797" s="61"/>
      <c r="C797" s="61"/>
      <c r="D797" s="61"/>
      <c r="E797" s="61"/>
      <c r="F797" s="61"/>
      <c r="G797" s="61"/>
      <c r="H797" s="91"/>
      <c r="I797" s="68"/>
      <c r="J797" s="68"/>
      <c r="K797" s="68"/>
      <c r="L797" s="61"/>
      <c r="M797" s="61"/>
      <c r="N797" s="61"/>
      <c r="O797" s="61"/>
      <c r="P797" s="61"/>
      <c r="Q797" s="61"/>
      <c r="R797" s="61"/>
      <c r="S797" s="61"/>
    </row>
    <row r="798" spans="1:19" ht="15">
      <c r="A798" s="68"/>
      <c r="B798" s="61"/>
      <c r="C798" s="61"/>
      <c r="D798" s="61"/>
      <c r="E798" s="61"/>
      <c r="F798" s="61"/>
      <c r="G798" s="61"/>
      <c r="H798" s="91"/>
      <c r="I798" s="68"/>
      <c r="J798" s="68"/>
      <c r="K798" s="68"/>
      <c r="L798" s="61"/>
      <c r="M798" s="61"/>
      <c r="N798" s="61"/>
      <c r="O798" s="61"/>
      <c r="P798" s="61"/>
      <c r="Q798" s="61"/>
      <c r="R798" s="61"/>
      <c r="S798" s="61"/>
    </row>
    <row r="799" spans="1:19" ht="15">
      <c r="A799" s="68"/>
      <c r="B799" s="61"/>
      <c r="C799" s="61"/>
      <c r="D799" s="61"/>
      <c r="E799" s="61"/>
      <c r="F799" s="61"/>
      <c r="G799" s="61"/>
      <c r="H799" s="91"/>
      <c r="I799" s="68"/>
      <c r="J799" s="68"/>
      <c r="K799" s="68"/>
      <c r="L799" s="61"/>
      <c r="M799" s="61"/>
      <c r="N799" s="61"/>
      <c r="O799" s="61"/>
      <c r="P799" s="61"/>
      <c r="Q799" s="61"/>
      <c r="R799" s="61"/>
      <c r="S799" s="61"/>
    </row>
    <row r="800" spans="1:19" ht="15">
      <c r="A800" s="68"/>
      <c r="B800" s="61"/>
      <c r="C800" s="61"/>
      <c r="D800" s="61"/>
      <c r="E800" s="61"/>
      <c r="F800" s="61"/>
      <c r="G800" s="61"/>
      <c r="H800" s="91"/>
      <c r="I800" s="68"/>
      <c r="J800" s="68"/>
      <c r="K800" s="68"/>
      <c r="L800" s="61"/>
      <c r="M800" s="61"/>
      <c r="N800" s="61"/>
      <c r="O800" s="61"/>
      <c r="P800" s="61"/>
      <c r="Q800" s="61"/>
      <c r="R800" s="61"/>
      <c r="S800" s="61"/>
    </row>
    <row r="801" spans="1:19" ht="15">
      <c r="A801" s="68"/>
      <c r="B801" s="61"/>
      <c r="C801" s="61"/>
      <c r="D801" s="61"/>
      <c r="E801" s="61"/>
      <c r="F801" s="61"/>
      <c r="G801" s="61"/>
      <c r="H801" s="91"/>
      <c r="I801" s="68"/>
      <c r="J801" s="68"/>
      <c r="K801" s="68"/>
      <c r="L801" s="61"/>
      <c r="M801" s="61"/>
      <c r="N801" s="61"/>
      <c r="O801" s="61"/>
      <c r="P801" s="61"/>
      <c r="Q801" s="61"/>
      <c r="R801" s="61"/>
      <c r="S801" s="61"/>
    </row>
    <row r="802" spans="1:19" ht="15">
      <c r="A802" s="68"/>
      <c r="B802" s="61"/>
      <c r="C802" s="61"/>
      <c r="D802" s="61"/>
      <c r="E802" s="61"/>
      <c r="F802" s="61"/>
      <c r="G802" s="61"/>
      <c r="H802" s="91"/>
      <c r="I802" s="68"/>
      <c r="J802" s="68"/>
      <c r="K802" s="68"/>
      <c r="L802" s="61"/>
      <c r="M802" s="61"/>
      <c r="N802" s="61"/>
      <c r="O802" s="61"/>
      <c r="P802" s="61"/>
      <c r="Q802" s="61"/>
      <c r="R802" s="61"/>
      <c r="S802" s="61"/>
    </row>
    <row r="803" spans="1:19" ht="15">
      <c r="A803" s="68"/>
      <c r="B803" s="61"/>
      <c r="C803" s="61"/>
      <c r="D803" s="61"/>
      <c r="E803" s="61"/>
      <c r="F803" s="61"/>
      <c r="G803" s="61"/>
      <c r="H803" s="91"/>
      <c r="I803" s="68"/>
      <c r="J803" s="68"/>
      <c r="K803" s="68"/>
      <c r="L803" s="61"/>
      <c r="M803" s="61"/>
      <c r="N803" s="61"/>
      <c r="O803" s="61"/>
      <c r="P803" s="61"/>
      <c r="Q803" s="61"/>
      <c r="R803" s="61"/>
      <c r="S803" s="61"/>
    </row>
    <row r="804" spans="1:19" ht="15">
      <c r="A804" s="68"/>
      <c r="B804" s="61"/>
      <c r="C804" s="61"/>
      <c r="D804" s="61"/>
      <c r="E804" s="61"/>
      <c r="F804" s="61"/>
      <c r="G804" s="61"/>
      <c r="H804" s="91"/>
      <c r="I804" s="68"/>
      <c r="J804" s="68"/>
      <c r="K804" s="68"/>
      <c r="L804" s="61"/>
      <c r="M804" s="61"/>
      <c r="N804" s="61"/>
      <c r="O804" s="61"/>
      <c r="P804" s="61"/>
      <c r="Q804" s="61"/>
      <c r="R804" s="61"/>
      <c r="S804" s="61"/>
    </row>
    <row r="805" spans="1:19" ht="15">
      <c r="A805" s="68"/>
      <c r="B805" s="61"/>
      <c r="C805" s="61"/>
      <c r="D805" s="61"/>
      <c r="E805" s="61"/>
      <c r="F805" s="61"/>
      <c r="G805" s="61"/>
      <c r="H805" s="91"/>
      <c r="I805" s="68"/>
      <c r="J805" s="68"/>
      <c r="K805" s="68"/>
      <c r="L805" s="61"/>
      <c r="M805" s="61"/>
      <c r="N805" s="61"/>
      <c r="O805" s="61"/>
      <c r="P805" s="61"/>
      <c r="Q805" s="61"/>
      <c r="R805" s="61"/>
      <c r="S805" s="61"/>
    </row>
    <row r="806" spans="1:19" ht="15">
      <c r="A806" s="68"/>
      <c r="B806" s="61"/>
      <c r="C806" s="61"/>
      <c r="D806" s="61"/>
      <c r="E806" s="61"/>
      <c r="F806" s="61"/>
      <c r="G806" s="61"/>
      <c r="H806" s="91"/>
      <c r="I806" s="68"/>
      <c r="J806" s="68"/>
      <c r="K806" s="68"/>
      <c r="L806" s="61"/>
      <c r="M806" s="61"/>
      <c r="N806" s="61"/>
      <c r="O806" s="61"/>
      <c r="P806" s="61"/>
      <c r="Q806" s="61"/>
      <c r="R806" s="61"/>
      <c r="S806" s="61"/>
    </row>
    <row r="807" spans="1:19" ht="15">
      <c r="A807" s="68"/>
      <c r="B807" s="61"/>
      <c r="C807" s="61"/>
      <c r="D807" s="61"/>
      <c r="E807" s="61"/>
      <c r="F807" s="61"/>
      <c r="G807" s="61"/>
      <c r="H807" s="91"/>
      <c r="I807" s="68"/>
      <c r="J807" s="68"/>
      <c r="K807" s="68"/>
      <c r="L807" s="61"/>
      <c r="M807" s="61"/>
      <c r="N807" s="61"/>
      <c r="O807" s="61"/>
      <c r="P807" s="61"/>
      <c r="Q807" s="61"/>
      <c r="R807" s="61"/>
      <c r="S807" s="61"/>
    </row>
    <row r="808" spans="1:19" ht="15">
      <c r="A808" s="68"/>
      <c r="B808" s="61"/>
      <c r="C808" s="61"/>
      <c r="D808" s="61"/>
      <c r="E808" s="61"/>
      <c r="F808" s="61"/>
      <c r="G808" s="61"/>
      <c r="H808" s="91"/>
      <c r="I808" s="68"/>
      <c r="J808" s="68"/>
      <c r="K808" s="68"/>
      <c r="L808" s="61"/>
      <c r="M808" s="61"/>
      <c r="N808" s="61"/>
      <c r="O808" s="61"/>
      <c r="P808" s="61"/>
      <c r="Q808" s="61"/>
      <c r="R808" s="61"/>
      <c r="S808" s="61"/>
    </row>
    <row r="809" spans="1:19" ht="15">
      <c r="A809" s="68"/>
      <c r="B809" s="61"/>
      <c r="C809" s="61"/>
      <c r="D809" s="61"/>
      <c r="E809" s="61"/>
      <c r="F809" s="61"/>
      <c r="G809" s="61"/>
      <c r="H809" s="91"/>
      <c r="I809" s="68"/>
      <c r="J809" s="68"/>
      <c r="K809" s="68"/>
      <c r="L809" s="61"/>
      <c r="M809" s="61"/>
      <c r="N809" s="61"/>
      <c r="O809" s="61"/>
      <c r="P809" s="61"/>
      <c r="Q809" s="61"/>
      <c r="R809" s="61"/>
      <c r="S809" s="61"/>
    </row>
    <row r="810" spans="1:19" ht="15">
      <c r="A810" s="68"/>
      <c r="B810" s="61"/>
      <c r="C810" s="61"/>
      <c r="D810" s="61"/>
      <c r="E810" s="61"/>
      <c r="F810" s="61"/>
      <c r="G810" s="61"/>
      <c r="H810" s="91"/>
      <c r="I810" s="68"/>
      <c r="J810" s="68"/>
      <c r="K810" s="68"/>
      <c r="L810" s="61"/>
      <c r="M810" s="61"/>
      <c r="N810" s="61"/>
      <c r="O810" s="61"/>
      <c r="P810" s="61"/>
      <c r="Q810" s="61"/>
      <c r="R810" s="61"/>
      <c r="S810" s="61"/>
    </row>
    <row r="811" spans="1:19" ht="15">
      <c r="A811" s="68"/>
      <c r="B811" s="61"/>
      <c r="C811" s="61"/>
      <c r="D811" s="61"/>
      <c r="E811" s="61"/>
      <c r="F811" s="61"/>
      <c r="G811" s="61"/>
      <c r="H811" s="91"/>
      <c r="I811" s="68"/>
      <c r="J811" s="68"/>
      <c r="K811" s="68"/>
      <c r="L811" s="61"/>
      <c r="M811" s="61"/>
      <c r="N811" s="61"/>
      <c r="O811" s="61"/>
      <c r="P811" s="61"/>
      <c r="Q811" s="61"/>
      <c r="R811" s="61"/>
      <c r="S811" s="61"/>
    </row>
    <row r="812" spans="1:19" ht="15">
      <c r="A812" s="68"/>
      <c r="B812" s="61"/>
      <c r="C812" s="61"/>
      <c r="D812" s="61"/>
      <c r="E812" s="61"/>
      <c r="F812" s="61"/>
      <c r="G812" s="61"/>
      <c r="H812" s="91"/>
      <c r="I812" s="68"/>
      <c r="J812" s="68"/>
      <c r="K812" s="68"/>
      <c r="L812" s="61"/>
      <c r="M812" s="61"/>
      <c r="N812" s="61"/>
      <c r="O812" s="61"/>
      <c r="P812" s="61"/>
      <c r="Q812" s="61"/>
      <c r="R812" s="61"/>
      <c r="S812" s="61"/>
    </row>
    <row r="813" spans="1:19" ht="15">
      <c r="A813" s="68"/>
      <c r="B813" s="61"/>
      <c r="C813" s="61"/>
      <c r="D813" s="61"/>
      <c r="E813" s="61"/>
      <c r="F813" s="61"/>
      <c r="G813" s="61"/>
      <c r="H813" s="91"/>
      <c r="I813" s="68"/>
      <c r="J813" s="68"/>
      <c r="K813" s="68"/>
      <c r="L813" s="61"/>
      <c r="M813" s="61"/>
      <c r="N813" s="61"/>
      <c r="O813" s="61"/>
      <c r="P813" s="61"/>
      <c r="Q813" s="61"/>
      <c r="R813" s="61"/>
      <c r="S813" s="61"/>
    </row>
    <row r="814" spans="1:19" ht="15">
      <c r="A814" s="68"/>
      <c r="B814" s="61"/>
      <c r="C814" s="61"/>
      <c r="D814" s="61"/>
      <c r="E814" s="61"/>
      <c r="F814" s="61"/>
      <c r="G814" s="61"/>
      <c r="H814" s="91"/>
      <c r="I814" s="68"/>
      <c r="J814" s="68"/>
      <c r="K814" s="68"/>
      <c r="L814" s="61"/>
      <c r="M814" s="61"/>
      <c r="N814" s="61"/>
      <c r="O814" s="61"/>
      <c r="P814" s="61"/>
      <c r="Q814" s="61"/>
      <c r="R814" s="61"/>
      <c r="S814" s="61"/>
    </row>
    <row r="815" spans="1:19" ht="15">
      <c r="A815" s="68"/>
      <c r="B815" s="61"/>
      <c r="C815" s="61"/>
      <c r="D815" s="61"/>
      <c r="E815" s="61"/>
      <c r="F815" s="61"/>
      <c r="G815" s="61"/>
      <c r="H815" s="91"/>
      <c r="I815" s="68"/>
      <c r="J815" s="68"/>
      <c r="K815" s="68"/>
      <c r="L815" s="61"/>
      <c r="M815" s="61"/>
      <c r="N815" s="61"/>
      <c r="O815" s="61"/>
      <c r="P815" s="61"/>
      <c r="Q815" s="61"/>
      <c r="R815" s="61"/>
      <c r="S815" s="61"/>
    </row>
    <row r="816" spans="1:19" ht="15">
      <c r="A816" s="68"/>
      <c r="B816" s="61"/>
      <c r="C816" s="61"/>
      <c r="D816" s="61"/>
      <c r="E816" s="61"/>
      <c r="F816" s="61"/>
      <c r="G816" s="61"/>
      <c r="H816" s="91"/>
      <c r="I816" s="68"/>
      <c r="J816" s="68"/>
      <c r="K816" s="68"/>
      <c r="L816" s="61"/>
      <c r="M816" s="61"/>
      <c r="N816" s="61"/>
      <c r="O816" s="61"/>
      <c r="P816" s="61"/>
      <c r="Q816" s="61"/>
      <c r="R816" s="61"/>
      <c r="S816" s="61"/>
    </row>
    <row r="817" spans="1:19" ht="15">
      <c r="A817" s="68"/>
      <c r="B817" s="61"/>
      <c r="C817" s="61"/>
      <c r="D817" s="61"/>
      <c r="E817" s="61"/>
      <c r="F817" s="61"/>
      <c r="G817" s="61"/>
      <c r="H817" s="91"/>
      <c r="I817" s="68"/>
      <c r="J817" s="68"/>
      <c r="K817" s="68"/>
      <c r="L817" s="61"/>
      <c r="M817" s="61"/>
      <c r="N817" s="61"/>
      <c r="O817" s="61"/>
      <c r="P817" s="61"/>
      <c r="Q817" s="61"/>
      <c r="R817" s="61"/>
      <c r="S817" s="61"/>
    </row>
    <row r="818" spans="1:19" ht="15">
      <c r="A818" s="68"/>
      <c r="B818" s="61"/>
      <c r="C818" s="61"/>
      <c r="D818" s="61"/>
      <c r="E818" s="61"/>
      <c r="F818" s="61"/>
      <c r="G818" s="61"/>
      <c r="H818" s="91"/>
      <c r="I818" s="68"/>
      <c r="J818" s="68"/>
      <c r="K818" s="68"/>
      <c r="L818" s="61"/>
      <c r="M818" s="61"/>
      <c r="N818" s="61"/>
      <c r="O818" s="61"/>
      <c r="P818" s="61"/>
      <c r="Q818" s="61"/>
      <c r="R818" s="61"/>
      <c r="S818" s="61"/>
    </row>
    <row r="819" spans="1:19" ht="15">
      <c r="A819" s="68"/>
      <c r="B819" s="61"/>
      <c r="C819" s="61"/>
      <c r="D819" s="61"/>
      <c r="E819" s="61"/>
      <c r="F819" s="61"/>
      <c r="G819" s="61"/>
      <c r="H819" s="91"/>
      <c r="I819" s="68"/>
      <c r="J819" s="68"/>
      <c r="K819" s="68"/>
      <c r="L819" s="61"/>
      <c r="M819" s="61"/>
      <c r="N819" s="61"/>
      <c r="O819" s="61"/>
      <c r="P819" s="61"/>
      <c r="Q819" s="61"/>
      <c r="R819" s="61"/>
      <c r="S819" s="61"/>
    </row>
    <row r="820" spans="1:19" ht="15">
      <c r="A820" s="68"/>
      <c r="B820" s="61"/>
      <c r="C820" s="61"/>
      <c r="D820" s="61"/>
      <c r="E820" s="61"/>
      <c r="F820" s="61"/>
      <c r="G820" s="61"/>
      <c r="H820" s="91"/>
      <c r="I820" s="68"/>
      <c r="J820" s="68"/>
      <c r="K820" s="68"/>
      <c r="L820" s="61"/>
      <c r="M820" s="61"/>
      <c r="N820" s="61"/>
      <c r="O820" s="61"/>
      <c r="P820" s="61"/>
      <c r="Q820" s="61"/>
      <c r="R820" s="61"/>
      <c r="S820" s="61"/>
    </row>
    <row r="821" spans="1:19" ht="15">
      <c r="A821" s="68"/>
      <c r="B821" s="61"/>
      <c r="C821" s="61"/>
      <c r="D821" s="61"/>
      <c r="E821" s="61"/>
      <c r="F821" s="61"/>
      <c r="G821" s="61"/>
      <c r="H821" s="91"/>
      <c r="I821" s="68"/>
      <c r="J821" s="68"/>
      <c r="K821" s="68"/>
      <c r="L821" s="61"/>
      <c r="M821" s="61"/>
      <c r="N821" s="61"/>
      <c r="O821" s="61"/>
      <c r="P821" s="61"/>
      <c r="Q821" s="61"/>
      <c r="R821" s="61"/>
      <c r="S821" s="61"/>
    </row>
    <row r="822" spans="1:19" ht="15">
      <c r="A822" s="68"/>
      <c r="B822" s="61"/>
      <c r="C822" s="61"/>
      <c r="D822" s="61"/>
      <c r="E822" s="61"/>
      <c r="F822" s="61"/>
      <c r="G822" s="61"/>
      <c r="H822" s="91"/>
      <c r="I822" s="68"/>
      <c r="J822" s="68"/>
      <c r="K822" s="68"/>
      <c r="L822" s="61"/>
      <c r="M822" s="61"/>
      <c r="N822" s="61"/>
      <c r="O822" s="61"/>
      <c r="P822" s="61"/>
      <c r="Q822" s="61"/>
      <c r="R822" s="61"/>
      <c r="S822" s="61"/>
    </row>
    <row r="823" spans="1:19" ht="15">
      <c r="A823" s="68"/>
      <c r="B823" s="61"/>
      <c r="C823" s="61"/>
      <c r="D823" s="61"/>
      <c r="E823" s="61"/>
      <c r="F823" s="61"/>
      <c r="G823" s="61"/>
      <c r="H823" s="91"/>
      <c r="I823" s="68"/>
      <c r="J823" s="68"/>
      <c r="K823" s="68"/>
      <c r="L823" s="61"/>
      <c r="M823" s="61"/>
      <c r="N823" s="61"/>
      <c r="O823" s="61"/>
      <c r="P823" s="61"/>
      <c r="Q823" s="61"/>
      <c r="R823" s="61"/>
      <c r="S823" s="61"/>
    </row>
    <row r="824" spans="1:19" ht="15">
      <c r="A824" s="68"/>
      <c r="B824" s="61"/>
      <c r="C824" s="61"/>
      <c r="D824" s="61"/>
      <c r="E824" s="61"/>
      <c r="F824" s="61"/>
      <c r="G824" s="61"/>
      <c r="H824" s="91"/>
      <c r="I824" s="68"/>
      <c r="J824" s="68"/>
      <c r="K824" s="68"/>
      <c r="L824" s="61"/>
      <c r="M824" s="61"/>
      <c r="N824" s="61"/>
      <c r="O824" s="61"/>
      <c r="P824" s="61"/>
      <c r="Q824" s="61"/>
      <c r="R824" s="61"/>
      <c r="S824" s="61"/>
    </row>
    <row r="825" spans="1:19" ht="15">
      <c r="A825" s="68"/>
      <c r="B825" s="61"/>
      <c r="C825" s="61"/>
      <c r="D825" s="61"/>
      <c r="E825" s="61"/>
      <c r="F825" s="61"/>
      <c r="G825" s="61"/>
      <c r="H825" s="91"/>
      <c r="I825" s="68"/>
      <c r="J825" s="68"/>
      <c r="K825" s="68"/>
      <c r="L825" s="61"/>
      <c r="M825" s="61"/>
      <c r="N825" s="61"/>
      <c r="O825" s="61"/>
      <c r="P825" s="61"/>
      <c r="Q825" s="61"/>
      <c r="R825" s="61"/>
      <c r="S825" s="61"/>
    </row>
    <row r="826" spans="1:19" ht="15">
      <c r="A826" s="68"/>
      <c r="B826" s="61"/>
      <c r="C826" s="61"/>
      <c r="D826" s="61"/>
      <c r="E826" s="61"/>
      <c r="F826" s="61"/>
      <c r="G826" s="61"/>
      <c r="H826" s="91"/>
      <c r="I826" s="68"/>
      <c r="J826" s="68"/>
      <c r="K826" s="68"/>
      <c r="L826" s="61"/>
      <c r="M826" s="61"/>
      <c r="N826" s="61"/>
      <c r="O826" s="61"/>
      <c r="P826" s="61"/>
      <c r="Q826" s="61"/>
      <c r="R826" s="61"/>
      <c r="S826" s="61"/>
    </row>
    <row r="827" spans="1:19" ht="15">
      <c r="A827" s="68"/>
      <c r="B827" s="61"/>
      <c r="C827" s="61"/>
      <c r="D827" s="61"/>
      <c r="E827" s="61"/>
      <c r="F827" s="61"/>
      <c r="G827" s="61"/>
      <c r="H827" s="91"/>
      <c r="I827" s="68"/>
      <c r="J827" s="68"/>
      <c r="K827" s="68"/>
      <c r="L827" s="61"/>
      <c r="M827" s="61"/>
      <c r="N827" s="61"/>
      <c r="O827" s="61"/>
      <c r="P827" s="61"/>
      <c r="Q827" s="61"/>
      <c r="R827" s="61"/>
      <c r="S827" s="61"/>
    </row>
    <row r="828" spans="1:19" ht="15">
      <c r="A828" s="68"/>
      <c r="B828" s="61"/>
      <c r="C828" s="61"/>
      <c r="D828" s="61"/>
      <c r="E828" s="61"/>
      <c r="F828" s="61"/>
      <c r="G828" s="61"/>
      <c r="H828" s="91"/>
      <c r="I828" s="68"/>
      <c r="J828" s="68"/>
      <c r="K828" s="68"/>
      <c r="L828" s="61"/>
      <c r="M828" s="61"/>
      <c r="N828" s="61"/>
      <c r="O828" s="61"/>
      <c r="P828" s="61"/>
      <c r="Q828" s="61"/>
      <c r="R828" s="61"/>
      <c r="S828" s="61"/>
    </row>
    <row r="829" spans="1:19" ht="15">
      <c r="A829" s="68"/>
      <c r="B829" s="61"/>
      <c r="C829" s="61"/>
      <c r="D829" s="61"/>
      <c r="E829" s="61"/>
      <c r="F829" s="61"/>
      <c r="G829" s="61"/>
      <c r="H829" s="91"/>
      <c r="I829" s="68"/>
      <c r="J829" s="68"/>
      <c r="K829" s="68"/>
      <c r="L829" s="61"/>
      <c r="M829" s="61"/>
      <c r="N829" s="61"/>
      <c r="O829" s="61"/>
      <c r="P829" s="61"/>
      <c r="Q829" s="61"/>
      <c r="R829" s="61"/>
      <c r="S829" s="61"/>
    </row>
    <row r="830" spans="1:19" ht="15">
      <c r="A830" s="68"/>
      <c r="B830" s="61"/>
      <c r="C830" s="61"/>
      <c r="D830" s="61"/>
      <c r="E830" s="61"/>
      <c r="F830" s="61"/>
      <c r="G830" s="61"/>
      <c r="H830" s="91"/>
      <c r="I830" s="68"/>
      <c r="J830" s="68"/>
      <c r="K830" s="68"/>
      <c r="L830" s="61"/>
      <c r="M830" s="61"/>
      <c r="N830" s="61"/>
      <c r="O830" s="61"/>
      <c r="P830" s="61"/>
      <c r="Q830" s="61"/>
      <c r="R830" s="61"/>
      <c r="S830" s="61"/>
    </row>
    <row r="831" spans="1:19" ht="15">
      <c r="A831" s="68"/>
      <c r="B831" s="61"/>
      <c r="C831" s="61"/>
      <c r="D831" s="61"/>
      <c r="E831" s="61"/>
      <c r="F831" s="61"/>
      <c r="G831" s="61"/>
      <c r="H831" s="91"/>
      <c r="I831" s="68"/>
      <c r="J831" s="68"/>
      <c r="K831" s="68"/>
      <c r="L831" s="61"/>
      <c r="M831" s="61"/>
      <c r="N831" s="61"/>
      <c r="O831" s="61"/>
      <c r="P831" s="61"/>
      <c r="Q831" s="61"/>
      <c r="R831" s="61"/>
      <c r="S831" s="61"/>
    </row>
    <row r="832" spans="1:19" ht="15">
      <c r="A832" s="68"/>
      <c r="B832" s="61"/>
      <c r="C832" s="61"/>
      <c r="D832" s="61"/>
      <c r="E832" s="61"/>
      <c r="F832" s="61"/>
      <c r="G832" s="61"/>
      <c r="H832" s="91"/>
      <c r="I832" s="68"/>
      <c r="J832" s="68"/>
      <c r="K832" s="68"/>
      <c r="L832" s="61"/>
      <c r="M832" s="61"/>
      <c r="N832" s="61"/>
      <c r="O832" s="61"/>
      <c r="P832" s="61"/>
      <c r="Q832" s="61"/>
      <c r="R832" s="61"/>
      <c r="S832" s="61"/>
    </row>
    <row r="833" spans="1:19" ht="15">
      <c r="A833" s="68"/>
      <c r="B833" s="61"/>
      <c r="C833" s="61"/>
      <c r="D833" s="61"/>
      <c r="E833" s="61"/>
      <c r="F833" s="61"/>
      <c r="G833" s="61"/>
      <c r="H833" s="91"/>
      <c r="I833" s="68"/>
      <c r="J833" s="68"/>
      <c r="K833" s="68"/>
      <c r="L833" s="61"/>
      <c r="M833" s="61"/>
      <c r="N833" s="61"/>
      <c r="O833" s="61"/>
      <c r="P833" s="61"/>
      <c r="Q833" s="61"/>
      <c r="R833" s="61"/>
      <c r="S833" s="61"/>
    </row>
    <row r="834" spans="1:19" ht="15">
      <c r="A834" s="68"/>
      <c r="B834" s="61"/>
      <c r="C834" s="61"/>
      <c r="D834" s="61"/>
      <c r="E834" s="61"/>
      <c r="F834" s="61"/>
      <c r="G834" s="61"/>
      <c r="H834" s="91"/>
      <c r="I834" s="68"/>
      <c r="J834" s="68"/>
      <c r="K834" s="68"/>
      <c r="L834" s="61"/>
      <c r="M834" s="61"/>
      <c r="N834" s="61"/>
      <c r="O834" s="61"/>
      <c r="P834" s="61"/>
      <c r="Q834" s="61"/>
      <c r="R834" s="61"/>
      <c r="S834" s="61"/>
    </row>
    <row r="835" spans="1:19" ht="15">
      <c r="A835" s="68"/>
      <c r="B835" s="61"/>
      <c r="C835" s="61"/>
      <c r="D835" s="61"/>
      <c r="E835" s="61"/>
      <c r="F835" s="61"/>
      <c r="G835" s="61"/>
      <c r="H835" s="91"/>
      <c r="I835" s="68"/>
      <c r="J835" s="68"/>
      <c r="K835" s="68"/>
      <c r="L835" s="61"/>
      <c r="M835" s="61"/>
      <c r="N835" s="61"/>
      <c r="O835" s="61"/>
      <c r="P835" s="61"/>
      <c r="Q835" s="61"/>
      <c r="R835" s="61"/>
      <c r="S835" s="61"/>
    </row>
    <row r="836" spans="1:19" ht="15">
      <c r="A836" s="68"/>
      <c r="B836" s="61"/>
      <c r="C836" s="61"/>
      <c r="D836" s="61"/>
      <c r="E836" s="61"/>
      <c r="F836" s="61"/>
      <c r="G836" s="61"/>
      <c r="H836" s="91"/>
      <c r="I836" s="68"/>
      <c r="J836" s="68"/>
      <c r="K836" s="68"/>
      <c r="L836" s="61"/>
      <c r="M836" s="61"/>
      <c r="N836" s="61"/>
      <c r="O836" s="61"/>
      <c r="P836" s="61"/>
      <c r="Q836" s="61"/>
      <c r="R836" s="61"/>
      <c r="S836" s="61"/>
    </row>
    <row r="837" spans="1:19" ht="15">
      <c r="A837" s="68"/>
      <c r="B837" s="61"/>
      <c r="C837" s="61"/>
      <c r="D837" s="61"/>
      <c r="E837" s="61"/>
      <c r="F837" s="61"/>
      <c r="G837" s="61"/>
      <c r="H837" s="91"/>
      <c r="I837" s="68"/>
      <c r="J837" s="68"/>
      <c r="K837" s="68"/>
      <c r="L837" s="61"/>
      <c r="M837" s="61"/>
      <c r="N837" s="61"/>
      <c r="O837" s="61"/>
      <c r="P837" s="61"/>
      <c r="Q837" s="61"/>
      <c r="R837" s="61"/>
      <c r="S837" s="61"/>
    </row>
    <row r="838" spans="1:19" ht="15">
      <c r="A838" s="68"/>
      <c r="B838" s="61"/>
      <c r="C838" s="61"/>
      <c r="D838" s="61"/>
      <c r="E838" s="61"/>
      <c r="F838" s="61"/>
      <c r="G838" s="61"/>
      <c r="H838" s="91"/>
      <c r="I838" s="68"/>
      <c r="J838" s="68"/>
      <c r="K838" s="68"/>
      <c r="L838" s="61"/>
      <c r="M838" s="61"/>
      <c r="N838" s="61"/>
      <c r="O838" s="61"/>
      <c r="P838" s="61"/>
      <c r="Q838" s="61"/>
      <c r="R838" s="61"/>
      <c r="S838" s="61"/>
    </row>
    <row r="839" spans="1:19" ht="15">
      <c r="A839" s="68"/>
      <c r="B839" s="61"/>
      <c r="C839" s="61"/>
      <c r="D839" s="61"/>
      <c r="E839" s="61"/>
      <c r="F839" s="61"/>
      <c r="G839" s="61"/>
      <c r="H839" s="91"/>
      <c r="I839" s="68"/>
      <c r="J839" s="68"/>
      <c r="K839" s="68"/>
      <c r="L839" s="61"/>
      <c r="M839" s="61"/>
      <c r="N839" s="61"/>
      <c r="O839" s="61"/>
      <c r="P839" s="61"/>
      <c r="Q839" s="61"/>
      <c r="R839" s="61"/>
      <c r="S839" s="61"/>
    </row>
    <row r="840" spans="1:19" ht="15">
      <c r="A840" s="68"/>
      <c r="B840" s="61"/>
      <c r="C840" s="61"/>
      <c r="D840" s="61"/>
      <c r="E840" s="61"/>
      <c r="F840" s="61"/>
      <c r="G840" s="61"/>
      <c r="H840" s="91"/>
      <c r="I840" s="68"/>
      <c r="J840" s="68"/>
      <c r="K840" s="68"/>
      <c r="L840" s="61"/>
      <c r="M840" s="61"/>
      <c r="N840" s="61"/>
      <c r="O840" s="61"/>
      <c r="P840" s="61"/>
      <c r="Q840" s="61"/>
      <c r="R840" s="61"/>
      <c r="S840" s="61"/>
    </row>
    <row r="841" spans="1:19" ht="15">
      <c r="A841" s="68"/>
      <c r="B841" s="61"/>
      <c r="C841" s="61"/>
      <c r="D841" s="61"/>
      <c r="E841" s="61"/>
      <c r="F841" s="61"/>
      <c r="G841" s="61"/>
      <c r="H841" s="91"/>
      <c r="I841" s="68"/>
      <c r="J841" s="68"/>
      <c r="K841" s="68"/>
      <c r="L841" s="61"/>
      <c r="M841" s="61"/>
      <c r="N841" s="61"/>
      <c r="O841" s="61"/>
      <c r="P841" s="61"/>
      <c r="Q841" s="61"/>
      <c r="R841" s="61"/>
      <c r="S841" s="61"/>
    </row>
    <row r="842" spans="1:19" ht="15">
      <c r="A842" s="68"/>
      <c r="B842" s="61"/>
      <c r="C842" s="61"/>
      <c r="D842" s="61"/>
      <c r="E842" s="61"/>
      <c r="F842" s="61"/>
      <c r="G842" s="61"/>
      <c r="H842" s="91"/>
      <c r="I842" s="68"/>
      <c r="J842" s="68"/>
      <c r="K842" s="68"/>
      <c r="L842" s="61"/>
      <c r="M842" s="61"/>
      <c r="N842" s="61"/>
      <c r="O842" s="61"/>
      <c r="P842" s="61"/>
      <c r="Q842" s="61"/>
      <c r="R842" s="61"/>
      <c r="S842" s="61"/>
    </row>
    <row r="843" spans="1:19" ht="15">
      <c r="A843" s="68"/>
      <c r="B843" s="61"/>
      <c r="C843" s="61"/>
      <c r="D843" s="61"/>
      <c r="E843" s="61"/>
      <c r="F843" s="61"/>
      <c r="G843" s="61"/>
      <c r="H843" s="91"/>
      <c r="I843" s="68"/>
      <c r="J843" s="68"/>
      <c r="K843" s="68"/>
      <c r="L843" s="61"/>
      <c r="M843" s="61"/>
      <c r="N843" s="61"/>
      <c r="O843" s="61"/>
      <c r="P843" s="61"/>
      <c r="Q843" s="61"/>
      <c r="R843" s="61"/>
      <c r="S843" s="61"/>
    </row>
    <row r="844" spans="1:19" ht="15">
      <c r="A844" s="68"/>
      <c r="B844" s="61"/>
      <c r="C844" s="61"/>
      <c r="D844" s="61"/>
      <c r="E844" s="61"/>
      <c r="F844" s="61"/>
      <c r="G844" s="61"/>
      <c r="H844" s="91"/>
      <c r="I844" s="68"/>
      <c r="J844" s="68"/>
      <c r="K844" s="68"/>
      <c r="L844" s="61"/>
      <c r="M844" s="61"/>
      <c r="N844" s="61"/>
      <c r="O844" s="61"/>
      <c r="P844" s="61"/>
      <c r="Q844" s="61"/>
      <c r="R844" s="61"/>
      <c r="S844" s="61"/>
    </row>
    <row r="845" spans="1:19" ht="15">
      <c r="A845" s="68"/>
      <c r="B845" s="61"/>
      <c r="C845" s="61"/>
      <c r="D845" s="61"/>
      <c r="E845" s="61"/>
      <c r="F845" s="61"/>
      <c r="G845" s="61"/>
      <c r="H845" s="91"/>
      <c r="I845" s="68"/>
      <c r="J845" s="68"/>
      <c r="K845" s="68"/>
      <c r="L845" s="61"/>
      <c r="M845" s="61"/>
      <c r="N845" s="61"/>
      <c r="O845" s="61"/>
      <c r="P845" s="61"/>
      <c r="Q845" s="61"/>
      <c r="R845" s="61"/>
      <c r="S845" s="61"/>
    </row>
    <row r="846" spans="1:19" ht="15">
      <c r="A846" s="68"/>
      <c r="B846" s="61"/>
      <c r="C846" s="61"/>
      <c r="D846" s="61"/>
      <c r="E846" s="61"/>
      <c r="F846" s="61"/>
      <c r="G846" s="61"/>
      <c r="H846" s="91"/>
      <c r="I846" s="68"/>
      <c r="J846" s="68"/>
      <c r="K846" s="68"/>
      <c r="L846" s="61"/>
      <c r="M846" s="61"/>
      <c r="N846" s="61"/>
      <c r="O846" s="61"/>
      <c r="P846" s="61"/>
      <c r="Q846" s="61"/>
      <c r="R846" s="61"/>
      <c r="S846" s="61"/>
    </row>
    <row r="847" spans="1:19" ht="15">
      <c r="A847" s="68"/>
      <c r="B847" s="61"/>
      <c r="C847" s="61"/>
      <c r="D847" s="61"/>
      <c r="E847" s="61"/>
      <c r="F847" s="61"/>
      <c r="G847" s="61"/>
      <c r="H847" s="91"/>
      <c r="I847" s="68"/>
      <c r="J847" s="68"/>
      <c r="K847" s="68"/>
      <c r="L847" s="61"/>
      <c r="M847" s="61"/>
      <c r="N847" s="61"/>
      <c r="O847" s="61"/>
      <c r="P847" s="61"/>
      <c r="Q847" s="61"/>
      <c r="R847" s="61"/>
      <c r="S847" s="61"/>
    </row>
    <row r="848" spans="1:19" ht="15">
      <c r="A848" s="68"/>
      <c r="B848" s="61"/>
      <c r="C848" s="61"/>
      <c r="D848" s="61"/>
      <c r="E848" s="61"/>
      <c r="F848" s="61"/>
      <c r="G848" s="61"/>
      <c r="H848" s="91"/>
      <c r="I848" s="68"/>
      <c r="J848" s="68"/>
      <c r="K848" s="68"/>
      <c r="L848" s="61"/>
      <c r="M848" s="61"/>
      <c r="N848" s="61"/>
      <c r="O848" s="61"/>
      <c r="P848" s="61"/>
      <c r="Q848" s="61"/>
      <c r="R848" s="61"/>
      <c r="S848" s="61"/>
    </row>
    <row r="849" spans="1:19" ht="15">
      <c r="A849" s="68"/>
      <c r="B849" s="61"/>
      <c r="C849" s="61"/>
      <c r="D849" s="61"/>
      <c r="E849" s="61"/>
      <c r="F849" s="61"/>
      <c r="G849" s="61"/>
      <c r="H849" s="91"/>
      <c r="I849" s="68"/>
      <c r="J849" s="68"/>
      <c r="K849" s="68"/>
      <c r="L849" s="61"/>
      <c r="M849" s="61"/>
      <c r="N849" s="61"/>
      <c r="O849" s="61"/>
      <c r="P849" s="61"/>
      <c r="Q849" s="61"/>
      <c r="R849" s="61"/>
      <c r="S849" s="61"/>
    </row>
    <row r="850" spans="1:19" ht="15">
      <c r="A850" s="68"/>
      <c r="B850" s="61"/>
      <c r="C850" s="61"/>
      <c r="D850" s="61"/>
      <c r="E850" s="61"/>
      <c r="F850" s="61"/>
      <c r="G850" s="61"/>
      <c r="H850" s="91"/>
      <c r="I850" s="68"/>
      <c r="J850" s="68"/>
      <c r="K850" s="68"/>
      <c r="L850" s="61"/>
      <c r="M850" s="61"/>
      <c r="N850" s="61"/>
      <c r="O850" s="61"/>
      <c r="P850" s="61"/>
      <c r="Q850" s="61"/>
      <c r="R850" s="61"/>
      <c r="S850" s="61"/>
    </row>
    <row r="851" spans="1:19" ht="15">
      <c r="A851" s="68"/>
      <c r="B851" s="61"/>
      <c r="C851" s="61"/>
      <c r="D851" s="61"/>
      <c r="E851" s="61"/>
      <c r="F851" s="61"/>
      <c r="G851" s="61"/>
      <c r="H851" s="91"/>
      <c r="I851" s="68"/>
      <c r="J851" s="68"/>
      <c r="K851" s="68"/>
      <c r="L851" s="61"/>
      <c r="M851" s="61"/>
      <c r="N851" s="61"/>
      <c r="O851" s="61"/>
      <c r="P851" s="61"/>
      <c r="Q851" s="61"/>
      <c r="R851" s="61"/>
      <c r="S851" s="61"/>
    </row>
    <row r="852" spans="1:19" ht="15">
      <c r="A852" s="68"/>
      <c r="B852" s="61"/>
      <c r="C852" s="61"/>
      <c r="D852" s="61"/>
      <c r="E852" s="61"/>
      <c r="F852" s="61"/>
      <c r="G852" s="61"/>
      <c r="H852" s="91"/>
      <c r="I852" s="68"/>
      <c r="J852" s="68"/>
      <c r="K852" s="68"/>
      <c r="L852" s="61"/>
      <c r="M852" s="61"/>
      <c r="N852" s="61"/>
      <c r="O852" s="61"/>
      <c r="P852" s="61"/>
      <c r="Q852" s="61"/>
      <c r="R852" s="61"/>
      <c r="S852" s="61"/>
    </row>
    <row r="853" spans="1:19" ht="15">
      <c r="A853" s="68"/>
      <c r="B853" s="61"/>
      <c r="C853" s="61"/>
      <c r="D853" s="61"/>
      <c r="E853" s="61"/>
      <c r="F853" s="61"/>
      <c r="G853" s="61"/>
      <c r="H853" s="91"/>
      <c r="I853" s="68"/>
      <c r="J853" s="68"/>
      <c r="K853" s="68"/>
      <c r="L853" s="61"/>
      <c r="M853" s="61"/>
      <c r="N853" s="61"/>
      <c r="O853" s="61"/>
      <c r="P853" s="61"/>
      <c r="Q853" s="61"/>
      <c r="R853" s="61"/>
      <c r="S853" s="61"/>
    </row>
    <row r="854" spans="1:19" ht="15">
      <c r="A854" s="68"/>
      <c r="B854" s="61"/>
      <c r="C854" s="61"/>
      <c r="D854" s="61"/>
      <c r="E854" s="61"/>
      <c r="F854" s="61"/>
      <c r="G854" s="61"/>
      <c r="H854" s="91"/>
      <c r="I854" s="68"/>
      <c r="J854" s="68"/>
      <c r="K854" s="68"/>
      <c r="L854" s="61"/>
      <c r="M854" s="61"/>
      <c r="N854" s="61"/>
      <c r="O854" s="61"/>
      <c r="P854" s="61"/>
      <c r="Q854" s="61"/>
      <c r="R854" s="61"/>
      <c r="S854" s="61"/>
    </row>
    <row r="855" spans="1:19" ht="15">
      <c r="A855" s="68"/>
      <c r="B855" s="61"/>
      <c r="C855" s="61"/>
      <c r="D855" s="61"/>
      <c r="E855" s="61"/>
      <c r="F855" s="61"/>
      <c r="G855" s="61"/>
      <c r="H855" s="91"/>
      <c r="I855" s="68"/>
      <c r="J855" s="68"/>
      <c r="K855" s="68"/>
      <c r="L855" s="61"/>
      <c r="M855" s="61"/>
      <c r="N855" s="61"/>
      <c r="O855" s="61"/>
      <c r="P855" s="61"/>
      <c r="Q855" s="61"/>
      <c r="R855" s="61"/>
      <c r="S855" s="61"/>
    </row>
    <row r="856" spans="1:19" ht="15">
      <c r="A856" s="68"/>
      <c r="B856" s="61"/>
      <c r="C856" s="61"/>
      <c r="D856" s="61"/>
      <c r="E856" s="61"/>
      <c r="F856" s="61"/>
      <c r="G856" s="61"/>
      <c r="H856" s="91"/>
      <c r="I856" s="68"/>
      <c r="J856" s="68"/>
      <c r="K856" s="68"/>
      <c r="L856" s="61"/>
      <c r="M856" s="61"/>
      <c r="N856" s="61"/>
      <c r="O856" s="61"/>
      <c r="P856" s="61"/>
      <c r="Q856" s="61"/>
      <c r="R856" s="61"/>
      <c r="S856" s="61"/>
    </row>
    <row r="857" spans="1:19" ht="15">
      <c r="A857" s="68"/>
      <c r="B857" s="61"/>
      <c r="C857" s="61"/>
      <c r="D857" s="61"/>
      <c r="E857" s="61"/>
      <c r="F857" s="61"/>
      <c r="G857" s="61"/>
      <c r="H857" s="91"/>
      <c r="I857" s="68"/>
      <c r="J857" s="68"/>
      <c r="K857" s="68"/>
      <c r="L857" s="61"/>
      <c r="M857" s="61"/>
      <c r="N857" s="61"/>
      <c r="O857" s="61"/>
      <c r="P857" s="61"/>
      <c r="Q857" s="61"/>
      <c r="R857" s="61"/>
      <c r="S857" s="61"/>
    </row>
    <row r="858" spans="1:19" ht="15">
      <c r="A858" s="68"/>
      <c r="B858" s="61"/>
      <c r="C858" s="61"/>
      <c r="D858" s="61"/>
      <c r="E858" s="61"/>
      <c r="F858" s="61"/>
      <c r="G858" s="61"/>
      <c r="H858" s="91"/>
      <c r="I858" s="68"/>
      <c r="J858" s="68"/>
      <c r="K858" s="68"/>
      <c r="L858" s="61"/>
      <c r="M858" s="61"/>
      <c r="N858" s="61"/>
      <c r="O858" s="61"/>
      <c r="P858" s="61"/>
      <c r="Q858" s="61"/>
      <c r="R858" s="61"/>
      <c r="S858" s="61"/>
    </row>
    <row r="859" spans="1:19" ht="15">
      <c r="A859" s="68"/>
      <c r="B859" s="61"/>
      <c r="C859" s="61"/>
      <c r="D859" s="61"/>
      <c r="E859" s="61"/>
      <c r="F859" s="61"/>
      <c r="G859" s="61"/>
      <c r="H859" s="91"/>
      <c r="I859" s="68"/>
      <c r="J859" s="68"/>
      <c r="K859" s="68"/>
      <c r="L859" s="61"/>
      <c r="M859" s="61"/>
      <c r="N859" s="61"/>
      <c r="O859" s="61"/>
      <c r="P859" s="61"/>
      <c r="Q859" s="61"/>
      <c r="R859" s="61"/>
      <c r="S859" s="61"/>
    </row>
    <row r="860" spans="1:19" ht="15">
      <c r="A860" s="68"/>
      <c r="B860" s="61"/>
      <c r="C860" s="61"/>
      <c r="D860" s="61"/>
      <c r="E860" s="61"/>
      <c r="F860" s="61"/>
      <c r="G860" s="61"/>
      <c r="H860" s="91"/>
      <c r="I860" s="68"/>
      <c r="J860" s="68"/>
      <c r="K860" s="68"/>
      <c r="L860" s="61"/>
      <c r="M860" s="61"/>
      <c r="N860" s="61"/>
      <c r="O860" s="61"/>
      <c r="P860" s="61"/>
      <c r="Q860" s="61"/>
      <c r="R860" s="61"/>
      <c r="S860" s="61"/>
    </row>
    <row r="861" spans="1:19" ht="15">
      <c r="A861" s="68"/>
      <c r="B861" s="61"/>
      <c r="C861" s="61"/>
      <c r="D861" s="61"/>
      <c r="E861" s="61"/>
      <c r="F861" s="61"/>
      <c r="G861" s="61"/>
      <c r="H861" s="91"/>
      <c r="I861" s="68"/>
      <c r="J861" s="68"/>
      <c r="K861" s="68"/>
      <c r="L861" s="61"/>
      <c r="M861" s="61"/>
      <c r="N861" s="61"/>
      <c r="O861" s="61"/>
      <c r="P861" s="61"/>
      <c r="Q861" s="61"/>
      <c r="R861" s="61"/>
      <c r="S861" s="61"/>
    </row>
    <row r="862" spans="1:19" ht="15">
      <c r="A862" s="68"/>
      <c r="B862" s="61"/>
      <c r="C862" s="61"/>
      <c r="D862" s="61"/>
      <c r="E862" s="61"/>
      <c r="F862" s="61"/>
      <c r="G862" s="61"/>
      <c r="H862" s="91"/>
      <c r="I862" s="68"/>
      <c r="J862" s="68"/>
      <c r="K862" s="68"/>
      <c r="L862" s="61"/>
      <c r="M862" s="61"/>
      <c r="N862" s="61"/>
      <c r="O862" s="61"/>
      <c r="P862" s="61"/>
      <c r="Q862" s="61"/>
      <c r="R862" s="61"/>
      <c r="S862" s="61"/>
    </row>
    <row r="863" spans="1:19" ht="15">
      <c r="A863" s="68"/>
      <c r="B863" s="61"/>
      <c r="C863" s="61"/>
      <c r="D863" s="61"/>
      <c r="E863" s="61"/>
      <c r="F863" s="61"/>
      <c r="G863" s="61"/>
      <c r="H863" s="91"/>
      <c r="I863" s="68"/>
      <c r="J863" s="68"/>
      <c r="K863" s="68"/>
      <c r="L863" s="61"/>
      <c r="M863" s="61"/>
      <c r="N863" s="61"/>
      <c r="O863" s="61"/>
      <c r="P863" s="61"/>
      <c r="Q863" s="61"/>
      <c r="R863" s="61"/>
      <c r="S863" s="61"/>
    </row>
    <row r="864" spans="1:19" ht="15">
      <c r="A864" s="68"/>
      <c r="B864" s="61"/>
      <c r="C864" s="61"/>
      <c r="D864" s="61"/>
      <c r="E864" s="61"/>
      <c r="F864" s="61"/>
      <c r="G864" s="61"/>
      <c r="H864" s="91"/>
      <c r="I864" s="68"/>
      <c r="J864" s="68"/>
      <c r="K864" s="68"/>
      <c r="L864" s="61"/>
      <c r="M864" s="61"/>
      <c r="N864" s="61"/>
      <c r="O864" s="61"/>
      <c r="P864" s="61"/>
      <c r="Q864" s="61"/>
      <c r="R864" s="61"/>
      <c r="S864" s="61"/>
    </row>
    <row r="865" spans="1:19" ht="15">
      <c r="A865" s="68"/>
      <c r="B865" s="61"/>
      <c r="C865" s="61"/>
      <c r="D865" s="61"/>
      <c r="E865" s="61"/>
      <c r="F865" s="61"/>
      <c r="G865" s="61"/>
      <c r="H865" s="91"/>
      <c r="I865" s="68"/>
      <c r="J865" s="68"/>
      <c r="K865" s="68"/>
      <c r="L865" s="61"/>
      <c r="M865" s="61"/>
      <c r="N865" s="61"/>
      <c r="O865" s="61"/>
      <c r="P865" s="61"/>
      <c r="Q865" s="61"/>
      <c r="R865" s="61"/>
      <c r="S865" s="61"/>
    </row>
    <row r="866" spans="1:19" ht="15">
      <c r="A866" s="68"/>
      <c r="B866" s="61"/>
      <c r="C866" s="61"/>
      <c r="D866" s="61"/>
      <c r="E866" s="61"/>
      <c r="F866" s="61"/>
      <c r="G866" s="61"/>
      <c r="H866" s="91"/>
      <c r="I866" s="68"/>
      <c r="J866" s="68"/>
      <c r="K866" s="68"/>
      <c r="L866" s="61"/>
      <c r="M866" s="61"/>
      <c r="N866" s="61"/>
      <c r="O866" s="61"/>
      <c r="P866" s="61"/>
      <c r="Q866" s="61"/>
      <c r="R866" s="61"/>
      <c r="S866" s="61"/>
    </row>
    <row r="867" spans="1:19" ht="15">
      <c r="A867" s="68"/>
      <c r="B867" s="61"/>
      <c r="C867" s="61"/>
      <c r="D867" s="61"/>
      <c r="E867" s="61"/>
      <c r="F867" s="61"/>
      <c r="G867" s="61"/>
      <c r="H867" s="91"/>
      <c r="I867" s="68"/>
      <c r="J867" s="68"/>
      <c r="K867" s="68"/>
      <c r="L867" s="61"/>
      <c r="M867" s="61"/>
      <c r="N867" s="61"/>
      <c r="O867" s="61"/>
      <c r="P867" s="61"/>
      <c r="Q867" s="61"/>
      <c r="R867" s="61"/>
      <c r="S867" s="61"/>
    </row>
    <row r="868" spans="1:19" ht="15">
      <c r="A868" s="68"/>
      <c r="B868" s="61"/>
      <c r="C868" s="61"/>
      <c r="D868" s="61"/>
      <c r="E868" s="61"/>
      <c r="F868" s="61"/>
      <c r="G868" s="61"/>
      <c r="H868" s="91"/>
      <c r="I868" s="68"/>
      <c r="J868" s="68"/>
      <c r="K868" s="68"/>
      <c r="L868" s="61"/>
      <c r="M868" s="61"/>
      <c r="N868" s="61"/>
      <c r="O868" s="61"/>
      <c r="P868" s="61"/>
      <c r="Q868" s="61"/>
      <c r="R868" s="61"/>
      <c r="S868" s="61"/>
    </row>
    <row r="869" spans="1:19" ht="15">
      <c r="A869" s="68"/>
      <c r="B869" s="61"/>
      <c r="C869" s="61"/>
      <c r="D869" s="61"/>
      <c r="E869" s="61"/>
      <c r="F869" s="61"/>
      <c r="G869" s="61"/>
      <c r="H869" s="91"/>
      <c r="I869" s="68"/>
      <c r="J869" s="68"/>
      <c r="K869" s="68"/>
      <c r="L869" s="61"/>
      <c r="M869" s="61"/>
      <c r="N869" s="61"/>
      <c r="O869" s="61"/>
      <c r="P869" s="61"/>
      <c r="Q869" s="61"/>
      <c r="R869" s="61"/>
      <c r="S869" s="61"/>
    </row>
    <row r="870" spans="1:19" ht="15">
      <c r="A870" s="68"/>
      <c r="B870" s="61"/>
      <c r="C870" s="61"/>
      <c r="D870" s="61"/>
      <c r="E870" s="61"/>
      <c r="F870" s="61"/>
      <c r="G870" s="61"/>
      <c r="H870" s="91"/>
      <c r="I870" s="68"/>
      <c r="J870" s="68"/>
      <c r="K870" s="68"/>
      <c r="L870" s="61"/>
      <c r="M870" s="61"/>
      <c r="N870" s="61"/>
      <c r="O870" s="61"/>
      <c r="P870" s="61"/>
      <c r="Q870" s="61"/>
      <c r="R870" s="61"/>
      <c r="S870" s="61"/>
    </row>
    <row r="871" spans="1:19" ht="15">
      <c r="A871" s="68"/>
      <c r="B871" s="61"/>
      <c r="C871" s="61"/>
      <c r="D871" s="61"/>
      <c r="E871" s="61"/>
      <c r="F871" s="61"/>
      <c r="G871" s="61"/>
      <c r="H871" s="91"/>
      <c r="I871" s="68"/>
      <c r="J871" s="68"/>
      <c r="K871" s="68"/>
      <c r="L871" s="61"/>
      <c r="M871" s="61"/>
      <c r="N871" s="61"/>
      <c r="O871" s="61"/>
      <c r="P871" s="61"/>
      <c r="Q871" s="61"/>
      <c r="R871" s="61"/>
      <c r="S871" s="61"/>
    </row>
    <row r="872" spans="1:19" ht="15">
      <c r="A872" s="68"/>
      <c r="B872" s="61"/>
      <c r="C872" s="61"/>
      <c r="D872" s="61"/>
      <c r="E872" s="61"/>
      <c r="F872" s="61"/>
      <c r="G872" s="61"/>
      <c r="H872" s="91"/>
      <c r="I872" s="68"/>
      <c r="J872" s="68"/>
      <c r="K872" s="68"/>
      <c r="L872" s="61"/>
      <c r="M872" s="61"/>
      <c r="N872" s="61"/>
      <c r="O872" s="61"/>
      <c r="P872" s="61"/>
      <c r="Q872" s="61"/>
      <c r="R872" s="61"/>
      <c r="S872" s="61"/>
    </row>
    <row r="873" spans="1:19" ht="15">
      <c r="A873" s="68"/>
      <c r="B873" s="61"/>
      <c r="C873" s="61"/>
      <c r="D873" s="61"/>
      <c r="E873" s="61"/>
      <c r="F873" s="61"/>
      <c r="G873" s="61"/>
      <c r="H873" s="91"/>
      <c r="I873" s="68"/>
      <c r="J873" s="68"/>
      <c r="K873" s="68"/>
      <c r="L873" s="61"/>
      <c r="M873" s="61"/>
      <c r="N873" s="61"/>
      <c r="O873" s="61"/>
      <c r="P873" s="61"/>
      <c r="Q873" s="61"/>
      <c r="R873" s="61"/>
      <c r="S873" s="61"/>
    </row>
    <row r="874" spans="1:19" ht="15">
      <c r="A874" s="68"/>
      <c r="B874" s="61"/>
      <c r="C874" s="61"/>
      <c r="D874" s="61"/>
      <c r="E874" s="61"/>
      <c r="F874" s="61"/>
      <c r="G874" s="61"/>
      <c r="H874" s="91"/>
      <c r="I874" s="68"/>
      <c r="J874" s="68"/>
      <c r="K874" s="68"/>
      <c r="L874" s="61"/>
      <c r="M874" s="61"/>
      <c r="N874" s="61"/>
      <c r="O874" s="61"/>
      <c r="P874" s="61"/>
      <c r="Q874" s="61"/>
      <c r="R874" s="61"/>
      <c r="S874" s="61"/>
    </row>
    <row r="875" spans="1:19" ht="15">
      <c r="A875" s="68"/>
      <c r="B875" s="61"/>
      <c r="C875" s="61"/>
      <c r="D875" s="61"/>
      <c r="E875" s="61"/>
      <c r="F875" s="61"/>
      <c r="G875" s="61"/>
      <c r="H875" s="91"/>
      <c r="I875" s="68"/>
      <c r="J875" s="68"/>
      <c r="K875" s="68"/>
      <c r="L875" s="61"/>
      <c r="M875" s="61"/>
      <c r="N875" s="61"/>
      <c r="O875" s="61"/>
      <c r="P875" s="61"/>
      <c r="Q875" s="61"/>
      <c r="R875" s="61"/>
      <c r="S875" s="61"/>
    </row>
    <row r="876" spans="1:19" ht="15">
      <c r="A876" s="68"/>
      <c r="B876" s="61"/>
      <c r="C876" s="61"/>
      <c r="D876" s="61"/>
      <c r="E876" s="61"/>
      <c r="F876" s="61"/>
      <c r="G876" s="61"/>
      <c r="H876" s="91"/>
      <c r="I876" s="68"/>
      <c r="J876" s="68"/>
      <c r="K876" s="68"/>
      <c r="L876" s="61"/>
      <c r="M876" s="61"/>
      <c r="N876" s="61"/>
      <c r="O876" s="61"/>
      <c r="P876" s="61"/>
      <c r="Q876" s="61"/>
      <c r="R876" s="61"/>
      <c r="S876" s="61"/>
    </row>
    <row r="877" spans="1:19" ht="15">
      <c r="A877" s="68"/>
      <c r="B877" s="61"/>
      <c r="C877" s="61"/>
      <c r="D877" s="61"/>
      <c r="E877" s="61"/>
      <c r="F877" s="61"/>
      <c r="G877" s="61"/>
      <c r="H877" s="91"/>
      <c r="I877" s="68"/>
      <c r="J877" s="68"/>
      <c r="K877" s="68"/>
      <c r="L877" s="61"/>
      <c r="M877" s="61"/>
      <c r="N877" s="61"/>
      <c r="O877" s="61"/>
      <c r="P877" s="61"/>
      <c r="Q877" s="61"/>
      <c r="R877" s="61"/>
      <c r="S877" s="61"/>
    </row>
    <row r="878" spans="1:19" ht="15">
      <c r="A878" s="68"/>
      <c r="B878" s="61"/>
      <c r="C878" s="61"/>
      <c r="D878" s="61"/>
      <c r="E878" s="61"/>
      <c r="F878" s="61"/>
      <c r="G878" s="61"/>
      <c r="H878" s="91"/>
      <c r="I878" s="68"/>
      <c r="J878" s="68"/>
      <c r="K878" s="68"/>
      <c r="L878" s="61"/>
      <c r="M878" s="61"/>
      <c r="N878" s="61"/>
      <c r="O878" s="61"/>
      <c r="P878" s="61"/>
      <c r="Q878" s="61"/>
      <c r="R878" s="61"/>
      <c r="S878" s="61"/>
    </row>
    <row r="879" spans="1:19" ht="15">
      <c r="A879" s="68"/>
      <c r="B879" s="61"/>
      <c r="C879" s="61"/>
      <c r="D879" s="61"/>
      <c r="E879" s="61"/>
      <c r="F879" s="61"/>
      <c r="G879" s="61"/>
      <c r="H879" s="91"/>
      <c r="I879" s="68"/>
      <c r="J879" s="68"/>
      <c r="K879" s="68"/>
      <c r="L879" s="61"/>
      <c r="M879" s="61"/>
      <c r="N879" s="61"/>
      <c r="O879" s="61"/>
      <c r="P879" s="61"/>
      <c r="Q879" s="61"/>
      <c r="R879" s="61"/>
      <c r="S879" s="61"/>
    </row>
    <row r="880" spans="1:19" ht="15">
      <c r="A880" s="68"/>
      <c r="B880" s="61"/>
      <c r="C880" s="61"/>
      <c r="D880" s="61"/>
      <c r="E880" s="61"/>
      <c r="F880" s="61"/>
      <c r="G880" s="61"/>
      <c r="H880" s="91"/>
      <c r="I880" s="68"/>
      <c r="J880" s="68"/>
      <c r="K880" s="68"/>
      <c r="L880" s="61"/>
      <c r="M880" s="61"/>
      <c r="N880" s="61"/>
      <c r="O880" s="61"/>
      <c r="P880" s="61"/>
      <c r="Q880" s="61"/>
      <c r="R880" s="61"/>
      <c r="S880" s="61"/>
    </row>
    <row r="881" spans="1:19" ht="15">
      <c r="A881" s="68"/>
      <c r="B881" s="61"/>
      <c r="C881" s="61"/>
      <c r="D881" s="61"/>
      <c r="E881" s="61"/>
      <c r="F881" s="61"/>
      <c r="G881" s="61"/>
      <c r="H881" s="91"/>
      <c r="I881" s="68"/>
      <c r="J881" s="68"/>
      <c r="K881" s="68"/>
      <c r="L881" s="61"/>
      <c r="M881" s="61"/>
      <c r="N881" s="61"/>
      <c r="O881" s="61"/>
      <c r="P881" s="61"/>
      <c r="Q881" s="61"/>
      <c r="R881" s="61"/>
      <c r="S881" s="61"/>
    </row>
    <row r="882" spans="1:19" ht="15">
      <c r="A882" s="68"/>
      <c r="B882" s="61"/>
      <c r="C882" s="61"/>
      <c r="D882" s="61"/>
      <c r="E882" s="61"/>
      <c r="F882" s="61"/>
      <c r="G882" s="61"/>
      <c r="H882" s="91"/>
      <c r="I882" s="68"/>
      <c r="J882" s="68"/>
      <c r="K882" s="68"/>
      <c r="L882" s="61"/>
      <c r="M882" s="61"/>
      <c r="N882" s="61"/>
      <c r="O882" s="61"/>
      <c r="P882" s="61"/>
      <c r="Q882" s="61"/>
      <c r="R882" s="61"/>
      <c r="S882" s="61"/>
    </row>
    <row r="883" spans="1:19" ht="15">
      <c r="A883" s="68"/>
      <c r="B883" s="61"/>
      <c r="C883" s="61"/>
      <c r="D883" s="61"/>
      <c r="E883" s="61"/>
      <c r="F883" s="61"/>
      <c r="G883" s="61"/>
      <c r="H883" s="91"/>
      <c r="I883" s="68"/>
      <c r="J883" s="68"/>
      <c r="K883" s="68"/>
      <c r="L883" s="61"/>
      <c r="M883" s="61"/>
      <c r="N883" s="61"/>
      <c r="O883" s="61"/>
      <c r="P883" s="61"/>
      <c r="Q883" s="61"/>
      <c r="R883" s="61"/>
      <c r="S883" s="61"/>
    </row>
    <row r="884" spans="1:19" ht="15">
      <c r="A884" s="68"/>
      <c r="B884" s="61"/>
      <c r="C884" s="61"/>
      <c r="D884" s="61"/>
      <c r="E884" s="61"/>
      <c r="F884" s="61"/>
      <c r="G884" s="61"/>
      <c r="H884" s="91"/>
      <c r="I884" s="68"/>
      <c r="J884" s="68"/>
      <c r="K884" s="68"/>
      <c r="L884" s="61"/>
      <c r="M884" s="61"/>
      <c r="N884" s="61"/>
      <c r="O884" s="61"/>
      <c r="P884" s="61"/>
      <c r="Q884" s="61"/>
      <c r="R884" s="61"/>
      <c r="S884" s="61"/>
    </row>
    <row r="885" spans="1:19" ht="15">
      <c r="A885" s="68"/>
      <c r="B885" s="61"/>
      <c r="C885" s="61"/>
      <c r="D885" s="61"/>
      <c r="E885" s="61"/>
      <c r="F885" s="61"/>
      <c r="G885" s="61"/>
      <c r="H885" s="91"/>
      <c r="I885" s="68"/>
      <c r="J885" s="68"/>
      <c r="K885" s="68"/>
      <c r="L885" s="61"/>
      <c r="M885" s="61"/>
      <c r="N885" s="61"/>
      <c r="O885" s="61"/>
      <c r="P885" s="61"/>
      <c r="Q885" s="61"/>
      <c r="R885" s="61"/>
      <c r="S885" s="61"/>
    </row>
    <row r="886" spans="1:19" ht="15">
      <c r="A886" s="68"/>
      <c r="B886" s="61"/>
      <c r="C886" s="61"/>
      <c r="D886" s="61"/>
      <c r="E886" s="61"/>
      <c r="F886" s="61"/>
      <c r="G886" s="61"/>
      <c r="H886" s="91"/>
      <c r="I886" s="68"/>
      <c r="J886" s="68"/>
      <c r="K886" s="68"/>
      <c r="L886" s="61"/>
      <c r="M886" s="61"/>
      <c r="N886" s="61"/>
      <c r="O886" s="61"/>
      <c r="P886" s="61"/>
      <c r="Q886" s="61"/>
      <c r="R886" s="61"/>
      <c r="S886" s="61"/>
    </row>
    <row r="887" spans="1:19" ht="15">
      <c r="A887" s="68"/>
      <c r="B887" s="61"/>
      <c r="C887" s="61"/>
      <c r="D887" s="61"/>
      <c r="E887" s="61"/>
      <c r="F887" s="61"/>
      <c r="G887" s="61"/>
      <c r="H887" s="91"/>
      <c r="I887" s="68"/>
      <c r="J887" s="68"/>
      <c r="K887" s="68"/>
      <c r="L887" s="61"/>
      <c r="M887" s="61"/>
      <c r="N887" s="61"/>
      <c r="O887" s="61"/>
      <c r="P887" s="61"/>
      <c r="Q887" s="61"/>
      <c r="R887" s="61"/>
      <c r="S887" s="61"/>
    </row>
    <row r="888" spans="1:19" ht="15">
      <c r="A888" s="68"/>
      <c r="B888" s="61"/>
      <c r="C888" s="61"/>
      <c r="D888" s="61"/>
      <c r="E888" s="61"/>
      <c r="F888" s="61"/>
      <c r="G888" s="61"/>
      <c r="H888" s="91"/>
      <c r="I888" s="68"/>
      <c r="J888" s="68"/>
      <c r="K888" s="68"/>
      <c r="L888" s="61"/>
      <c r="M888" s="61"/>
      <c r="N888" s="61"/>
      <c r="O888" s="61"/>
      <c r="P888" s="61"/>
      <c r="Q888" s="61"/>
      <c r="R888" s="61"/>
      <c r="S888" s="61"/>
    </row>
    <row r="889" spans="1:19" ht="15">
      <c r="A889" s="68"/>
      <c r="B889" s="61"/>
      <c r="C889" s="61"/>
      <c r="D889" s="61"/>
      <c r="E889" s="61"/>
      <c r="F889" s="61"/>
      <c r="G889" s="61"/>
      <c r="H889" s="91"/>
      <c r="I889" s="68"/>
      <c r="J889" s="68"/>
      <c r="K889" s="68"/>
      <c r="L889" s="61"/>
      <c r="M889" s="61"/>
      <c r="N889" s="61"/>
      <c r="O889" s="61"/>
      <c r="P889" s="61"/>
      <c r="Q889" s="61"/>
      <c r="R889" s="61"/>
      <c r="S889" s="61"/>
    </row>
    <row r="890" spans="1:19" ht="15">
      <c r="A890" s="68"/>
      <c r="B890" s="61"/>
      <c r="C890" s="61"/>
      <c r="D890" s="61"/>
      <c r="E890" s="61"/>
      <c r="F890" s="61"/>
      <c r="G890" s="61"/>
      <c r="H890" s="91"/>
      <c r="I890" s="68"/>
      <c r="J890" s="68"/>
      <c r="K890" s="68"/>
      <c r="L890" s="61"/>
      <c r="M890" s="61"/>
      <c r="N890" s="61"/>
      <c r="O890" s="61"/>
      <c r="P890" s="61"/>
      <c r="Q890" s="61"/>
      <c r="R890" s="61"/>
      <c r="S890" s="61"/>
    </row>
    <row r="891" spans="1:19" ht="15">
      <c r="A891" s="68"/>
      <c r="B891" s="61"/>
      <c r="C891" s="61"/>
      <c r="D891" s="61"/>
      <c r="E891" s="61"/>
      <c r="F891" s="61"/>
      <c r="G891" s="61"/>
      <c r="H891" s="91"/>
      <c r="I891" s="68"/>
      <c r="J891" s="68"/>
      <c r="K891" s="68"/>
      <c r="L891" s="61"/>
      <c r="M891" s="61"/>
      <c r="N891" s="61"/>
      <c r="O891" s="61"/>
      <c r="P891" s="61"/>
      <c r="Q891" s="61"/>
      <c r="R891" s="61"/>
      <c r="S891" s="61"/>
    </row>
    <row r="892" spans="1:19" ht="15">
      <c r="A892" s="68"/>
      <c r="B892" s="61"/>
      <c r="C892" s="61"/>
      <c r="D892" s="61"/>
      <c r="E892" s="61"/>
      <c r="F892" s="61"/>
      <c r="G892" s="61"/>
      <c r="H892" s="91"/>
      <c r="I892" s="68"/>
      <c r="J892" s="68"/>
      <c r="K892" s="68"/>
      <c r="L892" s="61"/>
      <c r="M892" s="61"/>
      <c r="N892" s="61"/>
      <c r="O892" s="61"/>
      <c r="P892" s="61"/>
      <c r="Q892" s="61"/>
      <c r="R892" s="61"/>
      <c r="S892" s="61"/>
    </row>
    <row r="893" spans="1:19" ht="15">
      <c r="A893" s="68"/>
      <c r="B893" s="61"/>
      <c r="C893" s="61"/>
      <c r="D893" s="61"/>
      <c r="E893" s="61"/>
      <c r="F893" s="61"/>
      <c r="G893" s="61"/>
      <c r="H893" s="91"/>
      <c r="I893" s="68"/>
      <c r="J893" s="68"/>
      <c r="K893" s="68"/>
      <c r="L893" s="61"/>
      <c r="M893" s="61"/>
      <c r="N893" s="61"/>
      <c r="O893" s="61"/>
      <c r="P893" s="61"/>
      <c r="Q893" s="61"/>
      <c r="R893" s="61"/>
      <c r="S893" s="61"/>
    </row>
    <row r="894" spans="1:19" ht="15">
      <c r="A894" s="68"/>
      <c r="B894" s="61"/>
      <c r="C894" s="61"/>
      <c r="D894" s="61"/>
      <c r="E894" s="61"/>
      <c r="F894" s="61"/>
      <c r="G894" s="61"/>
      <c r="H894" s="91"/>
      <c r="I894" s="68"/>
      <c r="J894" s="68"/>
      <c r="K894" s="68"/>
      <c r="L894" s="61"/>
      <c r="M894" s="61"/>
      <c r="N894" s="61"/>
      <c r="O894" s="61"/>
      <c r="P894" s="61"/>
      <c r="Q894" s="61"/>
      <c r="R894" s="61"/>
      <c r="S894" s="61"/>
    </row>
    <row r="895" spans="1:19" ht="15">
      <c r="A895" s="68"/>
      <c r="B895" s="61"/>
      <c r="C895" s="61"/>
      <c r="D895" s="61"/>
      <c r="E895" s="61"/>
      <c r="F895" s="61"/>
      <c r="G895" s="61"/>
      <c r="H895" s="91"/>
      <c r="I895" s="68"/>
      <c r="J895" s="68"/>
      <c r="K895" s="68"/>
      <c r="L895" s="61"/>
      <c r="M895" s="61"/>
      <c r="N895" s="61"/>
      <c r="O895" s="61"/>
      <c r="P895" s="61"/>
      <c r="Q895" s="61"/>
      <c r="R895" s="61"/>
      <c r="S895" s="61"/>
    </row>
    <row r="896" spans="1:19" ht="15">
      <c r="A896" s="68"/>
      <c r="B896" s="61"/>
      <c r="C896" s="61"/>
      <c r="D896" s="61"/>
      <c r="E896" s="61"/>
      <c r="F896" s="61"/>
      <c r="G896" s="61"/>
      <c r="H896" s="91"/>
      <c r="I896" s="68"/>
      <c r="J896" s="68"/>
      <c r="K896" s="68"/>
      <c r="L896" s="61"/>
      <c r="M896" s="61"/>
      <c r="N896" s="61"/>
      <c r="O896" s="61"/>
      <c r="P896" s="61"/>
      <c r="Q896" s="61"/>
      <c r="R896" s="61"/>
      <c r="S896" s="61"/>
    </row>
    <row r="897" spans="1:19" ht="15">
      <c r="A897" s="68"/>
      <c r="B897" s="61"/>
      <c r="C897" s="61"/>
      <c r="D897" s="61"/>
      <c r="E897" s="61"/>
      <c r="F897" s="61"/>
      <c r="G897" s="61"/>
      <c r="H897" s="91"/>
      <c r="I897" s="68"/>
      <c r="J897" s="68"/>
      <c r="K897" s="68"/>
      <c r="L897" s="61"/>
      <c r="M897" s="61"/>
      <c r="N897" s="61"/>
      <c r="O897" s="61"/>
      <c r="P897" s="61"/>
      <c r="Q897" s="61"/>
      <c r="R897" s="61"/>
      <c r="S897" s="61"/>
    </row>
    <row r="898" spans="1:19" ht="15">
      <c r="A898" s="68"/>
      <c r="B898" s="61"/>
      <c r="C898" s="61"/>
      <c r="D898" s="61"/>
      <c r="E898" s="61"/>
      <c r="F898" s="61"/>
      <c r="G898" s="61"/>
      <c r="H898" s="91"/>
      <c r="I898" s="68"/>
      <c r="J898" s="68"/>
      <c r="K898" s="68"/>
      <c r="L898" s="61"/>
      <c r="M898" s="61"/>
      <c r="N898" s="61"/>
      <c r="O898" s="61"/>
      <c r="P898" s="61"/>
      <c r="Q898" s="61"/>
      <c r="R898" s="61"/>
      <c r="S898" s="61"/>
    </row>
    <row r="899" spans="1:19" ht="15">
      <c r="A899" s="68"/>
      <c r="B899" s="61"/>
      <c r="C899" s="61"/>
      <c r="D899" s="61"/>
      <c r="E899" s="61"/>
      <c r="F899" s="61"/>
      <c r="G899" s="61"/>
      <c r="H899" s="91"/>
      <c r="I899" s="68"/>
      <c r="J899" s="68"/>
      <c r="K899" s="68"/>
      <c r="L899" s="61"/>
      <c r="M899" s="61"/>
      <c r="N899" s="61"/>
      <c r="O899" s="61"/>
      <c r="P899" s="61"/>
      <c r="Q899" s="61"/>
      <c r="R899" s="61"/>
      <c r="S899" s="61"/>
    </row>
    <row r="900" spans="1:19" ht="15">
      <c r="A900" s="68"/>
      <c r="B900" s="61"/>
      <c r="C900" s="61"/>
      <c r="D900" s="61"/>
      <c r="E900" s="61"/>
      <c r="F900" s="61"/>
      <c r="G900" s="61"/>
      <c r="H900" s="91"/>
      <c r="I900" s="68"/>
      <c r="J900" s="68"/>
      <c r="K900" s="68"/>
      <c r="L900" s="61"/>
      <c r="M900" s="61"/>
      <c r="N900" s="61"/>
      <c r="O900" s="61"/>
      <c r="P900" s="61"/>
      <c r="Q900" s="61"/>
      <c r="R900" s="61"/>
      <c r="S900" s="61"/>
    </row>
    <row r="901" spans="1:19" ht="15">
      <c r="A901" s="68"/>
      <c r="B901" s="61"/>
      <c r="C901" s="61"/>
      <c r="D901" s="61"/>
      <c r="E901" s="61"/>
      <c r="F901" s="61"/>
      <c r="G901" s="61"/>
      <c r="H901" s="91"/>
      <c r="I901" s="68"/>
      <c r="J901" s="68"/>
      <c r="K901" s="68"/>
      <c r="L901" s="61"/>
      <c r="M901" s="61"/>
      <c r="N901" s="61"/>
      <c r="O901" s="61"/>
      <c r="P901" s="61"/>
      <c r="Q901" s="61"/>
      <c r="R901" s="61"/>
      <c r="S901" s="61"/>
    </row>
    <row r="902" spans="1:19" ht="15">
      <c r="A902" s="68"/>
      <c r="B902" s="61"/>
      <c r="C902" s="61"/>
      <c r="D902" s="61"/>
      <c r="E902" s="61"/>
      <c r="F902" s="61"/>
      <c r="G902" s="61"/>
      <c r="H902" s="91"/>
      <c r="I902" s="68"/>
      <c r="J902" s="68"/>
      <c r="K902" s="68"/>
      <c r="L902" s="61"/>
      <c r="M902" s="61"/>
      <c r="N902" s="61"/>
      <c r="O902" s="61"/>
      <c r="P902" s="61"/>
      <c r="Q902" s="61"/>
      <c r="R902" s="61"/>
      <c r="S902" s="61"/>
    </row>
    <row r="903" spans="1:19" ht="15">
      <c r="A903" s="68"/>
      <c r="B903" s="61"/>
      <c r="C903" s="61"/>
      <c r="D903" s="61"/>
      <c r="E903" s="61"/>
      <c r="F903" s="61"/>
      <c r="G903" s="61"/>
      <c r="H903" s="91"/>
      <c r="I903" s="68"/>
      <c r="J903" s="68"/>
      <c r="K903" s="68"/>
      <c r="L903" s="61"/>
      <c r="M903" s="61"/>
      <c r="N903" s="61"/>
      <c r="O903" s="61"/>
      <c r="P903" s="61"/>
      <c r="Q903" s="61"/>
      <c r="R903" s="61"/>
      <c r="S903" s="61"/>
    </row>
    <row r="904" spans="1:19" ht="15">
      <c r="A904" s="68"/>
      <c r="B904" s="61"/>
      <c r="C904" s="61"/>
      <c r="D904" s="61"/>
      <c r="E904" s="61"/>
      <c r="F904" s="61"/>
      <c r="G904" s="61"/>
      <c r="H904" s="91"/>
      <c r="I904" s="68"/>
      <c r="J904" s="68"/>
      <c r="K904" s="68"/>
      <c r="L904" s="61"/>
      <c r="M904" s="61"/>
      <c r="N904" s="61"/>
      <c r="O904" s="61"/>
      <c r="P904" s="61"/>
      <c r="Q904" s="61"/>
      <c r="R904" s="61"/>
      <c r="S904" s="61"/>
    </row>
    <row r="905" spans="1:19" ht="15">
      <c r="A905" s="68"/>
      <c r="B905" s="61"/>
      <c r="C905" s="61"/>
      <c r="D905" s="61"/>
      <c r="E905" s="61"/>
      <c r="F905" s="61"/>
      <c r="G905" s="61"/>
      <c r="H905" s="91"/>
      <c r="I905" s="68"/>
      <c r="J905" s="68"/>
      <c r="K905" s="68"/>
      <c r="L905" s="61"/>
      <c r="M905" s="61"/>
      <c r="N905" s="61"/>
      <c r="O905" s="61"/>
      <c r="P905" s="61"/>
      <c r="Q905" s="61"/>
      <c r="R905" s="61"/>
      <c r="S905" s="61"/>
    </row>
    <row r="906" spans="1:19" ht="15">
      <c r="A906" s="68"/>
      <c r="B906" s="61"/>
      <c r="C906" s="61"/>
      <c r="D906" s="61"/>
      <c r="E906" s="61"/>
      <c r="F906" s="61"/>
      <c r="G906" s="61"/>
      <c r="H906" s="91"/>
      <c r="I906" s="68"/>
      <c r="J906" s="68"/>
      <c r="K906" s="68"/>
      <c r="L906" s="61"/>
      <c r="M906" s="61"/>
      <c r="N906" s="61"/>
      <c r="O906" s="61"/>
      <c r="P906" s="61"/>
      <c r="Q906" s="61"/>
      <c r="R906" s="61"/>
      <c r="S906" s="61"/>
    </row>
    <row r="907" spans="1:19" ht="15">
      <c r="A907" s="68"/>
      <c r="B907" s="61"/>
      <c r="C907" s="61"/>
      <c r="D907" s="61"/>
      <c r="E907" s="61"/>
      <c r="F907" s="61"/>
      <c r="G907" s="61"/>
      <c r="H907" s="91"/>
      <c r="I907" s="68"/>
      <c r="J907" s="68"/>
      <c r="K907" s="68"/>
      <c r="L907" s="61"/>
      <c r="M907" s="61"/>
      <c r="N907" s="61"/>
      <c r="O907" s="61"/>
      <c r="P907" s="61"/>
      <c r="Q907" s="61"/>
      <c r="R907" s="61"/>
      <c r="S907" s="61"/>
    </row>
    <row r="908" spans="1:19" ht="15">
      <c r="A908" s="68"/>
      <c r="B908" s="61"/>
      <c r="C908" s="61"/>
      <c r="D908" s="61"/>
      <c r="E908" s="61"/>
      <c r="F908" s="61"/>
      <c r="G908" s="61"/>
      <c r="H908" s="91"/>
      <c r="I908" s="68"/>
      <c r="J908" s="68"/>
      <c r="K908" s="68"/>
      <c r="L908" s="61"/>
      <c r="M908" s="61"/>
      <c r="N908" s="61"/>
      <c r="O908" s="61"/>
      <c r="P908" s="61"/>
      <c r="Q908" s="61"/>
      <c r="R908" s="61"/>
      <c r="S908" s="61"/>
    </row>
    <row r="909" spans="1:19" ht="15">
      <c r="A909" s="68"/>
      <c r="B909" s="61"/>
      <c r="C909" s="61"/>
      <c r="D909" s="61"/>
      <c r="E909" s="61"/>
      <c r="F909" s="61"/>
      <c r="G909" s="61"/>
      <c r="H909" s="91"/>
      <c r="I909" s="68"/>
      <c r="J909" s="68"/>
      <c r="K909" s="68"/>
      <c r="L909" s="61"/>
      <c r="M909" s="61"/>
      <c r="N909" s="61"/>
      <c r="O909" s="61"/>
      <c r="P909" s="61"/>
      <c r="Q909" s="61"/>
      <c r="R909" s="61"/>
      <c r="S909" s="61"/>
    </row>
    <row r="910" spans="1:19" ht="15">
      <c r="A910" s="68"/>
      <c r="B910" s="61"/>
      <c r="C910" s="61"/>
      <c r="D910" s="61"/>
      <c r="E910" s="61"/>
      <c r="F910" s="61"/>
      <c r="G910" s="61"/>
      <c r="H910" s="91"/>
      <c r="I910" s="68"/>
      <c r="J910" s="68"/>
      <c r="K910" s="68"/>
      <c r="L910" s="61"/>
      <c r="M910" s="61"/>
      <c r="N910" s="61"/>
      <c r="O910" s="61"/>
      <c r="P910" s="61"/>
      <c r="Q910" s="61"/>
      <c r="R910" s="61"/>
      <c r="S910" s="61"/>
    </row>
    <row r="911" spans="1:19" ht="15">
      <c r="A911" s="68"/>
      <c r="B911" s="61"/>
      <c r="C911" s="61"/>
      <c r="D911" s="61"/>
      <c r="E911" s="61"/>
      <c r="F911" s="61"/>
      <c r="G911" s="61"/>
      <c r="H911" s="91"/>
      <c r="I911" s="68"/>
      <c r="J911" s="68"/>
      <c r="K911" s="68"/>
      <c r="L911" s="61"/>
      <c r="M911" s="61"/>
      <c r="N911" s="61"/>
      <c r="O911" s="61"/>
      <c r="P911" s="61"/>
      <c r="Q911" s="61"/>
      <c r="R911" s="61"/>
      <c r="S911" s="61"/>
    </row>
    <row r="912" spans="1:19" ht="15">
      <c r="A912" s="68"/>
      <c r="B912" s="61"/>
      <c r="C912" s="61"/>
      <c r="D912" s="61"/>
      <c r="E912" s="61"/>
      <c r="F912" s="61"/>
      <c r="G912" s="61"/>
      <c r="H912" s="91"/>
      <c r="I912" s="68"/>
      <c r="J912" s="68"/>
      <c r="K912" s="68"/>
      <c r="L912" s="61"/>
      <c r="M912" s="61"/>
      <c r="N912" s="61"/>
      <c r="O912" s="61"/>
      <c r="P912" s="61"/>
      <c r="Q912" s="61"/>
      <c r="R912" s="61"/>
      <c r="S912" s="61"/>
    </row>
    <row r="913" spans="1:19" ht="15">
      <c r="A913" s="68"/>
      <c r="B913" s="61"/>
      <c r="C913" s="61"/>
      <c r="D913" s="61"/>
      <c r="E913" s="61"/>
      <c r="F913" s="61"/>
      <c r="G913" s="61"/>
      <c r="H913" s="91"/>
      <c r="I913" s="68"/>
      <c r="J913" s="68"/>
      <c r="K913" s="68"/>
      <c r="L913" s="61"/>
      <c r="M913" s="61"/>
      <c r="N913" s="61"/>
      <c r="O913" s="61"/>
      <c r="P913" s="61"/>
      <c r="Q913" s="61"/>
      <c r="R913" s="61"/>
      <c r="S913" s="61"/>
    </row>
    <row r="914" spans="1:19" ht="15">
      <c r="A914" s="68"/>
      <c r="B914" s="61"/>
      <c r="C914" s="61"/>
      <c r="D914" s="61"/>
      <c r="E914" s="61"/>
      <c r="F914" s="61"/>
      <c r="G914" s="61"/>
      <c r="H914" s="91"/>
      <c r="I914" s="68"/>
      <c r="J914" s="68"/>
      <c r="K914" s="68"/>
      <c r="L914" s="61"/>
      <c r="M914" s="61"/>
      <c r="N914" s="61"/>
      <c r="O914" s="61"/>
      <c r="P914" s="61"/>
      <c r="Q914" s="61"/>
      <c r="R914" s="61"/>
      <c r="S914" s="61"/>
    </row>
    <row r="915" spans="1:19" ht="15">
      <c r="A915" s="68"/>
      <c r="B915" s="61"/>
      <c r="C915" s="61"/>
      <c r="D915" s="61"/>
      <c r="E915" s="61"/>
      <c r="F915" s="61"/>
      <c r="G915" s="61"/>
      <c r="H915" s="91"/>
      <c r="I915" s="68"/>
      <c r="J915" s="68"/>
      <c r="K915" s="68"/>
      <c r="L915" s="61"/>
      <c r="M915" s="61"/>
      <c r="N915" s="61"/>
      <c r="O915" s="61"/>
      <c r="P915" s="61"/>
      <c r="Q915" s="61"/>
      <c r="R915" s="61"/>
      <c r="S915" s="61"/>
    </row>
    <row r="916" spans="1:19" ht="15">
      <c r="A916" s="68"/>
      <c r="B916" s="61"/>
      <c r="C916" s="61"/>
      <c r="D916" s="61"/>
      <c r="E916" s="61"/>
      <c r="F916" s="61"/>
      <c r="G916" s="61"/>
      <c r="H916" s="91"/>
      <c r="I916" s="68"/>
      <c r="J916" s="68"/>
      <c r="K916" s="68"/>
      <c r="L916" s="61"/>
      <c r="M916" s="61"/>
      <c r="N916" s="61"/>
      <c r="O916" s="61"/>
      <c r="P916" s="61"/>
      <c r="Q916" s="61"/>
      <c r="R916" s="61"/>
      <c r="S916" s="61"/>
    </row>
    <row r="917" spans="1:19" ht="15">
      <c r="A917" s="68"/>
      <c r="B917" s="61"/>
      <c r="C917" s="61"/>
      <c r="D917" s="61"/>
      <c r="E917" s="61"/>
      <c r="F917" s="61"/>
      <c r="G917" s="61"/>
      <c r="H917" s="91"/>
      <c r="I917" s="68"/>
      <c r="J917" s="68"/>
      <c r="K917" s="68"/>
      <c r="L917" s="61"/>
      <c r="M917" s="61"/>
      <c r="N917" s="61"/>
      <c r="O917" s="61"/>
      <c r="P917" s="61"/>
      <c r="Q917" s="61"/>
      <c r="R917" s="61"/>
      <c r="S917" s="61"/>
    </row>
    <row r="918" spans="1:19" ht="15">
      <c r="A918" s="68"/>
      <c r="B918" s="61"/>
      <c r="C918" s="61"/>
      <c r="D918" s="61"/>
      <c r="E918" s="61"/>
      <c r="F918" s="61"/>
      <c r="G918" s="61"/>
      <c r="H918" s="91"/>
      <c r="I918" s="68"/>
      <c r="J918" s="68"/>
      <c r="K918" s="68"/>
      <c r="L918" s="61"/>
      <c r="M918" s="61"/>
      <c r="N918" s="61"/>
      <c r="O918" s="61"/>
      <c r="P918" s="61"/>
      <c r="Q918" s="61"/>
      <c r="R918" s="61"/>
      <c r="S918" s="61"/>
    </row>
    <row r="919" spans="1:19" ht="15">
      <c r="A919" s="68"/>
      <c r="B919" s="61"/>
      <c r="C919" s="61"/>
      <c r="D919" s="61"/>
      <c r="E919" s="61"/>
      <c r="F919" s="61"/>
      <c r="G919" s="61"/>
      <c r="H919" s="91"/>
      <c r="I919" s="68"/>
      <c r="J919" s="68"/>
      <c r="K919" s="68"/>
      <c r="L919" s="61"/>
      <c r="M919" s="61"/>
      <c r="N919" s="61"/>
      <c r="O919" s="61"/>
      <c r="P919" s="61"/>
      <c r="Q919" s="61"/>
      <c r="R919" s="61"/>
      <c r="S919" s="61"/>
    </row>
    <row r="920" spans="1:19" ht="15">
      <c r="A920" s="68"/>
      <c r="B920" s="61"/>
      <c r="C920" s="61"/>
      <c r="D920" s="61"/>
      <c r="E920" s="61"/>
      <c r="F920" s="61"/>
      <c r="G920" s="61"/>
      <c r="H920" s="91"/>
      <c r="I920" s="68"/>
      <c r="J920" s="68"/>
      <c r="K920" s="68"/>
      <c r="L920" s="61"/>
      <c r="M920" s="61"/>
      <c r="N920" s="61"/>
      <c r="O920" s="61"/>
      <c r="P920" s="61"/>
      <c r="Q920" s="61"/>
      <c r="R920" s="61"/>
      <c r="S920" s="61"/>
    </row>
    <row r="921" spans="1:19" ht="15">
      <c r="A921" s="68"/>
      <c r="B921" s="61"/>
      <c r="C921" s="61"/>
      <c r="D921" s="61"/>
      <c r="E921" s="61"/>
      <c r="F921" s="61"/>
      <c r="G921" s="61"/>
      <c r="H921" s="91"/>
      <c r="I921" s="68"/>
      <c r="J921" s="68"/>
      <c r="K921" s="68"/>
      <c r="L921" s="61"/>
      <c r="M921" s="61"/>
      <c r="N921" s="61"/>
      <c r="O921" s="61"/>
      <c r="P921" s="61"/>
      <c r="Q921" s="61"/>
      <c r="R921" s="61"/>
      <c r="S921" s="61"/>
    </row>
    <row r="922" spans="1:19" ht="15">
      <c r="A922" s="68"/>
      <c r="B922" s="61"/>
      <c r="C922" s="61"/>
      <c r="D922" s="61"/>
      <c r="E922" s="61"/>
      <c r="F922" s="61"/>
      <c r="G922" s="61"/>
      <c r="H922" s="91"/>
      <c r="I922" s="68"/>
      <c r="J922" s="68"/>
      <c r="K922" s="68"/>
      <c r="L922" s="61"/>
      <c r="M922" s="61"/>
      <c r="N922" s="61"/>
      <c r="O922" s="61"/>
      <c r="P922" s="61"/>
      <c r="Q922" s="61"/>
      <c r="R922" s="61"/>
      <c r="S922" s="61"/>
    </row>
    <row r="923" spans="1:19" ht="15">
      <c r="A923" s="68"/>
      <c r="B923" s="61"/>
      <c r="C923" s="61"/>
      <c r="D923" s="61"/>
      <c r="E923" s="61"/>
      <c r="F923" s="61"/>
      <c r="G923" s="61"/>
      <c r="H923" s="91"/>
      <c r="I923" s="68"/>
      <c r="J923" s="68"/>
      <c r="K923" s="68"/>
      <c r="L923" s="61"/>
      <c r="M923" s="61"/>
      <c r="N923" s="61"/>
      <c r="O923" s="61"/>
      <c r="P923" s="61"/>
      <c r="Q923" s="61"/>
      <c r="R923" s="61"/>
      <c r="S923" s="61"/>
    </row>
    <row r="924" spans="1:19" ht="15">
      <c r="A924" s="68"/>
      <c r="B924" s="61"/>
      <c r="C924" s="61"/>
      <c r="D924" s="61"/>
      <c r="E924" s="61"/>
      <c r="F924" s="61"/>
      <c r="G924" s="61"/>
      <c r="H924" s="91"/>
      <c r="I924" s="68"/>
      <c r="J924" s="68"/>
      <c r="K924" s="68"/>
      <c r="L924" s="61"/>
      <c r="M924" s="61"/>
      <c r="N924" s="61"/>
      <c r="O924" s="61"/>
      <c r="P924" s="61"/>
      <c r="Q924" s="61"/>
      <c r="R924" s="61"/>
      <c r="S924" s="61"/>
    </row>
    <row r="925" spans="1:19" ht="15">
      <c r="A925" s="68"/>
      <c r="B925" s="61"/>
      <c r="C925" s="61"/>
      <c r="D925" s="61"/>
      <c r="E925" s="61"/>
      <c r="F925" s="61"/>
      <c r="G925" s="61"/>
      <c r="H925" s="91"/>
      <c r="I925" s="68"/>
      <c r="J925" s="68"/>
      <c r="K925" s="68"/>
      <c r="L925" s="61"/>
      <c r="M925" s="61"/>
      <c r="N925" s="61"/>
      <c r="O925" s="61"/>
      <c r="P925" s="61"/>
      <c r="Q925" s="61"/>
      <c r="R925" s="61"/>
      <c r="S925" s="61"/>
    </row>
    <row r="926" spans="1:19" ht="15">
      <c r="A926" s="68"/>
      <c r="B926" s="61"/>
      <c r="C926" s="61"/>
      <c r="D926" s="61"/>
      <c r="E926" s="61"/>
      <c r="F926" s="61"/>
      <c r="G926" s="61"/>
      <c r="H926" s="91"/>
      <c r="I926" s="68"/>
      <c r="J926" s="68"/>
      <c r="K926" s="68"/>
      <c r="L926" s="61"/>
      <c r="M926" s="61"/>
      <c r="N926" s="61"/>
      <c r="O926" s="61"/>
      <c r="P926" s="61"/>
      <c r="Q926" s="61"/>
      <c r="R926" s="61"/>
      <c r="S926" s="61"/>
    </row>
    <row r="927" spans="1:19" ht="15">
      <c r="A927" s="68"/>
      <c r="B927" s="61"/>
      <c r="C927" s="61"/>
      <c r="D927" s="61"/>
      <c r="E927" s="61"/>
      <c r="F927" s="61"/>
      <c r="G927" s="61"/>
      <c r="H927" s="91"/>
      <c r="I927" s="68"/>
      <c r="J927" s="68"/>
      <c r="K927" s="68"/>
      <c r="L927" s="61"/>
      <c r="M927" s="61"/>
      <c r="N927" s="61"/>
      <c r="O927" s="61"/>
      <c r="P927" s="61"/>
      <c r="Q927" s="61"/>
      <c r="R927" s="61"/>
      <c r="S927" s="61"/>
    </row>
    <row r="928" spans="1:19" ht="15">
      <c r="A928" s="68"/>
      <c r="B928" s="61"/>
      <c r="C928" s="61"/>
      <c r="D928" s="61"/>
      <c r="E928" s="61"/>
      <c r="F928" s="61"/>
      <c r="G928" s="61"/>
      <c r="H928" s="91"/>
      <c r="I928" s="68"/>
      <c r="J928" s="68"/>
      <c r="K928" s="68"/>
      <c r="L928" s="61"/>
      <c r="M928" s="61"/>
      <c r="N928" s="61"/>
      <c r="O928" s="61"/>
      <c r="P928" s="61"/>
      <c r="Q928" s="61"/>
      <c r="R928" s="61"/>
      <c r="S928" s="61"/>
    </row>
    <row r="929" spans="1:19" ht="15">
      <c r="A929" s="68"/>
      <c r="B929" s="61"/>
      <c r="C929" s="61"/>
      <c r="D929" s="61"/>
      <c r="E929" s="61"/>
      <c r="F929" s="61"/>
      <c r="G929" s="61"/>
      <c r="H929" s="91"/>
      <c r="I929" s="68"/>
      <c r="J929" s="68"/>
      <c r="K929" s="68"/>
      <c r="L929" s="61"/>
      <c r="M929" s="61"/>
      <c r="N929" s="61"/>
      <c r="O929" s="61"/>
      <c r="P929" s="61"/>
      <c r="Q929" s="61"/>
      <c r="R929" s="61"/>
      <c r="S929" s="61"/>
    </row>
    <row r="930" spans="1:19" ht="15">
      <c r="A930" s="68"/>
      <c r="B930" s="61"/>
      <c r="C930" s="61"/>
      <c r="D930" s="61"/>
      <c r="E930" s="61"/>
      <c r="F930" s="61"/>
      <c r="G930" s="61"/>
      <c r="H930" s="91"/>
      <c r="I930" s="68"/>
      <c r="J930" s="68"/>
      <c r="K930" s="68"/>
      <c r="L930" s="61"/>
      <c r="M930" s="61"/>
      <c r="N930" s="61"/>
      <c r="O930" s="61"/>
      <c r="P930" s="61"/>
      <c r="Q930" s="61"/>
      <c r="R930" s="61"/>
      <c r="S930" s="61"/>
    </row>
    <row r="931" spans="1:19" ht="15">
      <c r="A931" s="68"/>
      <c r="B931" s="61"/>
      <c r="C931" s="61"/>
      <c r="D931" s="61"/>
      <c r="E931" s="61"/>
      <c r="F931" s="61"/>
      <c r="G931" s="61"/>
      <c r="H931" s="91"/>
      <c r="I931" s="68"/>
      <c r="J931" s="68"/>
      <c r="K931" s="68"/>
      <c r="L931" s="61"/>
      <c r="M931" s="61"/>
      <c r="N931" s="61"/>
      <c r="O931" s="61"/>
      <c r="P931" s="61"/>
      <c r="Q931" s="61"/>
      <c r="R931" s="61"/>
      <c r="S931" s="61"/>
    </row>
    <row r="932" spans="1:19" ht="15">
      <c r="A932" s="68"/>
      <c r="B932" s="61"/>
      <c r="C932" s="61"/>
      <c r="D932" s="61"/>
      <c r="E932" s="61"/>
      <c r="F932" s="61"/>
      <c r="G932" s="61"/>
      <c r="H932" s="91"/>
      <c r="I932" s="68"/>
      <c r="J932" s="68"/>
      <c r="K932" s="68"/>
      <c r="L932" s="61"/>
      <c r="M932" s="61"/>
      <c r="N932" s="61"/>
      <c r="O932" s="61"/>
      <c r="P932" s="61"/>
      <c r="Q932" s="61"/>
      <c r="R932" s="61"/>
      <c r="S932" s="61"/>
    </row>
    <row r="933" spans="1:19" ht="15">
      <c r="A933" s="68"/>
      <c r="B933" s="61"/>
      <c r="C933" s="61"/>
      <c r="D933" s="61"/>
      <c r="E933" s="61"/>
      <c r="F933" s="61"/>
      <c r="G933" s="61"/>
      <c r="H933" s="91"/>
      <c r="I933" s="68"/>
      <c r="J933" s="68"/>
      <c r="K933" s="68"/>
      <c r="L933" s="61"/>
      <c r="M933" s="61"/>
      <c r="N933" s="61"/>
      <c r="O933" s="61"/>
      <c r="P933" s="61"/>
      <c r="Q933" s="61"/>
      <c r="R933" s="61"/>
      <c r="S933" s="61"/>
    </row>
    <row r="934" spans="1:19" ht="15">
      <c r="A934" s="68"/>
      <c r="B934" s="61"/>
      <c r="C934" s="61"/>
      <c r="D934" s="61"/>
      <c r="E934" s="61"/>
      <c r="F934" s="61"/>
      <c r="G934" s="61"/>
      <c r="H934" s="91"/>
      <c r="I934" s="68"/>
      <c r="J934" s="68"/>
      <c r="K934" s="68"/>
      <c r="L934" s="61"/>
      <c r="M934" s="61"/>
      <c r="N934" s="61"/>
      <c r="O934" s="61"/>
      <c r="P934" s="61"/>
      <c r="Q934" s="61"/>
      <c r="R934" s="61"/>
      <c r="S934" s="61"/>
    </row>
    <row r="935" spans="1:19" ht="15">
      <c r="A935" s="68"/>
      <c r="B935" s="61"/>
      <c r="C935" s="61"/>
      <c r="D935" s="61"/>
      <c r="E935" s="61"/>
      <c r="F935" s="61"/>
      <c r="G935" s="61"/>
      <c r="H935" s="91"/>
      <c r="I935" s="68"/>
      <c r="J935" s="68"/>
      <c r="K935" s="68"/>
      <c r="L935" s="61"/>
      <c r="M935" s="61"/>
      <c r="N935" s="61"/>
      <c r="O935" s="61"/>
      <c r="P935" s="61"/>
      <c r="Q935" s="61"/>
      <c r="R935" s="61"/>
      <c r="S935" s="61"/>
    </row>
    <row r="936" spans="1:19" ht="15">
      <c r="A936" s="68"/>
      <c r="B936" s="61"/>
      <c r="C936" s="61"/>
      <c r="D936" s="61"/>
      <c r="E936" s="61"/>
      <c r="F936" s="61"/>
      <c r="G936" s="61"/>
      <c r="H936" s="91"/>
      <c r="I936" s="68"/>
      <c r="J936" s="68"/>
      <c r="K936" s="68"/>
      <c r="L936" s="61"/>
      <c r="M936" s="61"/>
      <c r="N936" s="61"/>
      <c r="O936" s="61"/>
      <c r="P936" s="61"/>
      <c r="Q936" s="61"/>
      <c r="R936" s="61"/>
      <c r="S936" s="61"/>
    </row>
    <row r="937" spans="1:19" ht="15">
      <c r="A937" s="68"/>
      <c r="B937" s="61"/>
      <c r="C937" s="61"/>
      <c r="D937" s="61"/>
      <c r="E937" s="61"/>
      <c r="F937" s="61"/>
      <c r="G937" s="61"/>
      <c r="H937" s="91"/>
      <c r="I937" s="68"/>
      <c r="J937" s="68"/>
      <c r="K937" s="68"/>
      <c r="L937" s="61"/>
      <c r="M937" s="61"/>
      <c r="N937" s="61"/>
      <c r="O937" s="61"/>
      <c r="P937" s="61"/>
      <c r="Q937" s="61"/>
      <c r="R937" s="61"/>
      <c r="S937" s="61"/>
    </row>
    <row r="938" spans="1:19" ht="15">
      <c r="A938" s="68"/>
      <c r="B938" s="61"/>
      <c r="C938" s="61"/>
      <c r="D938" s="61"/>
      <c r="E938" s="61"/>
      <c r="F938" s="61"/>
      <c r="G938" s="61"/>
      <c r="H938" s="91"/>
      <c r="I938" s="68"/>
      <c r="J938" s="68"/>
      <c r="K938" s="68"/>
      <c r="L938" s="61"/>
      <c r="M938" s="61"/>
      <c r="N938" s="61"/>
      <c r="O938" s="61"/>
      <c r="P938" s="61"/>
      <c r="Q938" s="61"/>
      <c r="R938" s="61"/>
      <c r="S938" s="61"/>
    </row>
    <row r="939" spans="1:19" ht="15">
      <c r="A939" s="68"/>
      <c r="B939" s="61"/>
      <c r="C939" s="61"/>
      <c r="D939" s="61"/>
      <c r="E939" s="61"/>
      <c r="F939" s="61"/>
      <c r="G939" s="61"/>
      <c r="H939" s="91"/>
      <c r="I939" s="68"/>
      <c r="J939" s="68"/>
      <c r="K939" s="68"/>
      <c r="L939" s="61"/>
      <c r="M939" s="61"/>
      <c r="N939" s="61"/>
      <c r="O939" s="61"/>
      <c r="P939" s="61"/>
      <c r="Q939" s="61"/>
      <c r="R939" s="61"/>
      <c r="S939" s="61"/>
    </row>
    <row r="940" spans="1:19" ht="15">
      <c r="A940" s="68"/>
      <c r="B940" s="61"/>
      <c r="C940" s="61"/>
      <c r="D940" s="61"/>
      <c r="E940" s="61"/>
      <c r="F940" s="61"/>
      <c r="G940" s="61"/>
      <c r="H940" s="91"/>
      <c r="I940" s="68"/>
      <c r="J940" s="68"/>
      <c r="K940" s="68"/>
      <c r="L940" s="61"/>
      <c r="M940" s="61"/>
      <c r="N940" s="61"/>
      <c r="O940" s="61"/>
      <c r="P940" s="61"/>
      <c r="Q940" s="61"/>
      <c r="R940" s="61"/>
      <c r="S940" s="61"/>
    </row>
    <row r="941" spans="1:19" ht="15">
      <c r="A941" s="68"/>
      <c r="B941" s="61"/>
      <c r="C941" s="61"/>
      <c r="D941" s="61"/>
      <c r="E941" s="61"/>
      <c r="F941" s="61"/>
      <c r="G941" s="61"/>
      <c r="H941" s="91"/>
      <c r="I941" s="68"/>
      <c r="J941" s="68"/>
      <c r="K941" s="68"/>
      <c r="L941" s="61"/>
      <c r="M941" s="61"/>
      <c r="N941" s="61"/>
      <c r="O941" s="61"/>
      <c r="P941" s="61"/>
      <c r="Q941" s="61"/>
      <c r="R941" s="61"/>
      <c r="S941" s="61"/>
    </row>
    <row r="942" spans="1:19" ht="15">
      <c r="A942" s="68"/>
      <c r="B942" s="61"/>
      <c r="C942" s="61"/>
      <c r="D942" s="61"/>
      <c r="E942" s="61"/>
      <c r="F942" s="61"/>
      <c r="G942" s="61"/>
      <c r="H942" s="91"/>
      <c r="I942" s="68"/>
      <c r="J942" s="68"/>
      <c r="K942" s="68"/>
      <c r="L942" s="61"/>
      <c r="M942" s="61"/>
      <c r="N942" s="61"/>
      <c r="O942" s="61"/>
      <c r="P942" s="61"/>
      <c r="Q942" s="61"/>
      <c r="R942" s="61"/>
      <c r="S942" s="61"/>
    </row>
    <row r="943" spans="1:19" ht="15">
      <c r="A943" s="68"/>
      <c r="B943" s="61"/>
      <c r="C943" s="61"/>
      <c r="D943" s="61"/>
      <c r="E943" s="61"/>
      <c r="F943" s="61"/>
      <c r="G943" s="61"/>
      <c r="H943" s="91"/>
      <c r="I943" s="68"/>
      <c r="J943" s="68"/>
      <c r="K943" s="68"/>
      <c r="L943" s="61"/>
      <c r="M943" s="61"/>
      <c r="N943" s="61"/>
      <c r="O943" s="61"/>
      <c r="P943" s="61"/>
      <c r="Q943" s="61"/>
      <c r="R943" s="61"/>
      <c r="S943" s="61"/>
    </row>
    <row r="944" spans="1:19" ht="15">
      <c r="A944" s="68"/>
      <c r="B944" s="61"/>
      <c r="C944" s="61"/>
      <c r="D944" s="61"/>
      <c r="E944" s="61"/>
      <c r="F944" s="61"/>
      <c r="G944" s="61"/>
      <c r="H944" s="91"/>
      <c r="I944" s="68"/>
      <c r="J944" s="68"/>
      <c r="K944" s="68"/>
      <c r="L944" s="61"/>
      <c r="M944" s="61"/>
      <c r="N944" s="61"/>
      <c r="O944" s="61"/>
      <c r="P944" s="61"/>
      <c r="Q944" s="61"/>
      <c r="R944" s="61"/>
      <c r="S944" s="61"/>
    </row>
    <row r="945" spans="1:19" ht="15">
      <c r="A945" s="68"/>
      <c r="B945" s="61"/>
      <c r="C945" s="61"/>
      <c r="D945" s="61"/>
      <c r="E945" s="61"/>
      <c r="F945" s="61"/>
      <c r="G945" s="61"/>
      <c r="H945" s="91"/>
      <c r="I945" s="68"/>
      <c r="J945" s="68"/>
      <c r="K945" s="68"/>
      <c r="L945" s="61"/>
      <c r="M945" s="61"/>
      <c r="N945" s="61"/>
      <c r="O945" s="61"/>
      <c r="P945" s="61"/>
      <c r="Q945" s="61"/>
      <c r="R945" s="61"/>
      <c r="S945" s="61"/>
    </row>
    <row r="946" spans="1:19" ht="15">
      <c r="A946" s="68"/>
      <c r="B946" s="61"/>
      <c r="C946" s="61"/>
      <c r="D946" s="61"/>
      <c r="E946" s="61"/>
      <c r="F946" s="61"/>
      <c r="G946" s="61"/>
      <c r="H946" s="91"/>
      <c r="I946" s="68"/>
      <c r="J946" s="68"/>
      <c r="K946" s="68"/>
      <c r="L946" s="61"/>
      <c r="M946" s="61"/>
      <c r="N946" s="61"/>
      <c r="O946" s="61"/>
      <c r="P946" s="61"/>
      <c r="Q946" s="61"/>
      <c r="R946" s="61"/>
      <c r="S946" s="61"/>
    </row>
    <row r="947" spans="1:19" ht="15">
      <c r="A947" s="68"/>
      <c r="B947" s="61"/>
      <c r="C947" s="61"/>
      <c r="D947" s="61"/>
      <c r="E947" s="61"/>
      <c r="F947" s="61"/>
      <c r="G947" s="61"/>
      <c r="H947" s="91"/>
      <c r="I947" s="68"/>
      <c r="J947" s="68"/>
      <c r="K947" s="68"/>
      <c r="L947" s="61"/>
      <c r="M947" s="61"/>
      <c r="N947" s="61"/>
      <c r="O947" s="61"/>
      <c r="P947" s="61"/>
      <c r="Q947" s="61"/>
      <c r="R947" s="61"/>
      <c r="S947" s="61"/>
    </row>
    <row r="948" spans="1:19" ht="15">
      <c r="A948" s="68"/>
      <c r="B948" s="61"/>
      <c r="C948" s="61"/>
      <c r="D948" s="61"/>
      <c r="E948" s="61"/>
      <c r="F948" s="61"/>
      <c r="G948" s="61"/>
      <c r="H948" s="91"/>
      <c r="I948" s="68"/>
      <c r="J948" s="68"/>
      <c r="K948" s="68"/>
      <c r="L948" s="61"/>
      <c r="M948" s="61"/>
      <c r="N948" s="61"/>
      <c r="O948" s="61"/>
      <c r="P948" s="61"/>
      <c r="Q948" s="61"/>
      <c r="R948" s="61"/>
      <c r="S948" s="61"/>
    </row>
    <row r="949" spans="1:19" ht="15">
      <c r="A949" s="68"/>
      <c r="B949" s="61"/>
      <c r="C949" s="61"/>
      <c r="D949" s="61"/>
      <c r="E949" s="61"/>
      <c r="F949" s="61"/>
      <c r="G949" s="61"/>
      <c r="H949" s="91"/>
      <c r="I949" s="68"/>
      <c r="J949" s="68"/>
      <c r="K949" s="68"/>
      <c r="L949" s="61"/>
      <c r="M949" s="61"/>
      <c r="N949" s="61"/>
      <c r="O949" s="61"/>
      <c r="P949" s="61"/>
      <c r="Q949" s="61"/>
      <c r="R949" s="61"/>
      <c r="S949" s="61"/>
    </row>
    <row r="950" spans="1:19" ht="15">
      <c r="A950" s="68"/>
      <c r="B950" s="61"/>
      <c r="C950" s="61"/>
      <c r="D950" s="61"/>
      <c r="E950" s="61"/>
      <c r="F950" s="61"/>
      <c r="G950" s="61"/>
      <c r="H950" s="91"/>
      <c r="I950" s="68"/>
      <c r="J950" s="68"/>
      <c r="K950" s="68"/>
      <c r="L950" s="61"/>
      <c r="M950" s="61"/>
      <c r="N950" s="61"/>
      <c r="O950" s="61"/>
      <c r="P950" s="61"/>
      <c r="Q950" s="61"/>
      <c r="R950" s="61"/>
      <c r="S950" s="61"/>
    </row>
    <row r="951" spans="1:19" ht="15">
      <c r="A951" s="68"/>
      <c r="B951" s="61"/>
      <c r="C951" s="61"/>
      <c r="D951" s="61"/>
      <c r="E951" s="61"/>
      <c r="F951" s="61"/>
      <c r="G951" s="61"/>
      <c r="H951" s="91"/>
      <c r="I951" s="68"/>
      <c r="J951" s="68"/>
      <c r="K951" s="68"/>
      <c r="L951" s="61"/>
      <c r="M951" s="61"/>
      <c r="N951" s="61"/>
      <c r="O951" s="61"/>
      <c r="P951" s="61"/>
      <c r="Q951" s="61"/>
      <c r="R951" s="61"/>
      <c r="S951" s="61"/>
    </row>
    <row r="952" spans="1:19" ht="15">
      <c r="A952" s="68"/>
      <c r="B952" s="61"/>
      <c r="C952" s="61"/>
      <c r="D952" s="61"/>
      <c r="E952" s="61"/>
      <c r="F952" s="61"/>
      <c r="G952" s="61"/>
      <c r="H952" s="91"/>
      <c r="I952" s="68"/>
      <c r="J952" s="68"/>
      <c r="K952" s="68"/>
      <c r="L952" s="61"/>
      <c r="M952" s="61"/>
      <c r="N952" s="61"/>
      <c r="O952" s="61"/>
      <c r="P952" s="61"/>
      <c r="Q952" s="61"/>
      <c r="R952" s="61"/>
      <c r="S952" s="61"/>
    </row>
    <row r="953" spans="1:19" ht="15">
      <c r="A953" s="68"/>
      <c r="B953" s="61"/>
      <c r="C953" s="61"/>
      <c r="D953" s="61"/>
      <c r="E953" s="61"/>
      <c r="F953" s="61"/>
      <c r="G953" s="61"/>
      <c r="H953" s="91"/>
      <c r="I953" s="68"/>
      <c r="J953" s="68"/>
      <c r="K953" s="68"/>
      <c r="L953" s="61"/>
      <c r="M953" s="61"/>
      <c r="N953" s="61"/>
      <c r="O953" s="61"/>
      <c r="P953" s="61"/>
      <c r="Q953" s="61"/>
      <c r="R953" s="61"/>
      <c r="S953" s="61"/>
    </row>
    <row r="954" spans="1:19" ht="15">
      <c r="A954" s="68"/>
      <c r="B954" s="61"/>
      <c r="C954" s="61"/>
      <c r="D954" s="61"/>
      <c r="E954" s="61"/>
      <c r="F954" s="61"/>
      <c r="G954" s="61"/>
      <c r="H954" s="91"/>
      <c r="I954" s="68"/>
      <c r="J954" s="68"/>
      <c r="K954" s="68"/>
      <c r="L954" s="61"/>
      <c r="M954" s="61"/>
      <c r="N954" s="61"/>
      <c r="O954" s="61"/>
      <c r="P954" s="61"/>
      <c r="Q954" s="61"/>
      <c r="R954" s="61"/>
      <c r="S954" s="61"/>
    </row>
    <row r="955" spans="1:19" ht="15">
      <c r="A955" s="68"/>
      <c r="B955" s="61"/>
      <c r="C955" s="61"/>
      <c r="D955" s="61"/>
      <c r="E955" s="61"/>
      <c r="F955" s="61"/>
      <c r="G955" s="61"/>
      <c r="H955" s="91"/>
      <c r="I955" s="68"/>
      <c r="J955" s="68"/>
      <c r="K955" s="68"/>
      <c r="L955" s="61"/>
      <c r="M955" s="61"/>
      <c r="N955" s="61"/>
      <c r="O955" s="61"/>
      <c r="P955" s="61"/>
      <c r="Q955" s="61"/>
      <c r="R955" s="61"/>
      <c r="S955" s="61"/>
    </row>
    <row r="956" spans="1:19" ht="15">
      <c r="A956" s="68"/>
      <c r="B956" s="61"/>
      <c r="C956" s="61"/>
      <c r="D956" s="61"/>
      <c r="E956" s="61"/>
      <c r="F956" s="61"/>
      <c r="G956" s="61"/>
      <c r="H956" s="91"/>
      <c r="I956" s="68"/>
      <c r="J956" s="68"/>
      <c r="K956" s="68"/>
      <c r="L956" s="61"/>
      <c r="M956" s="61"/>
      <c r="N956" s="61"/>
      <c r="O956" s="61"/>
      <c r="P956" s="61"/>
      <c r="Q956" s="61"/>
      <c r="R956" s="61"/>
      <c r="S956" s="61"/>
    </row>
    <row r="957" spans="1:19" ht="15">
      <c r="A957" s="68"/>
      <c r="B957" s="61"/>
      <c r="C957" s="61"/>
      <c r="D957" s="61"/>
      <c r="E957" s="61"/>
      <c r="F957" s="61"/>
      <c r="G957" s="61"/>
      <c r="H957" s="91"/>
      <c r="I957" s="68"/>
      <c r="J957" s="68"/>
      <c r="K957" s="68"/>
      <c r="L957" s="61"/>
      <c r="M957" s="61"/>
      <c r="N957" s="61"/>
      <c r="O957" s="61"/>
      <c r="P957" s="61"/>
      <c r="Q957" s="61"/>
      <c r="R957" s="61"/>
      <c r="S957" s="61"/>
    </row>
    <row r="958" spans="1:19" ht="15">
      <c r="A958" s="68"/>
      <c r="B958" s="61"/>
      <c r="C958" s="61"/>
      <c r="D958" s="61"/>
      <c r="E958" s="61"/>
      <c r="F958" s="61"/>
      <c r="G958" s="61"/>
      <c r="H958" s="91"/>
      <c r="I958" s="68"/>
      <c r="J958" s="68"/>
      <c r="K958" s="68"/>
      <c r="L958" s="61"/>
      <c r="M958" s="61"/>
      <c r="N958" s="61"/>
      <c r="O958" s="61"/>
      <c r="P958" s="61"/>
      <c r="Q958" s="61"/>
      <c r="R958" s="61"/>
      <c r="S958" s="61"/>
    </row>
    <row r="959" spans="1:19" ht="15">
      <c r="A959" s="68"/>
      <c r="B959" s="61"/>
      <c r="C959" s="61"/>
      <c r="D959" s="61"/>
      <c r="E959" s="61"/>
      <c r="F959" s="61"/>
      <c r="G959" s="61"/>
      <c r="H959" s="91"/>
      <c r="I959" s="68"/>
      <c r="J959" s="68"/>
      <c r="K959" s="68"/>
      <c r="L959" s="61"/>
      <c r="M959" s="61"/>
      <c r="N959" s="61"/>
      <c r="O959" s="61"/>
      <c r="P959" s="61"/>
      <c r="Q959" s="61"/>
      <c r="R959" s="61"/>
      <c r="S959" s="61"/>
    </row>
    <row r="960" spans="1:19" ht="15">
      <c r="A960" s="68"/>
      <c r="B960" s="61"/>
      <c r="C960" s="61"/>
      <c r="D960" s="61"/>
      <c r="E960" s="61"/>
      <c r="F960" s="61"/>
      <c r="G960" s="61"/>
      <c r="H960" s="91"/>
      <c r="I960" s="68"/>
      <c r="J960" s="68"/>
      <c r="K960" s="68"/>
      <c r="L960" s="61"/>
      <c r="M960" s="61"/>
      <c r="N960" s="61"/>
      <c r="O960" s="61"/>
      <c r="P960" s="61"/>
      <c r="Q960" s="61"/>
      <c r="R960" s="61"/>
      <c r="S960" s="61"/>
    </row>
    <row r="961" spans="1:19" ht="15">
      <c r="A961" s="68"/>
      <c r="B961" s="61"/>
      <c r="C961" s="61"/>
      <c r="D961" s="61"/>
      <c r="E961" s="61"/>
      <c r="F961" s="61"/>
      <c r="G961" s="61"/>
      <c r="H961" s="91"/>
      <c r="I961" s="68"/>
      <c r="J961" s="68"/>
      <c r="K961" s="68"/>
      <c r="L961" s="61"/>
      <c r="M961" s="61"/>
      <c r="N961" s="61"/>
      <c r="O961" s="61"/>
      <c r="P961" s="61"/>
      <c r="Q961" s="61"/>
      <c r="R961" s="61"/>
      <c r="S961" s="61"/>
    </row>
    <row r="962" spans="1:19" ht="15">
      <c r="A962" s="68"/>
      <c r="B962" s="61"/>
      <c r="C962" s="61"/>
      <c r="D962" s="61"/>
      <c r="E962" s="61"/>
      <c r="F962" s="61"/>
      <c r="G962" s="61"/>
      <c r="H962" s="91"/>
      <c r="I962" s="68"/>
      <c r="J962" s="68"/>
      <c r="K962" s="68"/>
      <c r="L962" s="61"/>
      <c r="M962" s="61"/>
      <c r="N962" s="61"/>
      <c r="O962" s="61"/>
      <c r="P962" s="61"/>
      <c r="Q962" s="61"/>
      <c r="R962" s="61"/>
      <c r="S962" s="61"/>
    </row>
    <row r="963" spans="1:19" ht="15">
      <c r="A963" s="68"/>
      <c r="B963" s="61"/>
      <c r="C963" s="61"/>
      <c r="D963" s="61"/>
      <c r="E963" s="61"/>
      <c r="F963" s="61"/>
      <c r="G963" s="61"/>
      <c r="H963" s="91"/>
      <c r="I963" s="68"/>
      <c r="J963" s="68"/>
      <c r="K963" s="68"/>
      <c r="L963" s="61"/>
      <c r="M963" s="61"/>
      <c r="N963" s="61"/>
      <c r="O963" s="61"/>
      <c r="P963" s="61"/>
      <c r="Q963" s="61"/>
      <c r="R963" s="61"/>
      <c r="S963" s="61"/>
    </row>
    <row r="964" spans="1:19" ht="15">
      <c r="A964" s="68"/>
      <c r="B964" s="61"/>
      <c r="C964" s="61"/>
      <c r="D964" s="61"/>
      <c r="E964" s="61"/>
      <c r="F964" s="61"/>
      <c r="G964" s="61"/>
      <c r="H964" s="91"/>
      <c r="I964" s="68"/>
      <c r="J964" s="68"/>
      <c r="K964" s="68"/>
      <c r="L964" s="61"/>
      <c r="M964" s="61"/>
      <c r="N964" s="61"/>
      <c r="O964" s="61"/>
      <c r="P964" s="61"/>
      <c r="Q964" s="61"/>
      <c r="R964" s="61"/>
      <c r="S964" s="61"/>
    </row>
    <row r="965" spans="1:19" ht="15">
      <c r="A965" s="68"/>
      <c r="B965" s="61"/>
      <c r="C965" s="61"/>
      <c r="D965" s="61"/>
      <c r="E965" s="61"/>
      <c r="F965" s="61"/>
      <c r="G965" s="61"/>
      <c r="H965" s="91"/>
      <c r="I965" s="68"/>
      <c r="J965" s="68"/>
      <c r="K965" s="68"/>
      <c r="L965" s="61"/>
      <c r="M965" s="61"/>
      <c r="N965" s="61"/>
      <c r="O965" s="61"/>
      <c r="P965" s="61"/>
      <c r="Q965" s="61"/>
      <c r="R965" s="61"/>
      <c r="S965" s="61"/>
    </row>
    <row r="966" spans="1:19" ht="15">
      <c r="A966" s="68"/>
      <c r="B966" s="61"/>
      <c r="C966" s="61"/>
      <c r="D966" s="61"/>
      <c r="E966" s="61"/>
      <c r="F966" s="61"/>
      <c r="G966" s="61"/>
      <c r="H966" s="91"/>
      <c r="I966" s="68"/>
      <c r="J966" s="68"/>
      <c r="K966" s="68"/>
      <c r="L966" s="61"/>
      <c r="M966" s="61"/>
      <c r="N966" s="61"/>
      <c r="O966" s="61"/>
      <c r="P966" s="61"/>
      <c r="Q966" s="61"/>
      <c r="R966" s="61"/>
      <c r="S966" s="61"/>
    </row>
    <row r="967" spans="1:19" ht="15">
      <c r="A967" s="68"/>
      <c r="B967" s="61"/>
      <c r="C967" s="61"/>
      <c r="D967" s="61"/>
      <c r="E967" s="61"/>
      <c r="F967" s="61"/>
      <c r="G967" s="61"/>
      <c r="H967" s="91"/>
      <c r="I967" s="68"/>
      <c r="J967" s="68"/>
      <c r="K967" s="68"/>
      <c r="L967" s="61"/>
      <c r="M967" s="61"/>
      <c r="N967" s="61"/>
      <c r="O967" s="61"/>
      <c r="P967" s="61"/>
      <c r="Q967" s="61"/>
      <c r="R967" s="61"/>
      <c r="S967" s="61"/>
    </row>
    <row r="968" spans="1:19" ht="15">
      <c r="A968" s="68"/>
      <c r="B968" s="61"/>
      <c r="C968" s="61"/>
      <c r="D968" s="61"/>
      <c r="E968" s="61"/>
      <c r="F968" s="61"/>
      <c r="G968" s="61"/>
      <c r="H968" s="91"/>
      <c r="I968" s="68"/>
      <c r="J968" s="68"/>
      <c r="K968" s="68"/>
      <c r="L968" s="61"/>
      <c r="M968" s="61"/>
      <c r="N968" s="61"/>
      <c r="O968" s="61"/>
      <c r="P968" s="61"/>
      <c r="Q968" s="61"/>
      <c r="R968" s="61"/>
      <c r="S968" s="61"/>
    </row>
    <row r="969" spans="1:19" ht="15">
      <c r="A969" s="68"/>
      <c r="B969" s="61"/>
      <c r="C969" s="61"/>
      <c r="D969" s="61"/>
      <c r="E969" s="61"/>
      <c r="F969" s="61"/>
      <c r="G969" s="61"/>
      <c r="H969" s="91"/>
      <c r="I969" s="68"/>
      <c r="J969" s="68"/>
      <c r="K969" s="68"/>
      <c r="L969" s="61"/>
      <c r="M969" s="61"/>
      <c r="N969" s="61"/>
      <c r="O969" s="61"/>
      <c r="P969" s="61"/>
      <c r="Q969" s="61"/>
      <c r="R969" s="61"/>
      <c r="S969" s="61"/>
    </row>
    <row r="970" spans="1:19" ht="15">
      <c r="A970" s="68"/>
      <c r="B970" s="61"/>
      <c r="C970" s="61"/>
      <c r="D970" s="61"/>
      <c r="E970" s="61"/>
      <c r="F970" s="61"/>
      <c r="G970" s="61"/>
      <c r="H970" s="91"/>
      <c r="I970" s="68"/>
      <c r="J970" s="68"/>
      <c r="K970" s="68"/>
      <c r="L970" s="61"/>
      <c r="M970" s="61"/>
      <c r="N970" s="61"/>
      <c r="O970" s="61"/>
      <c r="P970" s="61"/>
      <c r="Q970" s="61"/>
      <c r="R970" s="61"/>
      <c r="S970" s="61"/>
    </row>
    <row r="971" spans="1:19" ht="15">
      <c r="A971" s="68"/>
      <c r="B971" s="61"/>
      <c r="C971" s="61"/>
      <c r="D971" s="61"/>
      <c r="E971" s="61"/>
      <c r="F971" s="61"/>
      <c r="G971" s="61"/>
      <c r="H971" s="91"/>
      <c r="I971" s="68"/>
      <c r="J971" s="68"/>
      <c r="K971" s="68"/>
      <c r="L971" s="61"/>
      <c r="M971" s="61"/>
      <c r="N971" s="61"/>
      <c r="O971" s="61"/>
      <c r="P971" s="61"/>
      <c r="Q971" s="61"/>
      <c r="R971" s="61"/>
      <c r="S971" s="61"/>
    </row>
    <row r="972" spans="1:19" ht="15">
      <c r="A972" s="68"/>
      <c r="B972" s="61"/>
      <c r="C972" s="61"/>
      <c r="D972" s="61"/>
      <c r="E972" s="61"/>
      <c r="F972" s="61"/>
      <c r="G972" s="61"/>
      <c r="H972" s="91"/>
      <c r="I972" s="68"/>
      <c r="J972" s="68"/>
      <c r="K972" s="68"/>
      <c r="L972" s="61"/>
      <c r="M972" s="61"/>
      <c r="N972" s="61"/>
      <c r="O972" s="61"/>
      <c r="P972" s="61"/>
      <c r="Q972" s="61"/>
      <c r="R972" s="61"/>
      <c r="S972" s="61"/>
    </row>
    <row r="973" spans="1:19" ht="15">
      <c r="A973" s="68"/>
      <c r="B973" s="61"/>
      <c r="C973" s="61"/>
      <c r="D973" s="61"/>
      <c r="E973" s="61"/>
      <c r="F973" s="61"/>
      <c r="G973" s="61"/>
      <c r="H973" s="91"/>
      <c r="I973" s="68"/>
      <c r="J973" s="68"/>
      <c r="K973" s="68"/>
      <c r="L973" s="61"/>
      <c r="M973" s="61"/>
      <c r="N973" s="61"/>
      <c r="O973" s="61"/>
      <c r="P973" s="61"/>
      <c r="Q973" s="61"/>
      <c r="R973" s="61"/>
      <c r="S973" s="61"/>
    </row>
    <row r="974" spans="1:19" ht="15">
      <c r="A974" s="68"/>
      <c r="B974" s="61"/>
      <c r="C974" s="61"/>
      <c r="D974" s="61"/>
      <c r="E974" s="61"/>
      <c r="F974" s="61"/>
      <c r="G974" s="61"/>
      <c r="H974" s="91"/>
      <c r="I974" s="68"/>
      <c r="J974" s="68"/>
      <c r="K974" s="68"/>
      <c r="L974" s="61"/>
      <c r="M974" s="61"/>
      <c r="N974" s="61"/>
      <c r="O974" s="61"/>
      <c r="P974" s="61"/>
      <c r="Q974" s="61"/>
      <c r="R974" s="61"/>
      <c r="S974" s="61"/>
    </row>
    <row r="975" spans="1:19" ht="15">
      <c r="A975" s="68"/>
      <c r="B975" s="61"/>
      <c r="C975" s="61"/>
      <c r="D975" s="61"/>
      <c r="E975" s="61"/>
      <c r="F975" s="61"/>
      <c r="G975" s="61"/>
      <c r="H975" s="91"/>
      <c r="I975" s="68"/>
      <c r="J975" s="68"/>
      <c r="K975" s="68"/>
      <c r="L975" s="61"/>
      <c r="M975" s="61"/>
      <c r="N975" s="61"/>
      <c r="O975" s="61"/>
      <c r="P975" s="61"/>
      <c r="Q975" s="61"/>
      <c r="R975" s="61"/>
      <c r="S975" s="61"/>
    </row>
    <row r="976" spans="1:19" ht="15">
      <c r="A976" s="68"/>
      <c r="B976" s="61"/>
      <c r="C976" s="61"/>
      <c r="D976" s="61"/>
      <c r="E976" s="61"/>
      <c r="F976" s="61"/>
      <c r="G976" s="61"/>
      <c r="H976" s="91"/>
      <c r="I976" s="68"/>
      <c r="J976" s="68"/>
      <c r="K976" s="68"/>
      <c r="L976" s="61"/>
      <c r="M976" s="61"/>
      <c r="N976" s="61"/>
      <c r="O976" s="61"/>
      <c r="P976" s="61"/>
      <c r="Q976" s="61"/>
      <c r="R976" s="61"/>
      <c r="S976" s="61"/>
    </row>
    <row r="977" spans="1:19" ht="15">
      <c r="A977" s="68"/>
      <c r="B977" s="61"/>
      <c r="C977" s="61"/>
      <c r="D977" s="61"/>
      <c r="E977" s="61"/>
      <c r="F977" s="61"/>
      <c r="G977" s="61"/>
      <c r="H977" s="91"/>
      <c r="I977" s="68"/>
      <c r="J977" s="68"/>
      <c r="K977" s="68"/>
      <c r="L977" s="61"/>
      <c r="M977" s="61"/>
      <c r="N977" s="61"/>
      <c r="O977" s="61"/>
      <c r="P977" s="61"/>
      <c r="Q977" s="61"/>
      <c r="R977" s="61"/>
      <c r="S977" s="61"/>
    </row>
    <row r="978" spans="1:19" ht="15">
      <c r="A978" s="68"/>
      <c r="B978" s="61"/>
      <c r="C978" s="61"/>
      <c r="D978" s="61"/>
      <c r="E978" s="61"/>
      <c r="F978" s="61"/>
      <c r="G978" s="61"/>
      <c r="H978" s="91"/>
      <c r="I978" s="68"/>
      <c r="J978" s="68"/>
      <c r="K978" s="68"/>
      <c r="L978" s="61"/>
      <c r="M978" s="61"/>
      <c r="N978" s="61"/>
      <c r="O978" s="61"/>
      <c r="P978" s="61"/>
      <c r="Q978" s="61"/>
      <c r="R978" s="61"/>
      <c r="S978" s="61"/>
    </row>
    <row r="979" spans="1:19" ht="15">
      <c r="A979" s="68"/>
      <c r="B979" s="61"/>
      <c r="C979" s="61"/>
      <c r="D979" s="61"/>
      <c r="E979" s="61"/>
      <c r="F979" s="61"/>
      <c r="G979" s="61"/>
      <c r="H979" s="91"/>
      <c r="I979" s="68"/>
      <c r="J979" s="68"/>
      <c r="K979" s="68"/>
      <c r="L979" s="61"/>
      <c r="M979" s="61"/>
      <c r="N979" s="61"/>
      <c r="O979" s="61"/>
      <c r="P979" s="61"/>
      <c r="Q979" s="61"/>
      <c r="R979" s="61"/>
      <c r="S979" s="61"/>
    </row>
    <row r="980" spans="1:19" ht="15">
      <c r="A980" s="68"/>
      <c r="B980" s="61"/>
      <c r="C980" s="61"/>
      <c r="D980" s="61"/>
      <c r="E980" s="61"/>
      <c r="F980" s="61"/>
      <c r="G980" s="61"/>
      <c r="H980" s="91"/>
      <c r="I980" s="68"/>
      <c r="J980" s="68"/>
      <c r="K980" s="68"/>
      <c r="L980" s="61"/>
      <c r="M980" s="61"/>
      <c r="N980" s="61"/>
      <c r="O980" s="61"/>
      <c r="P980" s="61"/>
      <c r="Q980" s="61"/>
      <c r="R980" s="61"/>
      <c r="S980" s="61"/>
    </row>
    <row r="981" spans="1:19" ht="15">
      <c r="A981" s="68"/>
      <c r="B981" s="61"/>
      <c r="C981" s="61"/>
      <c r="D981" s="61"/>
      <c r="E981" s="61"/>
      <c r="F981" s="61"/>
      <c r="G981" s="61"/>
      <c r="H981" s="91"/>
      <c r="I981" s="68"/>
      <c r="J981" s="68"/>
      <c r="K981" s="68"/>
      <c r="L981" s="61"/>
      <c r="M981" s="61"/>
      <c r="N981" s="61"/>
      <c r="O981" s="61"/>
      <c r="P981" s="61"/>
      <c r="Q981" s="61"/>
      <c r="R981" s="61"/>
      <c r="S981" s="61"/>
    </row>
    <row r="982" spans="1:19" ht="15">
      <c r="A982" s="68"/>
      <c r="B982" s="61"/>
      <c r="C982" s="61"/>
      <c r="D982" s="61"/>
      <c r="E982" s="61"/>
      <c r="F982" s="61"/>
      <c r="G982" s="61"/>
      <c r="H982" s="91"/>
      <c r="I982" s="68"/>
      <c r="J982" s="68"/>
      <c r="K982" s="68"/>
      <c r="L982" s="61"/>
      <c r="M982" s="61"/>
      <c r="N982" s="61"/>
      <c r="O982" s="61"/>
      <c r="P982" s="61"/>
      <c r="Q982" s="61"/>
      <c r="R982" s="61"/>
      <c r="S982" s="61"/>
    </row>
    <row r="983" spans="1:19" ht="15">
      <c r="A983" s="68"/>
      <c r="B983" s="61"/>
      <c r="C983" s="61"/>
      <c r="D983" s="61"/>
      <c r="E983" s="61"/>
      <c r="F983" s="61"/>
      <c r="G983" s="61"/>
      <c r="H983" s="91"/>
      <c r="I983" s="68"/>
      <c r="J983" s="68"/>
      <c r="K983" s="68"/>
      <c r="L983" s="61"/>
      <c r="M983" s="61"/>
      <c r="N983" s="61"/>
      <c r="O983" s="61"/>
      <c r="P983" s="61"/>
      <c r="Q983" s="61"/>
      <c r="R983" s="61"/>
      <c r="S983" s="61"/>
    </row>
    <row r="984" spans="1:19" ht="15">
      <c r="A984" s="68"/>
      <c r="B984" s="61"/>
      <c r="C984" s="61"/>
      <c r="D984" s="61"/>
      <c r="E984" s="61"/>
      <c r="F984" s="61"/>
      <c r="G984" s="61"/>
      <c r="H984" s="91"/>
      <c r="I984" s="68"/>
      <c r="J984" s="68"/>
      <c r="K984" s="68"/>
      <c r="L984" s="61"/>
      <c r="M984" s="61"/>
      <c r="N984" s="61"/>
      <c r="O984" s="61"/>
      <c r="P984" s="61"/>
      <c r="Q984" s="61"/>
      <c r="R984" s="61"/>
      <c r="S984" s="61"/>
    </row>
    <row r="985" spans="1:19" ht="15">
      <c r="A985" s="68"/>
      <c r="B985" s="61"/>
      <c r="C985" s="61"/>
      <c r="D985" s="61"/>
      <c r="E985" s="61"/>
      <c r="F985" s="61"/>
      <c r="G985" s="61"/>
      <c r="H985" s="91"/>
      <c r="I985" s="68"/>
      <c r="J985" s="68"/>
      <c r="K985" s="68"/>
      <c r="L985" s="61"/>
      <c r="M985" s="61"/>
      <c r="N985" s="61"/>
      <c r="O985" s="61"/>
      <c r="P985" s="61"/>
      <c r="Q985" s="61"/>
      <c r="R985" s="61"/>
      <c r="S985" s="61"/>
    </row>
    <row r="986" spans="1:19" ht="15">
      <c r="A986" s="68"/>
      <c r="B986" s="61"/>
      <c r="C986" s="61"/>
      <c r="D986" s="61"/>
      <c r="E986" s="61"/>
      <c r="F986" s="61"/>
      <c r="G986" s="61"/>
      <c r="H986" s="91"/>
      <c r="I986" s="68"/>
      <c r="J986" s="68"/>
      <c r="K986" s="68"/>
      <c r="L986" s="61"/>
      <c r="M986" s="61"/>
      <c r="N986" s="61"/>
      <c r="O986" s="61"/>
      <c r="P986" s="61"/>
      <c r="Q986" s="61"/>
      <c r="R986" s="61"/>
      <c r="S986" s="61"/>
    </row>
    <row r="987" spans="1:19" ht="15">
      <c r="A987" s="68"/>
      <c r="B987" s="61"/>
      <c r="C987" s="61"/>
      <c r="D987" s="61"/>
      <c r="E987" s="61"/>
      <c r="F987" s="61"/>
      <c r="G987" s="61"/>
      <c r="H987" s="91"/>
      <c r="I987" s="68"/>
      <c r="J987" s="68"/>
      <c r="K987" s="68"/>
      <c r="L987" s="61"/>
      <c r="M987" s="61"/>
      <c r="N987" s="61"/>
      <c r="O987" s="61"/>
      <c r="P987" s="61"/>
      <c r="Q987" s="61"/>
      <c r="R987" s="61"/>
      <c r="S987" s="61"/>
    </row>
    <row r="988" spans="1:19" ht="15">
      <c r="A988" s="68"/>
      <c r="B988" s="61"/>
      <c r="C988" s="61"/>
      <c r="D988" s="61"/>
      <c r="E988" s="61"/>
      <c r="F988" s="61"/>
      <c r="G988" s="61"/>
      <c r="H988" s="91"/>
      <c r="I988" s="68"/>
      <c r="J988" s="68"/>
      <c r="K988" s="68"/>
      <c r="L988" s="61"/>
      <c r="M988" s="61"/>
      <c r="N988" s="61"/>
      <c r="O988" s="61"/>
      <c r="P988" s="61"/>
      <c r="Q988" s="61"/>
      <c r="R988" s="61"/>
      <c r="S988" s="61"/>
    </row>
    <row r="989" spans="1:19" ht="15">
      <c r="A989" s="68"/>
      <c r="B989" s="61"/>
      <c r="C989" s="61"/>
      <c r="D989" s="61"/>
      <c r="E989" s="61"/>
      <c r="F989" s="61"/>
      <c r="G989" s="61"/>
      <c r="H989" s="91"/>
      <c r="I989" s="68"/>
      <c r="J989" s="68"/>
      <c r="K989" s="68"/>
      <c r="L989" s="61"/>
      <c r="M989" s="61"/>
      <c r="N989" s="61"/>
      <c r="O989" s="61"/>
      <c r="P989" s="61"/>
      <c r="Q989" s="61"/>
      <c r="R989" s="61"/>
      <c r="S989" s="61"/>
    </row>
    <row r="990" spans="1:19" ht="15">
      <c r="A990" s="68"/>
      <c r="B990" s="61"/>
      <c r="C990" s="61"/>
      <c r="D990" s="61"/>
      <c r="E990" s="61"/>
      <c r="F990" s="61"/>
      <c r="G990" s="61"/>
      <c r="H990" s="91"/>
      <c r="I990" s="68"/>
      <c r="J990" s="68"/>
      <c r="K990" s="68"/>
      <c r="L990" s="61"/>
      <c r="M990" s="61"/>
      <c r="N990" s="61"/>
      <c r="O990" s="61"/>
      <c r="P990" s="61"/>
      <c r="Q990" s="61"/>
      <c r="R990" s="61"/>
      <c r="S990" s="61"/>
    </row>
    <row r="991" spans="1:19" ht="15">
      <c r="A991" s="68"/>
      <c r="B991" s="61"/>
      <c r="C991" s="61"/>
      <c r="D991" s="61"/>
      <c r="E991" s="61"/>
      <c r="F991" s="61"/>
      <c r="G991" s="61"/>
      <c r="H991" s="91"/>
      <c r="I991" s="68"/>
      <c r="J991" s="68"/>
      <c r="K991" s="68"/>
      <c r="L991" s="61"/>
      <c r="M991" s="61"/>
      <c r="N991" s="61"/>
      <c r="O991" s="61"/>
      <c r="P991" s="61"/>
      <c r="Q991" s="61"/>
      <c r="R991" s="61"/>
      <c r="S991" s="61"/>
    </row>
    <row r="992" spans="1:19" ht="15">
      <c r="A992" s="68"/>
      <c r="B992" s="61"/>
      <c r="C992" s="61"/>
      <c r="D992" s="61"/>
      <c r="E992" s="61"/>
      <c r="F992" s="61"/>
      <c r="G992" s="61"/>
      <c r="H992" s="91"/>
      <c r="I992" s="68"/>
      <c r="J992" s="68"/>
      <c r="K992" s="68"/>
      <c r="L992" s="61"/>
      <c r="M992" s="61"/>
      <c r="N992" s="61"/>
      <c r="O992" s="61"/>
      <c r="P992" s="61"/>
      <c r="Q992" s="61"/>
      <c r="R992" s="61"/>
      <c r="S992" s="61"/>
    </row>
    <row r="993" spans="1:19" ht="15">
      <c r="A993" s="68"/>
      <c r="B993" s="61"/>
      <c r="C993" s="61"/>
      <c r="D993" s="61"/>
      <c r="E993" s="61"/>
      <c r="F993" s="61"/>
      <c r="G993" s="61"/>
      <c r="H993" s="91"/>
      <c r="I993" s="68"/>
      <c r="J993" s="68"/>
      <c r="K993" s="68"/>
      <c r="L993" s="61"/>
      <c r="M993" s="61"/>
      <c r="N993" s="61"/>
      <c r="O993" s="61"/>
      <c r="P993" s="61"/>
      <c r="Q993" s="61"/>
      <c r="R993" s="61"/>
      <c r="S993" s="61"/>
    </row>
    <row r="994" spans="1:19" ht="15">
      <c r="A994" s="68"/>
      <c r="B994" s="61"/>
      <c r="C994" s="61"/>
      <c r="D994" s="61"/>
      <c r="E994" s="61"/>
      <c r="F994" s="61"/>
      <c r="G994" s="61"/>
      <c r="H994" s="91"/>
      <c r="I994" s="68"/>
      <c r="J994" s="68"/>
      <c r="K994" s="68"/>
      <c r="L994" s="61"/>
      <c r="M994" s="61"/>
      <c r="N994" s="61"/>
      <c r="O994" s="61"/>
      <c r="P994" s="61"/>
      <c r="Q994" s="61"/>
      <c r="R994" s="61"/>
      <c r="S994" s="6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K991"/>
  <sheetViews>
    <sheetView showGridLines="0" workbookViewId="0">
      <selection activeCell="B17" sqref="B17"/>
    </sheetView>
  </sheetViews>
  <sheetFormatPr defaultColWidth="12.5703125" defaultRowHeight="15.75" customHeight="1"/>
  <cols>
    <col min="1" max="1" width="14.7109375" customWidth="1"/>
    <col min="2" max="2" width="57.42578125" style="106" customWidth="1"/>
    <col min="3" max="7" width="0" hidden="1" customWidth="1"/>
    <col min="8" max="8" width="7.42578125" style="92" customWidth="1"/>
    <col min="9" max="9" width="10.42578125" style="146" customWidth="1"/>
  </cols>
  <sheetData>
    <row r="1" spans="1:11" ht="15.75" customHeight="1">
      <c r="A1" s="61"/>
      <c r="B1" s="103"/>
      <c r="C1" s="61"/>
      <c r="D1" s="61"/>
      <c r="F1" s="61"/>
      <c r="H1" s="91"/>
      <c r="I1" s="68"/>
      <c r="K1" s="61"/>
    </row>
    <row r="2" spans="1:11" ht="15.75" customHeight="1">
      <c r="A2" s="61"/>
      <c r="B2" s="116" t="s">
        <v>256</v>
      </c>
      <c r="C2" s="99"/>
      <c r="D2" s="99"/>
      <c r="E2" s="99"/>
      <c r="F2" s="99"/>
      <c r="G2" s="99"/>
      <c r="H2" s="151"/>
      <c r="I2" s="148"/>
      <c r="J2" s="60"/>
    </row>
    <row r="3" spans="1:11" ht="15.75" customHeight="1">
      <c r="A3" s="61"/>
      <c r="B3" s="104"/>
      <c r="C3" s="62"/>
      <c r="D3" s="62"/>
      <c r="E3" s="62"/>
      <c r="F3" s="63"/>
      <c r="H3" s="89"/>
      <c r="I3" s="73"/>
      <c r="K3" s="65"/>
    </row>
    <row r="4" spans="1:11" ht="15.75" customHeight="1">
      <c r="A4" s="61"/>
      <c r="B4" s="117" t="s">
        <v>220</v>
      </c>
      <c r="C4" s="99"/>
      <c r="D4" s="99"/>
      <c r="E4" s="99"/>
      <c r="F4" s="99"/>
      <c r="G4" s="63"/>
      <c r="I4" s="73"/>
      <c r="K4" s="65"/>
    </row>
    <row r="5" spans="1:11" ht="15.75" customHeight="1">
      <c r="A5" s="61"/>
      <c r="B5" s="104"/>
      <c r="C5" s="62"/>
      <c r="D5" s="62"/>
      <c r="E5" s="62"/>
      <c r="F5" s="63"/>
      <c r="H5" s="89"/>
      <c r="I5" s="74"/>
      <c r="K5" s="61"/>
    </row>
    <row r="6" spans="1:11" ht="15.75" customHeight="1">
      <c r="A6" s="120"/>
      <c r="B6" s="163" t="s">
        <v>221</v>
      </c>
      <c r="C6" s="154"/>
      <c r="D6" s="154"/>
      <c r="E6" s="164"/>
      <c r="F6" s="101"/>
      <c r="G6" s="119"/>
      <c r="H6" s="166" t="s">
        <v>222</v>
      </c>
      <c r="I6" s="166" t="s">
        <v>285</v>
      </c>
      <c r="J6" s="158" t="s">
        <v>223</v>
      </c>
      <c r="K6" s="158" t="s">
        <v>281</v>
      </c>
    </row>
    <row r="7" spans="1:11" ht="15.75" customHeight="1">
      <c r="A7" s="152" t="s">
        <v>228</v>
      </c>
      <c r="B7" s="153" t="s">
        <v>274</v>
      </c>
      <c r="C7" s="154"/>
      <c r="D7" s="154"/>
      <c r="E7" s="154"/>
      <c r="F7" s="154"/>
      <c r="G7" s="154"/>
      <c r="H7" s="155">
        <v>1</v>
      </c>
      <c r="I7" s="125" t="s">
        <v>282</v>
      </c>
      <c r="J7" s="127">
        <f>VLOOKUP(B7,Tabela_preços[[DESCRIÇÃO]:[VALOR]],3,FALSE)</f>
        <v>463.02499999999998</v>
      </c>
      <c r="K7" s="127">
        <f>J7*H7</f>
        <v>463.02499999999998</v>
      </c>
    </row>
    <row r="8" spans="1:11" ht="15.75" customHeight="1">
      <c r="A8" s="152" t="s">
        <v>225</v>
      </c>
      <c r="B8" s="168" t="s">
        <v>226</v>
      </c>
      <c r="C8" s="154"/>
      <c r="D8" s="154"/>
      <c r="E8" s="154"/>
      <c r="F8" s="154"/>
      <c r="G8" s="154"/>
      <c r="H8" s="155">
        <v>1</v>
      </c>
      <c r="I8" s="125" t="s">
        <v>282</v>
      </c>
      <c r="J8" s="127">
        <f>VLOOKUP(B8,Tabela_preços[[DESCRIÇÃO]:[VALOR]],3,FALSE)</f>
        <v>17.512</v>
      </c>
      <c r="K8" s="127">
        <f t="shared" ref="K8:K12" si="0">J8*H8</f>
        <v>17.512</v>
      </c>
    </row>
    <row r="9" spans="1:11" ht="15.75" customHeight="1">
      <c r="A9" s="153" t="s">
        <v>227</v>
      </c>
      <c r="B9" s="153" t="s">
        <v>304</v>
      </c>
      <c r="C9" s="154"/>
      <c r="D9" s="154"/>
      <c r="E9" s="154"/>
      <c r="F9" s="154"/>
      <c r="G9" s="154"/>
      <c r="H9" s="155">
        <v>4</v>
      </c>
      <c r="I9" s="125" t="s">
        <v>282</v>
      </c>
      <c r="J9" s="127">
        <f>VLOOKUP(B9,Tabela_preços[[DESCRIÇÃO]:[VALOR]],3,FALSE)</f>
        <v>17.850000000000001</v>
      </c>
      <c r="K9" s="127">
        <f t="shared" si="0"/>
        <v>71.400000000000006</v>
      </c>
    </row>
    <row r="10" spans="1:11" ht="15.75" customHeight="1">
      <c r="A10" s="152" t="s">
        <v>231</v>
      </c>
      <c r="B10" s="153" t="s">
        <v>291</v>
      </c>
      <c r="C10" s="154"/>
      <c r="D10" s="154"/>
      <c r="E10" s="154"/>
      <c r="F10" s="154"/>
      <c r="G10" s="154"/>
      <c r="H10" s="155">
        <v>1</v>
      </c>
      <c r="I10" s="125" t="s">
        <v>282</v>
      </c>
      <c r="J10" s="127">
        <f>VLOOKUP(B10,Tabela_preços[[DESCRIÇÃO]:[VALOR]],3,FALSE)</f>
        <v>13.6</v>
      </c>
      <c r="K10" s="127">
        <f t="shared" si="0"/>
        <v>13.6</v>
      </c>
    </row>
    <row r="11" spans="1:11" ht="15.75" customHeight="1">
      <c r="A11" s="152" t="s">
        <v>229</v>
      </c>
      <c r="B11" s="168" t="s">
        <v>230</v>
      </c>
      <c r="C11" s="154"/>
      <c r="D11" s="154"/>
      <c r="E11" s="154"/>
      <c r="F11" s="154"/>
      <c r="G11" s="154"/>
      <c r="H11" s="155">
        <v>1</v>
      </c>
      <c r="I11" s="125" t="s">
        <v>282</v>
      </c>
      <c r="J11" s="127">
        <f>VLOOKUP(B11,Tabela_preços[[DESCRIÇÃO]:[VALOR]],3,FALSE)</f>
        <v>19.12</v>
      </c>
      <c r="K11" s="127">
        <f t="shared" si="0"/>
        <v>19.12</v>
      </c>
    </row>
    <row r="12" spans="1:11" ht="15.75" customHeight="1">
      <c r="A12" s="152" t="s">
        <v>228</v>
      </c>
      <c r="B12" s="153" t="s">
        <v>269</v>
      </c>
      <c r="C12" s="154"/>
      <c r="D12" s="154"/>
      <c r="E12" s="154"/>
      <c r="F12" s="154"/>
      <c r="G12" s="154"/>
      <c r="H12" s="155">
        <v>1</v>
      </c>
      <c r="I12" s="125" t="s">
        <v>282</v>
      </c>
      <c r="J12" s="127">
        <f>VLOOKUP(B12,Tabela_preços[[DESCRIÇÃO]:[VALOR]],3,FALSE)</f>
        <v>110</v>
      </c>
      <c r="K12" s="127">
        <f t="shared" si="0"/>
        <v>110</v>
      </c>
    </row>
    <row r="13" spans="1:11" ht="15.75" customHeight="1">
      <c r="A13" s="61"/>
      <c r="B13" s="61"/>
      <c r="C13" s="61"/>
      <c r="D13" s="61"/>
      <c r="E13" s="61"/>
      <c r="F13" s="61"/>
      <c r="G13" s="61"/>
      <c r="H13" s="91"/>
      <c r="I13" s="90"/>
    </row>
    <row r="14" spans="1:11" ht="15.75" customHeight="1">
      <c r="A14" s="120"/>
      <c r="B14" s="156" t="s">
        <v>235</v>
      </c>
      <c r="C14" s="154"/>
      <c r="D14" s="154"/>
      <c r="E14" s="119"/>
      <c r="F14" s="122"/>
      <c r="G14" s="101"/>
      <c r="H14" s="157"/>
      <c r="I14" s="157"/>
      <c r="J14" s="158" t="s">
        <v>223</v>
      </c>
      <c r="K14" s="158" t="s">
        <v>281</v>
      </c>
    </row>
    <row r="15" spans="1:11" ht="15.75" customHeight="1">
      <c r="A15" s="152" t="s">
        <v>236</v>
      </c>
      <c r="B15" s="153" t="s">
        <v>237</v>
      </c>
      <c r="C15" s="154"/>
      <c r="D15" s="154"/>
      <c r="E15" s="154"/>
      <c r="F15" s="154"/>
      <c r="G15" s="154"/>
      <c r="H15" s="155">
        <v>2</v>
      </c>
      <c r="I15" s="125" t="s">
        <v>283</v>
      </c>
      <c r="J15" s="127">
        <f>VLOOKUP(B15,Tabela_preços[[DESCRIÇÃO]:[VALOR]],3,FALSE)</f>
        <v>185</v>
      </c>
      <c r="K15" s="127">
        <f t="shared" ref="K15:K24" si="1">J15*H15</f>
        <v>370</v>
      </c>
    </row>
    <row r="16" spans="1:11" ht="15.75" customHeight="1">
      <c r="A16" s="152">
        <v>865</v>
      </c>
      <c r="B16" s="153" t="s">
        <v>305</v>
      </c>
      <c r="C16" s="154"/>
      <c r="D16" s="154"/>
      <c r="E16" s="154"/>
      <c r="F16" s="154"/>
      <c r="G16" s="154"/>
      <c r="H16" s="155">
        <v>17</v>
      </c>
      <c r="I16" s="125" t="s">
        <v>287</v>
      </c>
      <c r="J16" s="127">
        <f>VLOOKUP(B16,Tabela_preços[[DESCRIÇÃO]:[VALOR]],3,FALSE)</f>
        <v>65</v>
      </c>
      <c r="K16" s="127">
        <f t="shared" si="1"/>
        <v>1105</v>
      </c>
    </row>
    <row r="17" spans="1:11" ht="15.75" customHeight="1">
      <c r="A17" s="152" t="s">
        <v>240</v>
      </c>
      <c r="B17" s="153" t="s">
        <v>241</v>
      </c>
      <c r="C17" s="154"/>
      <c r="D17" s="154"/>
      <c r="E17" s="154"/>
      <c r="F17" s="154"/>
      <c r="G17" s="154"/>
      <c r="H17" s="155">
        <v>0.1</v>
      </c>
      <c r="I17" s="125" t="s">
        <v>287</v>
      </c>
      <c r="J17" s="127">
        <f>VLOOKUP(B17,Tabela_preços[[DESCRIÇÃO]:[VALOR]],3,FALSE)</f>
        <v>2900</v>
      </c>
      <c r="K17" s="127">
        <f t="shared" si="1"/>
        <v>290</v>
      </c>
    </row>
    <row r="18" spans="1:11" ht="15.75" customHeight="1">
      <c r="A18" s="152" t="s">
        <v>245</v>
      </c>
      <c r="B18" s="153" t="s">
        <v>302</v>
      </c>
      <c r="C18" s="154"/>
      <c r="D18" s="154"/>
      <c r="E18" s="154"/>
      <c r="F18" s="154"/>
      <c r="G18" s="154"/>
      <c r="H18" s="155">
        <v>2</v>
      </c>
      <c r="I18" s="125" t="s">
        <v>283</v>
      </c>
      <c r="J18" s="127">
        <f>VLOOKUP(B18,Tabela_preços[[DESCRIÇÃO]:[VALOR]],3,FALSE)</f>
        <v>46.15</v>
      </c>
      <c r="K18" s="127">
        <f t="shared" si="1"/>
        <v>92.3</v>
      </c>
    </row>
    <row r="19" spans="1:11" ht="15.75" customHeight="1">
      <c r="A19" s="152" t="s">
        <v>246</v>
      </c>
      <c r="B19" s="153" t="s">
        <v>297</v>
      </c>
      <c r="C19" s="154"/>
      <c r="D19" s="154"/>
      <c r="E19" s="154"/>
      <c r="F19" s="154"/>
      <c r="G19" s="154"/>
      <c r="H19" s="155">
        <v>3</v>
      </c>
      <c r="I19" s="125" t="s">
        <v>282</v>
      </c>
      <c r="J19" s="127">
        <f>VLOOKUP(B19,Tabela_preços[[DESCRIÇÃO]:[VALOR]],3,FALSE)</f>
        <v>58.65</v>
      </c>
      <c r="K19" s="127">
        <f t="shared" si="1"/>
        <v>175.95</v>
      </c>
    </row>
    <row r="20" spans="1:11" ht="15.75" customHeight="1">
      <c r="A20" s="152" t="s">
        <v>247</v>
      </c>
      <c r="B20" s="153" t="s">
        <v>261</v>
      </c>
      <c r="C20" s="154"/>
      <c r="D20" s="154"/>
      <c r="E20" s="154"/>
      <c r="F20" s="154"/>
      <c r="G20" s="154"/>
      <c r="H20" s="155">
        <v>1.5</v>
      </c>
      <c r="I20" s="125" t="s">
        <v>284</v>
      </c>
      <c r="J20" s="127">
        <f>VLOOKUP(B20,Tabela_preços[[DESCRIÇÃO]:[VALOR]],3,FALSE)</f>
        <v>87.706800000000001</v>
      </c>
      <c r="K20" s="127">
        <f t="shared" si="1"/>
        <v>131.56020000000001</v>
      </c>
    </row>
    <row r="21" spans="1:11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55">
        <v>2</v>
      </c>
      <c r="I21" s="125" t="s">
        <v>282</v>
      </c>
      <c r="J21" s="127">
        <f>VLOOKUP(B21,Tabela_preços[[DESCRIÇÃO]:[VALOR]],3,FALSE)</f>
        <v>33.64</v>
      </c>
      <c r="K21" s="127">
        <f t="shared" si="1"/>
        <v>67.28</v>
      </c>
    </row>
    <row r="22" spans="1:11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55">
        <v>1</v>
      </c>
      <c r="I22" s="125" t="s">
        <v>282</v>
      </c>
      <c r="J22" s="127">
        <f>VLOOKUP(B22,Tabela_preços[[DESCRIÇÃO]:[VALOR]],3,FALSE)</f>
        <v>99</v>
      </c>
      <c r="K22" s="127">
        <f t="shared" si="1"/>
        <v>99</v>
      </c>
    </row>
    <row r="23" spans="1:11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55">
        <v>100</v>
      </c>
      <c r="I23" s="125" t="s">
        <v>300</v>
      </c>
      <c r="J23" s="127">
        <f>VLOOKUP(B23,Tabela_preços[[DESCRIÇÃO]:[VALOR]],3,FALSE)</f>
        <v>2</v>
      </c>
      <c r="K23" s="127">
        <f t="shared" si="1"/>
        <v>200</v>
      </c>
    </row>
    <row r="24" spans="1:11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55">
        <v>1</v>
      </c>
      <c r="I24" s="125" t="s">
        <v>300</v>
      </c>
      <c r="J24" s="127">
        <f>VLOOKUP(B24,Tabela_preços[[DESCRIÇÃO]:[VALOR]],3,FALSE)</f>
        <v>0.45200000000000001</v>
      </c>
      <c r="K24" s="127">
        <f t="shared" si="1"/>
        <v>0.45200000000000001</v>
      </c>
    </row>
    <row r="25" spans="1:11" ht="15.75" customHeight="1">
      <c r="A25" s="61"/>
      <c r="B25" s="105"/>
      <c r="C25" s="61"/>
      <c r="D25" s="61"/>
      <c r="F25" s="61"/>
      <c r="H25" s="91"/>
      <c r="I25" s="90"/>
      <c r="J25" s="93"/>
      <c r="K25" s="62"/>
    </row>
    <row r="26" spans="1:11" ht="15.75" customHeight="1">
      <c r="A26" s="120"/>
      <c r="B26" s="156" t="s">
        <v>252</v>
      </c>
      <c r="C26" s="154"/>
      <c r="D26" s="154"/>
      <c r="E26" s="119"/>
      <c r="F26" s="122"/>
      <c r="G26" s="101"/>
      <c r="H26" s="157"/>
      <c r="I26" s="157"/>
      <c r="J26" s="158" t="s">
        <v>223</v>
      </c>
      <c r="K26" s="158" t="s">
        <v>281</v>
      </c>
    </row>
    <row r="27" spans="1:11" ht="15.75" customHeight="1">
      <c r="A27" s="152" t="s">
        <v>253</v>
      </c>
      <c r="B27" s="153" t="s">
        <v>306</v>
      </c>
      <c r="C27" s="159"/>
      <c r="D27" s="159"/>
      <c r="E27" s="159"/>
      <c r="F27" s="159"/>
      <c r="G27" s="159"/>
      <c r="H27" s="157">
        <v>0.2</v>
      </c>
      <c r="I27" s="173" t="s">
        <v>300</v>
      </c>
      <c r="J27" s="127">
        <f>VLOOKUP(B27,Tabela_preços[[DESCRIÇÃO]:[VALOR]],3,FALSE)</f>
        <v>28.000000000000004</v>
      </c>
      <c r="K27" s="127">
        <f t="shared" ref="K27" si="2">J27*H27</f>
        <v>5.6000000000000014</v>
      </c>
    </row>
    <row r="28" spans="1:11" ht="15.75" customHeight="1">
      <c r="A28" s="152" t="s">
        <v>254</v>
      </c>
      <c r="B28" s="153" t="s">
        <v>298</v>
      </c>
      <c r="C28" s="154"/>
      <c r="D28" s="154"/>
      <c r="E28" s="154"/>
      <c r="F28" s="154"/>
      <c r="G28" s="154"/>
      <c r="H28" s="155">
        <v>0.2</v>
      </c>
      <c r="I28" s="125" t="s">
        <v>300</v>
      </c>
      <c r="J28" s="127">
        <f>VLOOKUP(B28,Tabela_preços[[DESCRIÇÃO]:[VALOR]],3,FALSE)</f>
        <v>18</v>
      </c>
      <c r="K28" s="127">
        <f t="shared" ref="K28" si="3">J28*H28</f>
        <v>3.6</v>
      </c>
    </row>
    <row r="29" spans="1:11" ht="15">
      <c r="A29" s="61"/>
      <c r="B29" s="103"/>
      <c r="C29" s="61"/>
      <c r="D29" s="61"/>
      <c r="F29" s="61"/>
      <c r="H29" s="91"/>
      <c r="I29" s="67"/>
      <c r="K29" s="61"/>
    </row>
    <row r="30" spans="1:11" ht="12.75">
      <c r="I30" s="76"/>
      <c r="J30" s="95" t="s">
        <v>288</v>
      </c>
      <c r="K30" s="94">
        <f>SUM(K6:K27)</f>
        <v>3231.7992000000004</v>
      </c>
    </row>
    <row r="31" spans="1:11" ht="12.75">
      <c r="I31" s="76"/>
    </row>
    <row r="32" spans="1:11" ht="12.75">
      <c r="I32" s="76"/>
    </row>
    <row r="33" spans="9:9" ht="12.75">
      <c r="I33" s="76"/>
    </row>
    <row r="34" spans="9:9" ht="12.75">
      <c r="I34" s="76"/>
    </row>
    <row r="35" spans="9:9" ht="12.75">
      <c r="I35" s="76"/>
    </row>
    <row r="36" spans="9:9" ht="12.75">
      <c r="I36" s="76"/>
    </row>
    <row r="37" spans="9:9" ht="12.75">
      <c r="I37" s="76"/>
    </row>
    <row r="38" spans="9:9" ht="12.75">
      <c r="I38" s="76"/>
    </row>
    <row r="39" spans="9:9" ht="12.75">
      <c r="I39" s="76"/>
    </row>
    <row r="40" spans="9:9" ht="12.75">
      <c r="I40" s="76"/>
    </row>
    <row r="41" spans="9:9" ht="12.75">
      <c r="I41" s="76"/>
    </row>
    <row r="42" spans="9:9" ht="12.75">
      <c r="I42" s="76"/>
    </row>
    <row r="43" spans="9:9" ht="12.75">
      <c r="I43" s="76"/>
    </row>
    <row r="44" spans="9:9" ht="12.75">
      <c r="I44" s="76"/>
    </row>
    <row r="45" spans="9:9" ht="12.75">
      <c r="I45" s="76"/>
    </row>
    <row r="46" spans="9:9" ht="12.75">
      <c r="I46" s="76"/>
    </row>
    <row r="47" spans="9:9" ht="12.75">
      <c r="I47" s="76"/>
    </row>
    <row r="48" spans="9:9" ht="12.75">
      <c r="I48" s="76"/>
    </row>
    <row r="49" spans="9:9" ht="12.75">
      <c r="I49" s="76"/>
    </row>
    <row r="50" spans="9:9" ht="12.75">
      <c r="I50" s="76"/>
    </row>
    <row r="51" spans="9:9" ht="12.75">
      <c r="I51" s="76"/>
    </row>
    <row r="52" spans="9:9" ht="12.75">
      <c r="I52" s="76"/>
    </row>
    <row r="53" spans="9:9" ht="12.75">
      <c r="I53" s="76"/>
    </row>
    <row r="54" spans="9:9" ht="12.75">
      <c r="I54" s="76"/>
    </row>
    <row r="55" spans="9:9" ht="12.75">
      <c r="I55" s="76"/>
    </row>
    <row r="56" spans="9:9" ht="12.75">
      <c r="I56" s="76"/>
    </row>
    <row r="57" spans="9:9" ht="12.75">
      <c r="I57" s="76"/>
    </row>
    <row r="58" spans="9:9" ht="12.75">
      <c r="I58" s="76"/>
    </row>
    <row r="59" spans="9:9" ht="12.75">
      <c r="I59" s="76"/>
    </row>
    <row r="60" spans="9:9" ht="12.75">
      <c r="I60" s="76"/>
    </row>
    <row r="61" spans="9:9" ht="12.75">
      <c r="I61" s="76"/>
    </row>
    <row r="62" spans="9:9" ht="12.75">
      <c r="I62" s="76"/>
    </row>
    <row r="63" spans="9:9" ht="12.75">
      <c r="I63" s="76"/>
    </row>
    <row r="64" spans="9:9" ht="12.75">
      <c r="I64" s="76"/>
    </row>
    <row r="65" spans="9:9" ht="12.75">
      <c r="I65" s="76"/>
    </row>
    <row r="66" spans="9:9" ht="12.75">
      <c r="I66" s="76"/>
    </row>
    <row r="67" spans="9:9" ht="12.75">
      <c r="I67" s="76"/>
    </row>
    <row r="68" spans="9:9" ht="12.75">
      <c r="I68" s="76"/>
    </row>
    <row r="69" spans="9:9" ht="12.75">
      <c r="I69" s="76"/>
    </row>
    <row r="70" spans="9:9" ht="12.75">
      <c r="I70" s="76"/>
    </row>
    <row r="71" spans="9:9" ht="12.75">
      <c r="I71" s="76"/>
    </row>
    <row r="72" spans="9:9" ht="12.75">
      <c r="I72" s="76"/>
    </row>
    <row r="73" spans="9:9" ht="12.75">
      <c r="I73" s="76"/>
    </row>
    <row r="74" spans="9:9" ht="12.75">
      <c r="I74" s="76"/>
    </row>
    <row r="75" spans="9:9" ht="12.75">
      <c r="I75" s="76"/>
    </row>
    <row r="76" spans="9:9" ht="12.75">
      <c r="I76" s="76"/>
    </row>
    <row r="77" spans="9:9" ht="12.75">
      <c r="I77" s="76"/>
    </row>
    <row r="78" spans="9:9" ht="12.75">
      <c r="I78" s="76"/>
    </row>
    <row r="79" spans="9:9" ht="12.75">
      <c r="I79" s="76"/>
    </row>
    <row r="80" spans="9:9" ht="12.75">
      <c r="I80" s="76"/>
    </row>
    <row r="81" spans="9:9" ht="12.75">
      <c r="I81" s="76"/>
    </row>
    <row r="82" spans="9:9" ht="12.75">
      <c r="I82" s="76"/>
    </row>
    <row r="83" spans="9:9" ht="12.75">
      <c r="I83" s="76"/>
    </row>
    <row r="84" spans="9:9" ht="12.75">
      <c r="I84" s="76"/>
    </row>
    <row r="85" spans="9:9" ht="12.75">
      <c r="I85" s="76"/>
    </row>
    <row r="86" spans="9:9" ht="12.75">
      <c r="I86" s="76"/>
    </row>
    <row r="87" spans="9:9" ht="12.75">
      <c r="I87" s="76"/>
    </row>
    <row r="88" spans="9:9" ht="12.75">
      <c r="I88" s="76"/>
    </row>
    <row r="89" spans="9:9" ht="12.75">
      <c r="I89" s="76"/>
    </row>
    <row r="90" spans="9:9" ht="12.75">
      <c r="I90" s="76"/>
    </row>
    <row r="91" spans="9:9" ht="12.75">
      <c r="I91" s="76"/>
    </row>
    <row r="92" spans="9:9" ht="12.75">
      <c r="I92" s="76"/>
    </row>
    <row r="93" spans="9:9" ht="12.75">
      <c r="I93" s="76"/>
    </row>
    <row r="94" spans="9:9" ht="12.75">
      <c r="I94" s="76"/>
    </row>
    <row r="95" spans="9:9" ht="12.75">
      <c r="I95" s="76"/>
    </row>
    <row r="96" spans="9:9" ht="12.75">
      <c r="I96" s="76"/>
    </row>
    <row r="97" spans="9:9" ht="12.75">
      <c r="I97" s="76"/>
    </row>
    <row r="98" spans="9:9" ht="12.75">
      <c r="I98" s="76"/>
    </row>
    <row r="99" spans="9:9" ht="12.75">
      <c r="I99" s="76"/>
    </row>
    <row r="100" spans="9:9" ht="12.75">
      <c r="I100" s="76"/>
    </row>
    <row r="101" spans="9:9" ht="12.75">
      <c r="I101" s="76"/>
    </row>
    <row r="102" spans="9:9" ht="12.75">
      <c r="I102" s="76"/>
    </row>
    <row r="103" spans="9:9" ht="12.75">
      <c r="I103" s="76"/>
    </row>
    <row r="104" spans="9:9" ht="12.75">
      <c r="I104" s="76"/>
    </row>
    <row r="105" spans="9:9" ht="12.75">
      <c r="I105" s="76"/>
    </row>
    <row r="106" spans="9:9" ht="12.75">
      <c r="I106" s="76"/>
    </row>
    <row r="107" spans="9:9" ht="12.75">
      <c r="I107" s="76"/>
    </row>
    <row r="108" spans="9:9" ht="12.75">
      <c r="I108" s="76"/>
    </row>
    <row r="109" spans="9:9" ht="12.75">
      <c r="I109" s="76"/>
    </row>
    <row r="110" spans="9:9" ht="12.75">
      <c r="I110" s="76"/>
    </row>
    <row r="111" spans="9:9" ht="12.75">
      <c r="I111" s="76"/>
    </row>
    <row r="112" spans="9:9" ht="12.75">
      <c r="I112" s="76"/>
    </row>
    <row r="113" spans="9:9" ht="12.75">
      <c r="I113" s="76"/>
    </row>
    <row r="114" spans="9:9" ht="12.75">
      <c r="I114" s="76"/>
    </row>
    <row r="115" spans="9:9" ht="12.75">
      <c r="I115" s="76"/>
    </row>
    <row r="116" spans="9:9" ht="12.75">
      <c r="I116" s="76"/>
    </row>
    <row r="117" spans="9:9" ht="12.75">
      <c r="I117" s="76"/>
    </row>
    <row r="118" spans="9:9" ht="12.75">
      <c r="I118" s="76"/>
    </row>
    <row r="119" spans="9:9" ht="12.75">
      <c r="I119" s="76"/>
    </row>
    <row r="120" spans="9:9" ht="12.75">
      <c r="I120" s="76"/>
    </row>
    <row r="121" spans="9:9" ht="12.75">
      <c r="I121" s="76"/>
    </row>
    <row r="122" spans="9:9" ht="12.75">
      <c r="I122" s="76"/>
    </row>
    <row r="123" spans="9:9" ht="12.75">
      <c r="I123" s="76"/>
    </row>
    <row r="124" spans="9:9" ht="12.75">
      <c r="I124" s="76"/>
    </row>
    <row r="125" spans="9:9" ht="12.75">
      <c r="I125" s="76"/>
    </row>
    <row r="126" spans="9:9" ht="12.75">
      <c r="I126" s="76"/>
    </row>
    <row r="127" spans="9:9" ht="12.75">
      <c r="I127" s="76"/>
    </row>
    <row r="128" spans="9:9" ht="12.75">
      <c r="I128" s="76"/>
    </row>
    <row r="129" spans="9:9" ht="12.75">
      <c r="I129" s="76"/>
    </row>
    <row r="130" spans="9:9" ht="12.75">
      <c r="I130" s="76"/>
    </row>
    <row r="131" spans="9:9" ht="12.75">
      <c r="I131" s="76"/>
    </row>
    <row r="132" spans="9:9" ht="12.75">
      <c r="I132" s="76"/>
    </row>
    <row r="133" spans="9:9" ht="12.75">
      <c r="I133" s="76"/>
    </row>
    <row r="134" spans="9:9" ht="12.75">
      <c r="I134" s="76"/>
    </row>
    <row r="135" spans="9:9" ht="12.75">
      <c r="I135" s="76"/>
    </row>
    <row r="136" spans="9:9" ht="12.75">
      <c r="I136" s="76"/>
    </row>
    <row r="137" spans="9:9" ht="12.75">
      <c r="I137" s="76"/>
    </row>
    <row r="138" spans="9:9" ht="12.75">
      <c r="I138" s="76"/>
    </row>
    <row r="139" spans="9:9" ht="12.75">
      <c r="I139" s="76"/>
    </row>
    <row r="140" spans="9:9" ht="12.75">
      <c r="I140" s="76"/>
    </row>
    <row r="141" spans="9:9" ht="12.75">
      <c r="I141" s="76"/>
    </row>
    <row r="142" spans="9:9" ht="12.75">
      <c r="I142" s="76"/>
    </row>
    <row r="143" spans="9:9" ht="12.75">
      <c r="I143" s="76"/>
    </row>
    <row r="144" spans="9:9" ht="12.75">
      <c r="I144" s="76"/>
    </row>
    <row r="145" spans="9:9" ht="12.75">
      <c r="I145" s="76"/>
    </row>
    <row r="146" spans="9:9" ht="12.75">
      <c r="I146" s="76"/>
    </row>
    <row r="147" spans="9:9" ht="12.75">
      <c r="I147" s="76"/>
    </row>
    <row r="148" spans="9:9" ht="12.75">
      <c r="I148" s="76"/>
    </row>
    <row r="149" spans="9:9" ht="12.75">
      <c r="I149" s="76"/>
    </row>
    <row r="150" spans="9:9" ht="12.75">
      <c r="I150" s="76"/>
    </row>
    <row r="151" spans="9:9" ht="12.75">
      <c r="I151" s="76"/>
    </row>
    <row r="152" spans="9:9" ht="12.75">
      <c r="I152" s="76"/>
    </row>
    <row r="153" spans="9:9" ht="12.75">
      <c r="I153" s="76"/>
    </row>
    <row r="154" spans="9:9" ht="12.75">
      <c r="I154" s="76"/>
    </row>
    <row r="155" spans="9:9" ht="12.75">
      <c r="I155" s="76"/>
    </row>
    <row r="156" spans="9:9" ht="12.75">
      <c r="I156" s="76"/>
    </row>
    <row r="157" spans="9:9" ht="12.75">
      <c r="I157" s="76"/>
    </row>
    <row r="158" spans="9:9" ht="12.75">
      <c r="I158" s="76"/>
    </row>
    <row r="159" spans="9:9" ht="12.75">
      <c r="I159" s="76"/>
    </row>
    <row r="160" spans="9:9" ht="12.75">
      <c r="I160" s="76"/>
    </row>
    <row r="161" spans="9:9" ht="12.75">
      <c r="I161" s="76"/>
    </row>
    <row r="162" spans="9:9" ht="12.75">
      <c r="I162" s="76"/>
    </row>
    <row r="163" spans="9:9" ht="12.75">
      <c r="I163" s="76"/>
    </row>
    <row r="164" spans="9:9" ht="12.75">
      <c r="I164" s="76"/>
    </row>
    <row r="165" spans="9:9" ht="12.75">
      <c r="I165" s="76"/>
    </row>
    <row r="166" spans="9:9" ht="12.75">
      <c r="I166" s="76"/>
    </row>
    <row r="167" spans="9:9" ht="12.75">
      <c r="I167" s="76"/>
    </row>
    <row r="168" spans="9:9" ht="12.75">
      <c r="I168" s="76"/>
    </row>
    <row r="169" spans="9:9" ht="12.75">
      <c r="I169" s="76"/>
    </row>
    <row r="170" spans="9:9" ht="12.75">
      <c r="I170" s="76"/>
    </row>
    <row r="171" spans="9:9" ht="12.75">
      <c r="I171" s="76"/>
    </row>
    <row r="172" spans="9:9" ht="12.75">
      <c r="I172" s="76"/>
    </row>
    <row r="173" spans="9:9" ht="12.75">
      <c r="I173" s="76"/>
    </row>
    <row r="174" spans="9:9" ht="12.75">
      <c r="I174" s="76"/>
    </row>
    <row r="175" spans="9:9" ht="12.75">
      <c r="I175" s="76"/>
    </row>
    <row r="176" spans="9:9" ht="12.75">
      <c r="I176" s="76"/>
    </row>
    <row r="177" spans="9:9" ht="12.75">
      <c r="I177" s="76"/>
    </row>
    <row r="178" spans="9:9" ht="12.75">
      <c r="I178" s="76"/>
    </row>
    <row r="179" spans="9:9" ht="12.75">
      <c r="I179" s="76"/>
    </row>
    <row r="180" spans="9:9" ht="12.75">
      <c r="I180" s="76"/>
    </row>
    <row r="181" spans="9:9" ht="12.75">
      <c r="I181" s="76"/>
    </row>
    <row r="182" spans="9:9" ht="12.75">
      <c r="I182" s="76"/>
    </row>
    <row r="183" spans="9:9" ht="12.75">
      <c r="I183" s="76"/>
    </row>
    <row r="184" spans="9:9" ht="12.75">
      <c r="I184" s="76"/>
    </row>
    <row r="185" spans="9:9" ht="12.75">
      <c r="I185" s="76"/>
    </row>
    <row r="186" spans="9:9" ht="12.75">
      <c r="I186" s="76"/>
    </row>
    <row r="187" spans="9:9" ht="12.75">
      <c r="I187" s="76"/>
    </row>
    <row r="188" spans="9:9" ht="12.75">
      <c r="I188" s="76"/>
    </row>
    <row r="189" spans="9:9" ht="12.75">
      <c r="I189" s="76"/>
    </row>
    <row r="190" spans="9:9" ht="12.75">
      <c r="I190" s="76"/>
    </row>
    <row r="191" spans="9:9" ht="12.75">
      <c r="I191" s="76"/>
    </row>
    <row r="192" spans="9:9" ht="12.75">
      <c r="I192" s="76"/>
    </row>
    <row r="193" spans="9:9" ht="12.75">
      <c r="I193" s="76"/>
    </row>
    <row r="194" spans="9:9" ht="12.75">
      <c r="I194" s="76"/>
    </row>
    <row r="195" spans="9:9" ht="12.75">
      <c r="I195" s="76"/>
    </row>
    <row r="196" spans="9:9" ht="12.75">
      <c r="I196" s="76"/>
    </row>
    <row r="197" spans="9:9" ht="12.75">
      <c r="I197" s="76"/>
    </row>
    <row r="198" spans="9:9" ht="12.75">
      <c r="I198" s="76"/>
    </row>
    <row r="199" spans="9:9" ht="12.75">
      <c r="I199" s="76"/>
    </row>
    <row r="200" spans="9:9" ht="12.75">
      <c r="I200" s="76"/>
    </row>
    <row r="201" spans="9:9" ht="12.75">
      <c r="I201" s="76"/>
    </row>
    <row r="202" spans="9:9" ht="12.75">
      <c r="I202" s="76"/>
    </row>
    <row r="203" spans="9:9" ht="12.75">
      <c r="I203" s="76"/>
    </row>
    <row r="204" spans="9:9" ht="12.75">
      <c r="I204" s="76"/>
    </row>
    <row r="205" spans="9:9" ht="12.75">
      <c r="I205" s="76"/>
    </row>
    <row r="206" spans="9:9" ht="12.75">
      <c r="I206" s="76"/>
    </row>
    <row r="207" spans="9:9" ht="12.75">
      <c r="I207" s="76"/>
    </row>
    <row r="208" spans="9:9" ht="12.75">
      <c r="I208" s="76"/>
    </row>
    <row r="209" spans="9:9" ht="12.75">
      <c r="I209" s="76"/>
    </row>
    <row r="210" spans="9:9" ht="12.75">
      <c r="I210" s="76"/>
    </row>
    <row r="211" spans="9:9" ht="12.75">
      <c r="I211" s="76"/>
    </row>
    <row r="212" spans="9:9" ht="12.75">
      <c r="I212" s="76"/>
    </row>
    <row r="213" spans="9:9" ht="12.75">
      <c r="I213" s="76"/>
    </row>
    <row r="214" spans="9:9" ht="12.75">
      <c r="I214" s="76"/>
    </row>
    <row r="215" spans="9:9" ht="12.75">
      <c r="I215" s="76"/>
    </row>
    <row r="216" spans="9:9" ht="12.75">
      <c r="I216" s="76"/>
    </row>
    <row r="217" spans="9:9" ht="12.75">
      <c r="I217" s="76"/>
    </row>
    <row r="218" spans="9:9" ht="12.75">
      <c r="I218" s="76"/>
    </row>
    <row r="219" spans="9:9" ht="12.75">
      <c r="I219" s="76"/>
    </row>
    <row r="220" spans="9:9" ht="12.75">
      <c r="I220" s="76"/>
    </row>
    <row r="221" spans="9:9" ht="12.75">
      <c r="I221" s="76"/>
    </row>
    <row r="222" spans="9:9" ht="12.75">
      <c r="I222" s="76"/>
    </row>
    <row r="223" spans="9:9" ht="12.75">
      <c r="I223" s="76"/>
    </row>
    <row r="224" spans="9:9" ht="12.75">
      <c r="I224" s="76"/>
    </row>
    <row r="225" spans="9:9" ht="12.75">
      <c r="I225" s="76"/>
    </row>
    <row r="226" spans="9:9" ht="12.75">
      <c r="I226" s="76"/>
    </row>
    <row r="227" spans="9:9" ht="12.75">
      <c r="I227" s="76"/>
    </row>
    <row r="228" spans="9:9" ht="12.75">
      <c r="I228" s="76"/>
    </row>
    <row r="229" spans="9:9" ht="12.75">
      <c r="I229" s="76"/>
    </row>
    <row r="230" spans="9:9" ht="12.75">
      <c r="I230" s="76"/>
    </row>
    <row r="231" spans="9:9" ht="12.75">
      <c r="I231" s="76"/>
    </row>
    <row r="232" spans="9:9" ht="12.75">
      <c r="I232" s="76"/>
    </row>
    <row r="233" spans="9:9" ht="12.75">
      <c r="I233" s="76"/>
    </row>
    <row r="234" spans="9:9" ht="12.75">
      <c r="I234" s="76"/>
    </row>
    <row r="235" spans="9:9" ht="12.75">
      <c r="I235" s="76"/>
    </row>
    <row r="236" spans="9:9" ht="12.75">
      <c r="I236" s="76"/>
    </row>
    <row r="237" spans="9:9" ht="12.75">
      <c r="I237" s="76"/>
    </row>
    <row r="238" spans="9:9" ht="12.75">
      <c r="I238" s="76"/>
    </row>
    <row r="239" spans="9:9" ht="12.75">
      <c r="I239" s="76"/>
    </row>
    <row r="240" spans="9:9" ht="12.75">
      <c r="I240" s="76"/>
    </row>
    <row r="241" spans="9:9" ht="12.75">
      <c r="I241" s="76"/>
    </row>
    <row r="242" spans="9:9" ht="12.75">
      <c r="I242" s="76"/>
    </row>
    <row r="243" spans="9:9" ht="12.75">
      <c r="I243" s="76"/>
    </row>
    <row r="244" spans="9:9" ht="12.75">
      <c r="I244" s="76"/>
    </row>
    <row r="245" spans="9:9" ht="12.75">
      <c r="I245" s="76"/>
    </row>
    <row r="246" spans="9:9" ht="12.75">
      <c r="I246" s="76"/>
    </row>
    <row r="247" spans="9:9" ht="12.75">
      <c r="I247" s="76"/>
    </row>
    <row r="248" spans="9:9" ht="12.75">
      <c r="I248" s="76"/>
    </row>
    <row r="249" spans="9:9" ht="12.75">
      <c r="I249" s="76"/>
    </row>
    <row r="250" spans="9:9" ht="12.75">
      <c r="I250" s="76"/>
    </row>
    <row r="251" spans="9:9" ht="12.75">
      <c r="I251" s="76"/>
    </row>
    <row r="252" spans="9:9" ht="12.75">
      <c r="I252" s="76"/>
    </row>
    <row r="253" spans="9:9" ht="12.75">
      <c r="I253" s="76"/>
    </row>
    <row r="254" spans="9:9" ht="12.75">
      <c r="I254" s="76"/>
    </row>
    <row r="255" spans="9:9" ht="12.75">
      <c r="I255" s="76"/>
    </row>
    <row r="256" spans="9:9" ht="12.75">
      <c r="I256" s="76"/>
    </row>
    <row r="257" spans="9:9" ht="12.75">
      <c r="I257" s="76"/>
    </row>
    <row r="258" spans="9:9" ht="12.75">
      <c r="I258" s="76"/>
    </row>
    <row r="259" spans="9:9" ht="12.75">
      <c r="I259" s="76"/>
    </row>
    <row r="260" spans="9:9" ht="12.75">
      <c r="I260" s="76"/>
    </row>
    <row r="261" spans="9:9" ht="12.75">
      <c r="I261" s="76"/>
    </row>
    <row r="262" spans="9:9" ht="12.75">
      <c r="I262" s="76"/>
    </row>
    <row r="263" spans="9:9" ht="12.75">
      <c r="I263" s="76"/>
    </row>
    <row r="264" spans="9:9" ht="12.75">
      <c r="I264" s="76"/>
    </row>
    <row r="265" spans="9:9" ht="12.75">
      <c r="I265" s="76"/>
    </row>
    <row r="266" spans="9:9" ht="12.75">
      <c r="I266" s="76"/>
    </row>
    <row r="267" spans="9:9" ht="12.75">
      <c r="I267" s="76"/>
    </row>
    <row r="268" spans="9:9" ht="12.75">
      <c r="I268" s="76"/>
    </row>
    <row r="269" spans="9:9" ht="12.75">
      <c r="I269" s="76"/>
    </row>
    <row r="270" spans="9:9" ht="12.75">
      <c r="I270" s="76"/>
    </row>
    <row r="271" spans="9:9" ht="12.75">
      <c r="I271" s="76"/>
    </row>
    <row r="272" spans="9:9" ht="12.75">
      <c r="I272" s="76"/>
    </row>
    <row r="273" spans="9:9" ht="12.75">
      <c r="I273" s="76"/>
    </row>
    <row r="274" spans="9:9" ht="12.75">
      <c r="I274" s="76"/>
    </row>
    <row r="275" spans="9:9" ht="12.75">
      <c r="I275" s="76"/>
    </row>
    <row r="276" spans="9:9" ht="12.75">
      <c r="I276" s="76"/>
    </row>
    <row r="277" spans="9:9" ht="12.75">
      <c r="I277" s="76"/>
    </row>
    <row r="278" spans="9:9" ht="12.75">
      <c r="I278" s="76"/>
    </row>
    <row r="279" spans="9:9" ht="12.75">
      <c r="I279" s="76"/>
    </row>
    <row r="280" spans="9:9" ht="12.75">
      <c r="I280" s="76"/>
    </row>
    <row r="281" spans="9:9" ht="12.75">
      <c r="I281" s="76"/>
    </row>
    <row r="282" spans="9:9" ht="12.75">
      <c r="I282" s="76"/>
    </row>
    <row r="283" spans="9:9" ht="12.75">
      <c r="I283" s="76"/>
    </row>
    <row r="284" spans="9:9" ht="12.75">
      <c r="I284" s="76"/>
    </row>
    <row r="285" spans="9:9" ht="12.75">
      <c r="I285" s="76"/>
    </row>
    <row r="286" spans="9:9" ht="12.75">
      <c r="I286" s="76"/>
    </row>
    <row r="287" spans="9:9" ht="12.75">
      <c r="I287" s="76"/>
    </row>
    <row r="288" spans="9:9" ht="12.75">
      <c r="I288" s="76"/>
    </row>
    <row r="289" spans="9:9" ht="12.75">
      <c r="I289" s="76"/>
    </row>
    <row r="290" spans="9:9" ht="12.75">
      <c r="I290" s="76"/>
    </row>
    <row r="291" spans="9:9" ht="12.75">
      <c r="I291" s="76"/>
    </row>
    <row r="292" spans="9:9" ht="12.75">
      <c r="I292" s="76"/>
    </row>
    <row r="293" spans="9:9" ht="12.75">
      <c r="I293" s="76"/>
    </row>
    <row r="294" spans="9:9" ht="12.75">
      <c r="I294" s="76"/>
    </row>
    <row r="295" spans="9:9" ht="12.75">
      <c r="I295" s="76"/>
    </row>
    <row r="296" spans="9:9" ht="12.75">
      <c r="I296" s="76"/>
    </row>
    <row r="297" spans="9:9" ht="12.75">
      <c r="I297" s="76"/>
    </row>
    <row r="298" spans="9:9" ht="12.75">
      <c r="I298" s="76"/>
    </row>
    <row r="299" spans="9:9" ht="12.75">
      <c r="I299" s="76"/>
    </row>
    <row r="300" spans="9:9" ht="12.75">
      <c r="I300" s="76"/>
    </row>
    <row r="301" spans="9:9" ht="12.75">
      <c r="I301" s="76"/>
    </row>
    <row r="302" spans="9:9" ht="12.75">
      <c r="I302" s="76"/>
    </row>
    <row r="303" spans="9:9" ht="12.75">
      <c r="I303" s="76"/>
    </row>
    <row r="304" spans="9:9" ht="12.75">
      <c r="I304" s="76"/>
    </row>
    <row r="305" spans="9:9" ht="12.75">
      <c r="I305" s="76"/>
    </row>
    <row r="306" spans="9:9" ht="12.75">
      <c r="I306" s="76"/>
    </row>
    <row r="307" spans="9:9" ht="12.75">
      <c r="I307" s="76"/>
    </row>
    <row r="308" spans="9:9" ht="12.75">
      <c r="I308" s="76"/>
    </row>
    <row r="309" spans="9:9" ht="12.75">
      <c r="I309" s="76"/>
    </row>
    <row r="310" spans="9:9" ht="12.75">
      <c r="I310" s="76"/>
    </row>
    <row r="311" spans="9:9" ht="12.75">
      <c r="I311" s="76"/>
    </row>
    <row r="312" spans="9:9" ht="12.75">
      <c r="I312" s="76"/>
    </row>
    <row r="313" spans="9:9" ht="12.75">
      <c r="I313" s="76"/>
    </row>
    <row r="314" spans="9:9" ht="12.75">
      <c r="I314" s="76"/>
    </row>
    <row r="315" spans="9:9" ht="12.75">
      <c r="I315" s="76"/>
    </row>
    <row r="316" spans="9:9" ht="12.75">
      <c r="I316" s="76"/>
    </row>
    <row r="317" spans="9:9" ht="12.75">
      <c r="I317" s="76"/>
    </row>
    <row r="318" spans="9:9" ht="12.75">
      <c r="I318" s="76"/>
    </row>
    <row r="319" spans="9:9" ht="12.75">
      <c r="I319" s="76"/>
    </row>
    <row r="320" spans="9:9" ht="12.75">
      <c r="I320" s="76"/>
    </row>
    <row r="321" spans="9:9" ht="12.75">
      <c r="I321" s="76"/>
    </row>
    <row r="322" spans="9:9" ht="12.75">
      <c r="I322" s="76"/>
    </row>
    <row r="323" spans="9:9" ht="12.75">
      <c r="I323" s="76"/>
    </row>
    <row r="324" spans="9:9" ht="12.75">
      <c r="I324" s="76"/>
    </row>
    <row r="325" spans="9:9" ht="12.75">
      <c r="I325" s="76"/>
    </row>
    <row r="326" spans="9:9" ht="12.75">
      <c r="I326" s="76"/>
    </row>
    <row r="327" spans="9:9" ht="12.75">
      <c r="I327" s="76"/>
    </row>
    <row r="328" spans="9:9" ht="12.75">
      <c r="I328" s="76"/>
    </row>
    <row r="329" spans="9:9" ht="12.75">
      <c r="I329" s="76"/>
    </row>
    <row r="330" spans="9:9" ht="12.75">
      <c r="I330" s="76"/>
    </row>
    <row r="331" spans="9:9" ht="12.75">
      <c r="I331" s="76"/>
    </row>
    <row r="332" spans="9:9" ht="12.75">
      <c r="I332" s="76"/>
    </row>
    <row r="333" spans="9:9" ht="12.75">
      <c r="I333" s="76"/>
    </row>
    <row r="334" spans="9:9" ht="12.75">
      <c r="I334" s="76"/>
    </row>
    <row r="335" spans="9:9" ht="12.75">
      <c r="I335" s="76"/>
    </row>
    <row r="336" spans="9:9" ht="12.75">
      <c r="I336" s="76"/>
    </row>
    <row r="337" spans="9:9" ht="12.75">
      <c r="I337" s="76"/>
    </row>
    <row r="338" spans="9:9" ht="12.75">
      <c r="I338" s="76"/>
    </row>
    <row r="339" spans="9:9" ht="12.75">
      <c r="I339" s="76"/>
    </row>
    <row r="340" spans="9:9" ht="12.75">
      <c r="I340" s="76"/>
    </row>
    <row r="341" spans="9:9" ht="12.75">
      <c r="I341" s="76"/>
    </row>
    <row r="342" spans="9:9" ht="12.75">
      <c r="I342" s="76"/>
    </row>
    <row r="343" spans="9:9" ht="12.75">
      <c r="I343" s="76"/>
    </row>
    <row r="344" spans="9:9" ht="12.75">
      <c r="I344" s="76"/>
    </row>
    <row r="345" spans="9:9" ht="12.75">
      <c r="I345" s="76"/>
    </row>
    <row r="346" spans="9:9" ht="12.75">
      <c r="I346" s="76"/>
    </row>
    <row r="347" spans="9:9" ht="12.75">
      <c r="I347" s="76"/>
    </row>
    <row r="348" spans="9:9" ht="12.75">
      <c r="I348" s="76"/>
    </row>
    <row r="349" spans="9:9" ht="12.75">
      <c r="I349" s="76"/>
    </row>
    <row r="350" spans="9:9" ht="12.75">
      <c r="I350" s="76"/>
    </row>
    <row r="351" spans="9:9" ht="12.75">
      <c r="I351" s="76"/>
    </row>
    <row r="352" spans="9:9" ht="12.75">
      <c r="I352" s="76"/>
    </row>
    <row r="353" spans="9:9" ht="12.75">
      <c r="I353" s="76"/>
    </row>
    <row r="354" spans="9:9" ht="12.75">
      <c r="I354" s="76"/>
    </row>
    <row r="355" spans="9:9" ht="12.75">
      <c r="I355" s="76"/>
    </row>
    <row r="356" spans="9:9" ht="12.75">
      <c r="I356" s="76"/>
    </row>
    <row r="357" spans="9:9" ht="12.75">
      <c r="I357" s="76"/>
    </row>
    <row r="358" spans="9:9" ht="12.75">
      <c r="I358" s="76"/>
    </row>
    <row r="359" spans="9:9" ht="12.75">
      <c r="I359" s="76"/>
    </row>
    <row r="360" spans="9:9" ht="12.75">
      <c r="I360" s="76"/>
    </row>
    <row r="361" spans="9:9" ht="12.75">
      <c r="I361" s="76"/>
    </row>
    <row r="362" spans="9:9" ht="12.75">
      <c r="I362" s="76"/>
    </row>
    <row r="363" spans="9:9" ht="12.75">
      <c r="I363" s="76"/>
    </row>
    <row r="364" spans="9:9" ht="12.75">
      <c r="I364" s="76"/>
    </row>
    <row r="365" spans="9:9" ht="12.75">
      <c r="I365" s="76"/>
    </row>
    <row r="366" spans="9:9" ht="12.75">
      <c r="I366" s="76"/>
    </row>
    <row r="367" spans="9:9" ht="12.75">
      <c r="I367" s="76"/>
    </row>
    <row r="368" spans="9:9" ht="12.75">
      <c r="I368" s="76"/>
    </row>
    <row r="369" spans="9:9" ht="12.75">
      <c r="I369" s="76"/>
    </row>
    <row r="370" spans="9:9" ht="12.75">
      <c r="I370" s="76"/>
    </row>
    <row r="371" spans="9:9" ht="12.75">
      <c r="I371" s="76"/>
    </row>
    <row r="372" spans="9:9" ht="12.75">
      <c r="I372" s="76"/>
    </row>
    <row r="373" spans="9:9" ht="12.75">
      <c r="I373" s="76"/>
    </row>
    <row r="374" spans="9:9" ht="12.75">
      <c r="I374" s="76"/>
    </row>
    <row r="375" spans="9:9" ht="12.75">
      <c r="I375" s="76"/>
    </row>
    <row r="376" spans="9:9" ht="12.75">
      <c r="I376" s="76"/>
    </row>
    <row r="377" spans="9:9" ht="12.75">
      <c r="I377" s="76"/>
    </row>
    <row r="378" spans="9:9" ht="12.75">
      <c r="I378" s="76"/>
    </row>
    <row r="379" spans="9:9" ht="12.75">
      <c r="I379" s="76"/>
    </row>
    <row r="380" spans="9:9" ht="12.75">
      <c r="I380" s="76"/>
    </row>
    <row r="381" spans="9:9" ht="12.75">
      <c r="I381" s="76"/>
    </row>
    <row r="382" spans="9:9" ht="12.75">
      <c r="I382" s="76"/>
    </row>
    <row r="383" spans="9:9" ht="12.75">
      <c r="I383" s="76"/>
    </row>
    <row r="384" spans="9:9" ht="12.75">
      <c r="I384" s="76"/>
    </row>
    <row r="385" spans="9:9" ht="12.75">
      <c r="I385" s="76"/>
    </row>
    <row r="386" spans="9:9" ht="12.75">
      <c r="I386" s="76"/>
    </row>
    <row r="387" spans="9:9" ht="12.75">
      <c r="I387" s="76"/>
    </row>
    <row r="388" spans="9:9" ht="12.75">
      <c r="I388" s="76"/>
    </row>
    <row r="389" spans="9:9" ht="12.75">
      <c r="I389" s="76"/>
    </row>
    <row r="390" spans="9:9" ht="12.75">
      <c r="I390" s="76"/>
    </row>
    <row r="391" spans="9:9" ht="12.75">
      <c r="I391" s="76"/>
    </row>
    <row r="392" spans="9:9" ht="12.75">
      <c r="I392" s="76"/>
    </row>
    <row r="393" spans="9:9" ht="12.75">
      <c r="I393" s="76"/>
    </row>
    <row r="394" spans="9:9" ht="12.75">
      <c r="I394" s="76"/>
    </row>
    <row r="395" spans="9:9" ht="12.75">
      <c r="I395" s="76"/>
    </row>
    <row r="396" spans="9:9" ht="12.75">
      <c r="I396" s="76"/>
    </row>
    <row r="397" spans="9:9" ht="12.75">
      <c r="I397" s="76"/>
    </row>
    <row r="398" spans="9:9" ht="12.75">
      <c r="I398" s="76"/>
    </row>
    <row r="399" spans="9:9" ht="12.75">
      <c r="I399" s="76"/>
    </row>
    <row r="400" spans="9:9" ht="12.75">
      <c r="I400" s="76"/>
    </row>
    <row r="401" spans="9:9" ht="12.75">
      <c r="I401" s="76"/>
    </row>
    <row r="402" spans="9:9" ht="12.75">
      <c r="I402" s="76"/>
    </row>
    <row r="403" spans="9:9" ht="12.75">
      <c r="I403" s="76"/>
    </row>
    <row r="404" spans="9:9" ht="12.75">
      <c r="I404" s="76"/>
    </row>
    <row r="405" spans="9:9" ht="12.75">
      <c r="I405" s="76"/>
    </row>
    <row r="406" spans="9:9" ht="12.75">
      <c r="I406" s="76"/>
    </row>
    <row r="407" spans="9:9" ht="12.75">
      <c r="I407" s="76"/>
    </row>
    <row r="408" spans="9:9" ht="12.75">
      <c r="I408" s="76"/>
    </row>
    <row r="409" spans="9:9" ht="12.75">
      <c r="I409" s="76"/>
    </row>
    <row r="410" spans="9:9" ht="12.75">
      <c r="I410" s="76"/>
    </row>
    <row r="411" spans="9:9" ht="12.75">
      <c r="I411" s="76"/>
    </row>
    <row r="412" spans="9:9" ht="12.75">
      <c r="I412" s="76"/>
    </row>
    <row r="413" spans="9:9" ht="12.75">
      <c r="I413" s="76"/>
    </row>
    <row r="414" spans="9:9" ht="12.75">
      <c r="I414" s="76"/>
    </row>
    <row r="415" spans="9:9" ht="12.75">
      <c r="I415" s="76"/>
    </row>
    <row r="416" spans="9:9" ht="12.75">
      <c r="I416" s="76"/>
    </row>
    <row r="417" spans="9:9" ht="12.75">
      <c r="I417" s="76"/>
    </row>
    <row r="418" spans="9:9" ht="12.75">
      <c r="I418" s="76"/>
    </row>
    <row r="419" spans="9:9" ht="12.75">
      <c r="I419" s="76"/>
    </row>
    <row r="420" spans="9:9" ht="12.75">
      <c r="I420" s="76"/>
    </row>
    <row r="421" spans="9:9" ht="12.75">
      <c r="I421" s="76"/>
    </row>
    <row r="422" spans="9:9" ht="12.75">
      <c r="I422" s="76"/>
    </row>
    <row r="423" spans="9:9" ht="12.75">
      <c r="I423" s="76"/>
    </row>
    <row r="424" spans="9:9" ht="12.75">
      <c r="I424" s="76"/>
    </row>
    <row r="425" spans="9:9" ht="12.75">
      <c r="I425" s="76"/>
    </row>
    <row r="426" spans="9:9" ht="12.75">
      <c r="I426" s="76"/>
    </row>
    <row r="427" spans="9:9" ht="12.75">
      <c r="I427" s="76"/>
    </row>
    <row r="428" spans="9:9" ht="12.75">
      <c r="I428" s="76"/>
    </row>
    <row r="429" spans="9:9" ht="12.75">
      <c r="I429" s="76"/>
    </row>
    <row r="430" spans="9:9" ht="12.75">
      <c r="I430" s="76"/>
    </row>
    <row r="431" spans="9:9" ht="12.75">
      <c r="I431" s="76"/>
    </row>
    <row r="432" spans="9:9" ht="12.75">
      <c r="I432" s="76"/>
    </row>
    <row r="433" spans="9:9" ht="12.75">
      <c r="I433" s="76"/>
    </row>
    <row r="434" spans="9:9" ht="12.75">
      <c r="I434" s="76"/>
    </row>
    <row r="435" spans="9:9" ht="12.75">
      <c r="I435" s="76"/>
    </row>
    <row r="436" spans="9:9" ht="12.75">
      <c r="I436" s="76"/>
    </row>
    <row r="437" spans="9:9" ht="12.75">
      <c r="I437" s="76"/>
    </row>
    <row r="438" spans="9:9" ht="12.75">
      <c r="I438" s="76"/>
    </row>
    <row r="439" spans="9:9" ht="12.75">
      <c r="I439" s="76"/>
    </row>
    <row r="440" spans="9:9" ht="12.75">
      <c r="I440" s="76"/>
    </row>
    <row r="441" spans="9:9" ht="12.75">
      <c r="I441" s="76"/>
    </row>
    <row r="442" spans="9:9" ht="12.75">
      <c r="I442" s="76"/>
    </row>
    <row r="443" spans="9:9" ht="12.75">
      <c r="I443" s="76"/>
    </row>
    <row r="444" spans="9:9" ht="12.75">
      <c r="I444" s="76"/>
    </row>
    <row r="445" spans="9:9" ht="12.75">
      <c r="I445" s="76"/>
    </row>
    <row r="446" spans="9:9" ht="12.75">
      <c r="I446" s="76"/>
    </row>
    <row r="447" spans="9:9" ht="12.75">
      <c r="I447" s="76"/>
    </row>
    <row r="448" spans="9:9" ht="12.75">
      <c r="I448" s="76"/>
    </row>
    <row r="449" spans="9:9" ht="12.75">
      <c r="I449" s="76"/>
    </row>
    <row r="450" spans="9:9" ht="12.75">
      <c r="I450" s="76"/>
    </row>
    <row r="451" spans="9:9" ht="12.75">
      <c r="I451" s="76"/>
    </row>
    <row r="452" spans="9:9" ht="12.75">
      <c r="I452" s="76"/>
    </row>
    <row r="453" spans="9:9" ht="12.75">
      <c r="I453" s="76"/>
    </row>
    <row r="454" spans="9:9" ht="12.75">
      <c r="I454" s="76"/>
    </row>
    <row r="455" spans="9:9" ht="12.75">
      <c r="I455" s="76"/>
    </row>
    <row r="456" spans="9:9" ht="12.75">
      <c r="I456" s="76"/>
    </row>
    <row r="457" spans="9:9" ht="12.75">
      <c r="I457" s="76"/>
    </row>
    <row r="458" spans="9:9" ht="12.75">
      <c r="I458" s="76"/>
    </row>
    <row r="459" spans="9:9" ht="12.75">
      <c r="I459" s="76"/>
    </row>
    <row r="460" spans="9:9" ht="12.75">
      <c r="I460" s="76"/>
    </row>
    <row r="461" spans="9:9" ht="12.75">
      <c r="I461" s="76"/>
    </row>
    <row r="462" spans="9:9" ht="12.75">
      <c r="I462" s="76"/>
    </row>
    <row r="463" spans="9:9" ht="12.75">
      <c r="I463" s="76"/>
    </row>
    <row r="464" spans="9:9" ht="12.75">
      <c r="I464" s="76"/>
    </row>
    <row r="465" spans="9:9" ht="12.75">
      <c r="I465" s="76"/>
    </row>
    <row r="466" spans="9:9" ht="12.75">
      <c r="I466" s="76"/>
    </row>
    <row r="467" spans="9:9" ht="12.75">
      <c r="I467" s="76"/>
    </row>
    <row r="468" spans="9:9" ht="12.75">
      <c r="I468" s="76"/>
    </row>
    <row r="469" spans="9:9" ht="12.75">
      <c r="I469" s="76"/>
    </row>
    <row r="470" spans="9:9" ht="12.75">
      <c r="I470" s="76"/>
    </row>
    <row r="471" spans="9:9" ht="12.75">
      <c r="I471" s="76"/>
    </row>
    <row r="472" spans="9:9" ht="12.75">
      <c r="I472" s="76"/>
    </row>
    <row r="473" spans="9:9" ht="12.75">
      <c r="I473" s="76"/>
    </row>
    <row r="474" spans="9:9" ht="12.75">
      <c r="I474" s="76"/>
    </row>
    <row r="475" spans="9:9" ht="12.75">
      <c r="I475" s="76"/>
    </row>
    <row r="476" spans="9:9" ht="12.75">
      <c r="I476" s="76"/>
    </row>
    <row r="477" spans="9:9" ht="12.75">
      <c r="I477" s="76"/>
    </row>
    <row r="478" spans="9:9" ht="12.75">
      <c r="I478" s="76"/>
    </row>
    <row r="479" spans="9:9" ht="12.75">
      <c r="I479" s="76"/>
    </row>
    <row r="480" spans="9:9" ht="12.75">
      <c r="I480" s="76"/>
    </row>
    <row r="481" spans="9:9" ht="12.75">
      <c r="I481" s="76"/>
    </row>
    <row r="482" spans="9:9" ht="12.75">
      <c r="I482" s="76"/>
    </row>
    <row r="483" spans="9:9" ht="12.75">
      <c r="I483" s="76"/>
    </row>
    <row r="484" spans="9:9" ht="12.75">
      <c r="I484" s="76"/>
    </row>
    <row r="485" spans="9:9" ht="12.75">
      <c r="I485" s="76"/>
    </row>
    <row r="486" spans="9:9" ht="12.75">
      <c r="I486" s="76"/>
    </row>
    <row r="487" spans="9:9" ht="12.75">
      <c r="I487" s="76"/>
    </row>
    <row r="488" spans="9:9" ht="12.75">
      <c r="I488" s="76"/>
    </row>
    <row r="489" spans="9:9" ht="12.75">
      <c r="I489" s="76"/>
    </row>
    <row r="490" spans="9:9" ht="12.75">
      <c r="I490" s="76"/>
    </row>
    <row r="491" spans="9:9" ht="12.75">
      <c r="I491" s="76"/>
    </row>
    <row r="492" spans="9:9" ht="12.75">
      <c r="I492" s="76"/>
    </row>
    <row r="493" spans="9:9" ht="12.75">
      <c r="I493" s="76"/>
    </row>
    <row r="494" spans="9:9" ht="12.75">
      <c r="I494" s="76"/>
    </row>
    <row r="495" spans="9:9" ht="12.75">
      <c r="I495" s="76"/>
    </row>
    <row r="496" spans="9:9" ht="12.75">
      <c r="I496" s="76"/>
    </row>
    <row r="497" spans="9:9" ht="12.75">
      <c r="I497" s="76"/>
    </row>
    <row r="498" spans="9:9" ht="12.75">
      <c r="I498" s="76"/>
    </row>
    <row r="499" spans="9:9" ht="12.75">
      <c r="I499" s="76"/>
    </row>
    <row r="500" spans="9:9" ht="12.75">
      <c r="I500" s="76"/>
    </row>
    <row r="501" spans="9:9" ht="12.75">
      <c r="I501" s="76"/>
    </row>
    <row r="502" spans="9:9" ht="12.75">
      <c r="I502" s="76"/>
    </row>
    <row r="503" spans="9:9" ht="12.75">
      <c r="I503" s="76"/>
    </row>
    <row r="504" spans="9:9" ht="12.75">
      <c r="I504" s="76"/>
    </row>
    <row r="505" spans="9:9" ht="12.75">
      <c r="I505" s="76"/>
    </row>
    <row r="506" spans="9:9" ht="12.75">
      <c r="I506" s="76"/>
    </row>
    <row r="507" spans="9:9" ht="12.75">
      <c r="I507" s="76"/>
    </row>
    <row r="508" spans="9:9" ht="12.75">
      <c r="I508" s="76"/>
    </row>
    <row r="509" spans="9:9" ht="12.75">
      <c r="I509" s="76"/>
    </row>
    <row r="510" spans="9:9" ht="12.75">
      <c r="I510" s="76"/>
    </row>
    <row r="511" spans="9:9" ht="12.75">
      <c r="I511" s="76"/>
    </row>
    <row r="512" spans="9:9" ht="12.75">
      <c r="I512" s="76"/>
    </row>
    <row r="513" spans="9:9" ht="12.75">
      <c r="I513" s="76"/>
    </row>
    <row r="514" spans="9:9" ht="12.75">
      <c r="I514" s="76"/>
    </row>
    <row r="515" spans="9:9" ht="12.75">
      <c r="I515" s="76"/>
    </row>
    <row r="516" spans="9:9" ht="12.75">
      <c r="I516" s="76"/>
    </row>
    <row r="517" spans="9:9" ht="12.75">
      <c r="I517" s="76"/>
    </row>
    <row r="518" spans="9:9" ht="12.75">
      <c r="I518" s="76"/>
    </row>
    <row r="519" spans="9:9" ht="12.75">
      <c r="I519" s="76"/>
    </row>
    <row r="520" spans="9:9" ht="12.75">
      <c r="I520" s="76"/>
    </row>
    <row r="521" spans="9:9" ht="12.75">
      <c r="I521" s="76"/>
    </row>
    <row r="522" spans="9:9" ht="12.75">
      <c r="I522" s="76"/>
    </row>
    <row r="523" spans="9:9" ht="12.75">
      <c r="I523" s="76"/>
    </row>
    <row r="524" spans="9:9" ht="12.75">
      <c r="I524" s="76"/>
    </row>
    <row r="525" spans="9:9" ht="12.75">
      <c r="I525" s="76"/>
    </row>
    <row r="526" spans="9:9" ht="12.75">
      <c r="I526" s="76"/>
    </row>
    <row r="527" spans="9:9" ht="12.75">
      <c r="I527" s="76"/>
    </row>
    <row r="528" spans="9:9" ht="12.75">
      <c r="I528" s="76"/>
    </row>
    <row r="529" spans="9:9" ht="12.75">
      <c r="I529" s="76"/>
    </row>
    <row r="530" spans="9:9" ht="12.75">
      <c r="I530" s="76"/>
    </row>
    <row r="531" spans="9:9" ht="12.75">
      <c r="I531" s="76"/>
    </row>
    <row r="532" spans="9:9" ht="12.75">
      <c r="I532" s="76"/>
    </row>
    <row r="533" spans="9:9" ht="12.75">
      <c r="I533" s="76"/>
    </row>
    <row r="534" spans="9:9" ht="12.75">
      <c r="I534" s="76"/>
    </row>
    <row r="535" spans="9:9" ht="12.75">
      <c r="I535" s="76"/>
    </row>
    <row r="536" spans="9:9" ht="12.75">
      <c r="I536" s="76"/>
    </row>
    <row r="537" spans="9:9" ht="12.75">
      <c r="I537" s="76"/>
    </row>
    <row r="538" spans="9:9" ht="12.75">
      <c r="I538" s="76"/>
    </row>
    <row r="539" spans="9:9" ht="12.75">
      <c r="I539" s="76"/>
    </row>
    <row r="540" spans="9:9" ht="12.75">
      <c r="I540" s="76"/>
    </row>
    <row r="541" spans="9:9" ht="12.75">
      <c r="I541" s="76"/>
    </row>
    <row r="542" spans="9:9" ht="12.75">
      <c r="I542" s="76"/>
    </row>
    <row r="543" spans="9:9" ht="12.75">
      <c r="I543" s="76"/>
    </row>
    <row r="544" spans="9:9" ht="12.75">
      <c r="I544" s="76"/>
    </row>
    <row r="545" spans="9:9" ht="12.75">
      <c r="I545" s="76"/>
    </row>
    <row r="546" spans="9:9" ht="12.75">
      <c r="I546" s="76"/>
    </row>
    <row r="547" spans="9:9" ht="12.75">
      <c r="I547" s="76"/>
    </row>
    <row r="548" spans="9:9" ht="12.75">
      <c r="I548" s="76"/>
    </row>
    <row r="549" spans="9:9" ht="12.75">
      <c r="I549" s="76"/>
    </row>
    <row r="550" spans="9:9" ht="12.75">
      <c r="I550" s="76"/>
    </row>
    <row r="551" spans="9:9" ht="12.75">
      <c r="I551" s="76"/>
    </row>
    <row r="552" spans="9:9" ht="12.75">
      <c r="I552" s="76"/>
    </row>
    <row r="553" spans="9:9" ht="12.75">
      <c r="I553" s="76"/>
    </row>
    <row r="554" spans="9:9" ht="12.75">
      <c r="I554" s="76"/>
    </row>
    <row r="555" spans="9:9" ht="12.75">
      <c r="I555" s="76"/>
    </row>
    <row r="556" spans="9:9" ht="12.75">
      <c r="I556" s="76"/>
    </row>
    <row r="557" spans="9:9" ht="12.75">
      <c r="I557" s="76"/>
    </row>
    <row r="558" spans="9:9" ht="12.75">
      <c r="I558" s="76"/>
    </row>
    <row r="559" spans="9:9" ht="12.75">
      <c r="I559" s="76"/>
    </row>
    <row r="560" spans="9:9" ht="12.75">
      <c r="I560" s="76"/>
    </row>
    <row r="561" spans="9:9" ht="12.75">
      <c r="I561" s="76"/>
    </row>
    <row r="562" spans="9:9" ht="12.75">
      <c r="I562" s="76"/>
    </row>
    <row r="563" spans="9:9" ht="12.75">
      <c r="I563" s="76"/>
    </row>
    <row r="564" spans="9:9" ht="12.75">
      <c r="I564" s="76"/>
    </row>
    <row r="565" spans="9:9" ht="12.75">
      <c r="I565" s="76"/>
    </row>
    <row r="566" spans="9:9" ht="12.75">
      <c r="I566" s="76"/>
    </row>
    <row r="567" spans="9:9" ht="12.75">
      <c r="I567" s="76"/>
    </row>
    <row r="568" spans="9:9" ht="12.75">
      <c r="I568" s="76"/>
    </row>
    <row r="569" spans="9:9" ht="12.75">
      <c r="I569" s="76"/>
    </row>
    <row r="570" spans="9:9" ht="12.75">
      <c r="I570" s="76"/>
    </row>
    <row r="571" spans="9:9" ht="12.75">
      <c r="I571" s="76"/>
    </row>
    <row r="572" spans="9:9" ht="12.75">
      <c r="I572" s="76"/>
    </row>
    <row r="573" spans="9:9" ht="12.75">
      <c r="I573" s="76"/>
    </row>
    <row r="574" spans="9:9" ht="12.75">
      <c r="I574" s="76"/>
    </row>
    <row r="575" spans="9:9" ht="12.75">
      <c r="I575" s="76"/>
    </row>
    <row r="576" spans="9:9" ht="12.75">
      <c r="I576" s="76"/>
    </row>
    <row r="577" spans="9:9" ht="12.75">
      <c r="I577" s="76"/>
    </row>
    <row r="578" spans="9:9" ht="12.75">
      <c r="I578" s="76"/>
    </row>
    <row r="579" spans="9:9" ht="12.75">
      <c r="I579" s="76"/>
    </row>
    <row r="580" spans="9:9" ht="12.75">
      <c r="I580" s="76"/>
    </row>
    <row r="581" spans="9:9" ht="12.75">
      <c r="I581" s="76"/>
    </row>
    <row r="582" spans="9:9" ht="12.75">
      <c r="I582" s="76"/>
    </row>
    <row r="583" spans="9:9" ht="12.75">
      <c r="I583" s="76"/>
    </row>
    <row r="584" spans="9:9" ht="12.75">
      <c r="I584" s="76"/>
    </row>
    <row r="585" spans="9:9" ht="12.75">
      <c r="I585" s="76"/>
    </row>
    <row r="586" spans="9:9" ht="12.75">
      <c r="I586" s="76"/>
    </row>
    <row r="587" spans="9:9" ht="12.75">
      <c r="I587" s="76"/>
    </row>
    <row r="588" spans="9:9" ht="12.75">
      <c r="I588" s="76"/>
    </row>
    <row r="589" spans="9:9" ht="12.75">
      <c r="I589" s="76"/>
    </row>
    <row r="590" spans="9:9" ht="12.75">
      <c r="I590" s="76"/>
    </row>
    <row r="591" spans="9:9" ht="12.75">
      <c r="I591" s="76"/>
    </row>
    <row r="592" spans="9:9" ht="12.75">
      <c r="I592" s="76"/>
    </row>
    <row r="593" spans="9:9" ht="12.75">
      <c r="I593" s="76"/>
    </row>
    <row r="594" spans="9:9" ht="12.75">
      <c r="I594" s="76"/>
    </row>
    <row r="595" spans="9:9" ht="12.75">
      <c r="I595" s="76"/>
    </row>
    <row r="596" spans="9:9" ht="12.75">
      <c r="I596" s="76"/>
    </row>
    <row r="597" spans="9:9" ht="12.75">
      <c r="I597" s="76"/>
    </row>
    <row r="598" spans="9:9" ht="12.75">
      <c r="I598" s="76"/>
    </row>
    <row r="599" spans="9:9" ht="12.75">
      <c r="I599" s="76"/>
    </row>
    <row r="600" spans="9:9" ht="12.75">
      <c r="I600" s="76"/>
    </row>
    <row r="601" spans="9:9" ht="12.75">
      <c r="I601" s="76"/>
    </row>
    <row r="602" spans="9:9" ht="12.75">
      <c r="I602" s="76"/>
    </row>
    <row r="603" spans="9:9" ht="12.75">
      <c r="I603" s="76"/>
    </row>
    <row r="604" spans="9:9" ht="12.75">
      <c r="I604" s="76"/>
    </row>
    <row r="605" spans="9:9" ht="12.75">
      <c r="I605" s="76"/>
    </row>
    <row r="606" spans="9:9" ht="12.75">
      <c r="I606" s="76"/>
    </row>
    <row r="607" spans="9:9" ht="12.75">
      <c r="I607" s="76"/>
    </row>
    <row r="608" spans="9:9" ht="12.75">
      <c r="I608" s="76"/>
    </row>
    <row r="609" spans="9:9" ht="12.75">
      <c r="I609" s="76"/>
    </row>
    <row r="610" spans="9:9" ht="12.75">
      <c r="I610" s="76"/>
    </row>
    <row r="611" spans="9:9" ht="12.75">
      <c r="I611" s="76"/>
    </row>
    <row r="612" spans="9:9" ht="12.75">
      <c r="I612" s="76"/>
    </row>
    <row r="613" spans="9:9" ht="12.75">
      <c r="I613" s="76"/>
    </row>
    <row r="614" spans="9:9" ht="12.75">
      <c r="I614" s="76"/>
    </row>
    <row r="615" spans="9:9" ht="12.75">
      <c r="I615" s="76"/>
    </row>
    <row r="616" spans="9:9" ht="12.75">
      <c r="I616" s="76"/>
    </row>
    <row r="617" spans="9:9" ht="12.75">
      <c r="I617" s="76"/>
    </row>
    <row r="618" spans="9:9" ht="12.75">
      <c r="I618" s="76"/>
    </row>
    <row r="619" spans="9:9" ht="12.75">
      <c r="I619" s="76"/>
    </row>
    <row r="620" spans="9:9" ht="12.75">
      <c r="I620" s="76"/>
    </row>
    <row r="621" spans="9:9" ht="12.75">
      <c r="I621" s="76"/>
    </row>
    <row r="622" spans="9:9" ht="12.75">
      <c r="I622" s="76"/>
    </row>
    <row r="623" spans="9:9" ht="12.75">
      <c r="I623" s="76"/>
    </row>
    <row r="624" spans="9:9" ht="12.75">
      <c r="I624" s="76"/>
    </row>
    <row r="625" spans="9:9" ht="12.75">
      <c r="I625" s="76"/>
    </row>
    <row r="626" spans="9:9" ht="12.75">
      <c r="I626" s="76"/>
    </row>
    <row r="627" spans="9:9" ht="12.75">
      <c r="I627" s="76"/>
    </row>
    <row r="628" spans="9:9" ht="12.75">
      <c r="I628" s="76"/>
    </row>
    <row r="629" spans="9:9" ht="12.75">
      <c r="I629" s="76"/>
    </row>
    <row r="630" spans="9:9" ht="12.75">
      <c r="I630" s="76"/>
    </row>
    <row r="631" spans="9:9" ht="12.75">
      <c r="I631" s="76"/>
    </row>
    <row r="632" spans="9:9" ht="12.75">
      <c r="I632" s="76"/>
    </row>
    <row r="633" spans="9:9" ht="12.75">
      <c r="I633" s="76"/>
    </row>
    <row r="634" spans="9:9" ht="12.75">
      <c r="I634" s="76"/>
    </row>
    <row r="635" spans="9:9" ht="12.75">
      <c r="I635" s="76"/>
    </row>
    <row r="636" spans="9:9" ht="12.75">
      <c r="I636" s="76"/>
    </row>
    <row r="637" spans="9:9" ht="12.75">
      <c r="I637" s="76"/>
    </row>
    <row r="638" spans="9:9" ht="12.75">
      <c r="I638" s="76"/>
    </row>
    <row r="639" spans="9:9" ht="12.75">
      <c r="I639" s="76"/>
    </row>
    <row r="640" spans="9:9" ht="12.75">
      <c r="I640" s="76"/>
    </row>
    <row r="641" spans="9:9" ht="12.75">
      <c r="I641" s="76"/>
    </row>
    <row r="642" spans="9:9" ht="12.75">
      <c r="I642" s="76"/>
    </row>
    <row r="643" spans="9:9" ht="12.75">
      <c r="I643" s="76"/>
    </row>
    <row r="644" spans="9:9" ht="12.75">
      <c r="I644" s="76"/>
    </row>
    <row r="645" spans="9:9" ht="12.75">
      <c r="I645" s="76"/>
    </row>
    <row r="646" spans="9:9" ht="12.75">
      <c r="I646" s="76"/>
    </row>
    <row r="647" spans="9:9" ht="12.75">
      <c r="I647" s="76"/>
    </row>
    <row r="648" spans="9:9" ht="12.75">
      <c r="I648" s="76"/>
    </row>
    <row r="649" spans="9:9" ht="12.75">
      <c r="I649" s="76"/>
    </row>
    <row r="650" spans="9:9" ht="12.75">
      <c r="I650" s="76"/>
    </row>
    <row r="651" spans="9:9" ht="12.75">
      <c r="I651" s="76"/>
    </row>
    <row r="652" spans="9:9" ht="12.75">
      <c r="I652" s="76"/>
    </row>
    <row r="653" spans="9:9" ht="12.75">
      <c r="I653" s="76"/>
    </row>
    <row r="654" spans="9:9" ht="12.75">
      <c r="I654" s="76"/>
    </row>
    <row r="655" spans="9:9" ht="12.75">
      <c r="I655" s="76"/>
    </row>
    <row r="656" spans="9:9" ht="12.75">
      <c r="I656" s="76"/>
    </row>
    <row r="657" spans="9:9" ht="12.75">
      <c r="I657" s="76"/>
    </row>
    <row r="658" spans="9:9" ht="12.75">
      <c r="I658" s="76"/>
    </row>
    <row r="659" spans="9:9" ht="12.75">
      <c r="I659" s="76"/>
    </row>
    <row r="660" spans="9:9" ht="12.75">
      <c r="I660" s="76"/>
    </row>
    <row r="661" spans="9:9" ht="12.75">
      <c r="I661" s="76"/>
    </row>
    <row r="662" spans="9:9" ht="12.75">
      <c r="I662" s="76"/>
    </row>
    <row r="663" spans="9:9" ht="12.75">
      <c r="I663" s="76"/>
    </row>
    <row r="664" spans="9:9" ht="12.75">
      <c r="I664" s="76"/>
    </row>
    <row r="665" spans="9:9" ht="12.75">
      <c r="I665" s="76"/>
    </row>
    <row r="666" spans="9:9" ht="12.75">
      <c r="I666" s="76"/>
    </row>
    <row r="667" spans="9:9" ht="12.75">
      <c r="I667" s="76"/>
    </row>
    <row r="668" spans="9:9" ht="12.75">
      <c r="I668" s="76"/>
    </row>
    <row r="669" spans="9:9" ht="12.75">
      <c r="I669" s="76"/>
    </row>
    <row r="670" spans="9:9" ht="12.75">
      <c r="I670" s="76"/>
    </row>
    <row r="671" spans="9:9" ht="12.75">
      <c r="I671" s="76"/>
    </row>
    <row r="672" spans="9:9" ht="12.75">
      <c r="I672" s="76"/>
    </row>
    <row r="673" spans="9:9" ht="12.75">
      <c r="I673" s="76"/>
    </row>
    <row r="674" spans="9:9" ht="12.75">
      <c r="I674" s="76"/>
    </row>
    <row r="675" spans="9:9" ht="12.75">
      <c r="I675" s="76"/>
    </row>
    <row r="676" spans="9:9" ht="12.75">
      <c r="I676" s="76"/>
    </row>
    <row r="677" spans="9:9" ht="12.75">
      <c r="I677" s="76"/>
    </row>
    <row r="678" spans="9:9" ht="12.75">
      <c r="I678" s="76"/>
    </row>
    <row r="679" spans="9:9" ht="12.75">
      <c r="I679" s="76"/>
    </row>
    <row r="680" spans="9:9" ht="12.75">
      <c r="I680" s="76"/>
    </row>
    <row r="681" spans="9:9" ht="12.75">
      <c r="I681" s="76"/>
    </row>
    <row r="682" spans="9:9" ht="12.75">
      <c r="I682" s="76"/>
    </row>
    <row r="683" spans="9:9" ht="12.75">
      <c r="I683" s="76"/>
    </row>
    <row r="684" spans="9:9" ht="12.75">
      <c r="I684" s="76"/>
    </row>
    <row r="685" spans="9:9" ht="12.75">
      <c r="I685" s="76"/>
    </row>
    <row r="686" spans="9:9" ht="12.75">
      <c r="I686" s="76"/>
    </row>
    <row r="687" spans="9:9" ht="12.75">
      <c r="I687" s="76"/>
    </row>
    <row r="688" spans="9:9" ht="12.75">
      <c r="I688" s="76"/>
    </row>
    <row r="689" spans="9:9" ht="12.75">
      <c r="I689" s="76"/>
    </row>
    <row r="690" spans="9:9" ht="12.75">
      <c r="I690" s="76"/>
    </row>
    <row r="691" spans="9:9" ht="12.75">
      <c r="I691" s="76"/>
    </row>
    <row r="692" spans="9:9" ht="12.75">
      <c r="I692" s="76"/>
    </row>
    <row r="693" spans="9:9" ht="12.75">
      <c r="I693" s="76"/>
    </row>
    <row r="694" spans="9:9" ht="12.75">
      <c r="I694" s="76"/>
    </row>
    <row r="695" spans="9:9" ht="12.75">
      <c r="I695" s="76"/>
    </row>
    <row r="696" spans="9:9" ht="12.75">
      <c r="I696" s="76"/>
    </row>
    <row r="697" spans="9:9" ht="12.75">
      <c r="I697" s="76"/>
    </row>
    <row r="698" spans="9:9" ht="12.75">
      <c r="I698" s="76"/>
    </row>
    <row r="699" spans="9:9" ht="12.75">
      <c r="I699" s="76"/>
    </row>
    <row r="700" spans="9:9" ht="12.75">
      <c r="I700" s="76"/>
    </row>
    <row r="701" spans="9:9" ht="12.75">
      <c r="I701" s="76"/>
    </row>
    <row r="702" spans="9:9" ht="12.75">
      <c r="I702" s="76"/>
    </row>
    <row r="703" spans="9:9" ht="12.75">
      <c r="I703" s="76"/>
    </row>
    <row r="704" spans="9:9" ht="12.75">
      <c r="I704" s="76"/>
    </row>
    <row r="705" spans="9:9" ht="12.75">
      <c r="I705" s="76"/>
    </row>
    <row r="706" spans="9:9" ht="12.75">
      <c r="I706" s="76"/>
    </row>
    <row r="707" spans="9:9" ht="12.75">
      <c r="I707" s="76"/>
    </row>
    <row r="708" spans="9:9" ht="12.75">
      <c r="I708" s="76"/>
    </row>
    <row r="709" spans="9:9" ht="12.75">
      <c r="I709" s="76"/>
    </row>
    <row r="710" spans="9:9" ht="12.75">
      <c r="I710" s="76"/>
    </row>
    <row r="711" spans="9:9" ht="12.75">
      <c r="I711" s="76"/>
    </row>
    <row r="712" spans="9:9" ht="12.75">
      <c r="I712" s="76"/>
    </row>
    <row r="713" spans="9:9" ht="12.75">
      <c r="I713" s="76"/>
    </row>
    <row r="714" spans="9:9" ht="12.75">
      <c r="I714" s="76"/>
    </row>
    <row r="715" spans="9:9" ht="12.75">
      <c r="I715" s="76"/>
    </row>
    <row r="716" spans="9:9" ht="12.75">
      <c r="I716" s="76"/>
    </row>
    <row r="717" spans="9:9" ht="12.75">
      <c r="I717" s="76"/>
    </row>
    <row r="718" spans="9:9" ht="12.75">
      <c r="I718" s="76"/>
    </row>
    <row r="719" spans="9:9" ht="12.75">
      <c r="I719" s="76"/>
    </row>
    <row r="720" spans="9:9" ht="12.75">
      <c r="I720" s="76"/>
    </row>
    <row r="721" spans="9:9" ht="12.75">
      <c r="I721" s="76"/>
    </row>
    <row r="722" spans="9:9" ht="12.75">
      <c r="I722" s="76"/>
    </row>
    <row r="723" spans="9:9" ht="12.75">
      <c r="I723" s="76"/>
    </row>
    <row r="724" spans="9:9" ht="12.75">
      <c r="I724" s="76"/>
    </row>
    <row r="725" spans="9:9" ht="12.75">
      <c r="I725" s="76"/>
    </row>
    <row r="726" spans="9:9" ht="12.75">
      <c r="I726" s="76"/>
    </row>
    <row r="727" spans="9:9" ht="12.75">
      <c r="I727" s="76"/>
    </row>
    <row r="728" spans="9:9" ht="12.75">
      <c r="I728" s="76"/>
    </row>
    <row r="729" spans="9:9" ht="12.75">
      <c r="I729" s="76"/>
    </row>
    <row r="730" spans="9:9" ht="12.75">
      <c r="I730" s="76"/>
    </row>
    <row r="731" spans="9:9" ht="12.75">
      <c r="I731" s="76"/>
    </row>
    <row r="732" spans="9:9" ht="12.75">
      <c r="I732" s="76"/>
    </row>
    <row r="733" spans="9:9" ht="12.75">
      <c r="I733" s="76"/>
    </row>
    <row r="734" spans="9:9" ht="12.75">
      <c r="I734" s="76"/>
    </row>
    <row r="735" spans="9:9" ht="12.75">
      <c r="I735" s="76"/>
    </row>
    <row r="736" spans="9:9" ht="12.75">
      <c r="I736" s="76"/>
    </row>
    <row r="737" spans="9:9" ht="12.75">
      <c r="I737" s="76"/>
    </row>
    <row r="738" spans="9:9" ht="12.75">
      <c r="I738" s="76"/>
    </row>
    <row r="739" spans="9:9" ht="12.75">
      <c r="I739" s="76"/>
    </row>
    <row r="740" spans="9:9" ht="12.75">
      <c r="I740" s="76"/>
    </row>
    <row r="741" spans="9:9" ht="12.75">
      <c r="I741" s="76"/>
    </row>
    <row r="742" spans="9:9" ht="12.75">
      <c r="I742" s="76"/>
    </row>
    <row r="743" spans="9:9" ht="12.75">
      <c r="I743" s="76"/>
    </row>
    <row r="744" spans="9:9" ht="12.75">
      <c r="I744" s="76"/>
    </row>
    <row r="745" spans="9:9" ht="12.75">
      <c r="I745" s="76"/>
    </row>
    <row r="746" spans="9:9" ht="12.75">
      <c r="I746" s="76"/>
    </row>
    <row r="747" spans="9:9" ht="12.75">
      <c r="I747" s="76"/>
    </row>
    <row r="748" spans="9:9" ht="12.75">
      <c r="I748" s="76"/>
    </row>
    <row r="749" spans="9:9" ht="12.75">
      <c r="I749" s="76"/>
    </row>
    <row r="750" spans="9:9" ht="12.75">
      <c r="I750" s="76"/>
    </row>
    <row r="751" spans="9:9" ht="12.75">
      <c r="I751" s="76"/>
    </row>
    <row r="752" spans="9:9" ht="12.75">
      <c r="I752" s="76"/>
    </row>
    <row r="753" spans="9:9" ht="12.75">
      <c r="I753" s="76"/>
    </row>
    <row r="754" spans="9:9" ht="12.75">
      <c r="I754" s="76"/>
    </row>
    <row r="755" spans="9:9" ht="12.75">
      <c r="I755" s="76"/>
    </row>
    <row r="756" spans="9:9" ht="12.75">
      <c r="I756" s="76"/>
    </row>
    <row r="757" spans="9:9" ht="12.75">
      <c r="I757" s="76"/>
    </row>
    <row r="758" spans="9:9" ht="12.75">
      <c r="I758" s="76"/>
    </row>
    <row r="759" spans="9:9" ht="12.75">
      <c r="I759" s="76"/>
    </row>
    <row r="760" spans="9:9" ht="12.75">
      <c r="I760" s="76"/>
    </row>
    <row r="761" spans="9:9" ht="12.75">
      <c r="I761" s="76"/>
    </row>
    <row r="762" spans="9:9" ht="12.75">
      <c r="I762" s="76"/>
    </row>
    <row r="763" spans="9:9" ht="12.75">
      <c r="I763" s="76"/>
    </row>
    <row r="764" spans="9:9" ht="12.75">
      <c r="I764" s="76"/>
    </row>
    <row r="765" spans="9:9" ht="12.75">
      <c r="I765" s="76"/>
    </row>
    <row r="766" spans="9:9" ht="12.75">
      <c r="I766" s="76"/>
    </row>
    <row r="767" spans="9:9" ht="12.75">
      <c r="I767" s="76"/>
    </row>
    <row r="768" spans="9:9" ht="12.75">
      <c r="I768" s="76"/>
    </row>
    <row r="769" spans="9:9" ht="12.75">
      <c r="I769" s="76"/>
    </row>
    <row r="770" spans="9:9" ht="12.75">
      <c r="I770" s="76"/>
    </row>
    <row r="771" spans="9:9" ht="12.75">
      <c r="I771" s="76"/>
    </row>
    <row r="772" spans="9:9" ht="12.75">
      <c r="I772" s="76"/>
    </row>
    <row r="773" spans="9:9" ht="12.75">
      <c r="I773" s="76"/>
    </row>
    <row r="774" spans="9:9" ht="12.75">
      <c r="I774" s="76"/>
    </row>
    <row r="775" spans="9:9" ht="12.75">
      <c r="I775" s="76"/>
    </row>
    <row r="776" spans="9:9" ht="12.75">
      <c r="I776" s="76"/>
    </row>
    <row r="777" spans="9:9" ht="12.75">
      <c r="I777" s="76"/>
    </row>
    <row r="778" spans="9:9" ht="12.75">
      <c r="I778" s="76"/>
    </row>
    <row r="779" spans="9:9" ht="12.75">
      <c r="I779" s="76"/>
    </row>
    <row r="780" spans="9:9" ht="12.75">
      <c r="I780" s="76"/>
    </row>
    <row r="781" spans="9:9" ht="12.75">
      <c r="I781" s="76"/>
    </row>
    <row r="782" spans="9:9" ht="12.75">
      <c r="I782" s="76"/>
    </row>
    <row r="783" spans="9:9" ht="12.75">
      <c r="I783" s="76"/>
    </row>
    <row r="784" spans="9:9" ht="12.75">
      <c r="I784" s="76"/>
    </row>
    <row r="785" spans="9:9" ht="12.75">
      <c r="I785" s="76"/>
    </row>
    <row r="786" spans="9:9" ht="12.75">
      <c r="I786" s="76"/>
    </row>
    <row r="787" spans="9:9" ht="12.75">
      <c r="I787" s="76"/>
    </row>
    <row r="788" spans="9:9" ht="12.75">
      <c r="I788" s="76"/>
    </row>
    <row r="789" spans="9:9" ht="12.75">
      <c r="I789" s="76"/>
    </row>
    <row r="790" spans="9:9" ht="12.75">
      <c r="I790" s="76"/>
    </row>
    <row r="791" spans="9:9" ht="12.75">
      <c r="I791" s="76"/>
    </row>
    <row r="792" spans="9:9" ht="12.75">
      <c r="I792" s="76"/>
    </row>
    <row r="793" spans="9:9" ht="12.75">
      <c r="I793" s="76"/>
    </row>
    <row r="794" spans="9:9" ht="12.75">
      <c r="I794" s="76"/>
    </row>
    <row r="795" spans="9:9" ht="12.75">
      <c r="I795" s="76"/>
    </row>
    <row r="796" spans="9:9" ht="12.75">
      <c r="I796" s="76"/>
    </row>
    <row r="797" spans="9:9" ht="12.75">
      <c r="I797" s="76"/>
    </row>
    <row r="798" spans="9:9" ht="12.75">
      <c r="I798" s="76"/>
    </row>
    <row r="799" spans="9:9" ht="12.75">
      <c r="I799" s="76"/>
    </row>
    <row r="800" spans="9:9" ht="12.75">
      <c r="I800" s="76"/>
    </row>
    <row r="801" spans="9:9" ht="12.75">
      <c r="I801" s="76"/>
    </row>
    <row r="802" spans="9:9" ht="12.75">
      <c r="I802" s="76"/>
    </row>
    <row r="803" spans="9:9" ht="12.75">
      <c r="I803" s="76"/>
    </row>
    <row r="804" spans="9:9" ht="12.75">
      <c r="I804" s="76"/>
    </row>
    <row r="805" spans="9:9" ht="12.75">
      <c r="I805" s="76"/>
    </row>
    <row r="806" spans="9:9" ht="12.75">
      <c r="I806" s="76"/>
    </row>
    <row r="807" spans="9:9" ht="12.75">
      <c r="I807" s="76"/>
    </row>
    <row r="808" spans="9:9" ht="12.75">
      <c r="I808" s="76"/>
    </row>
    <row r="809" spans="9:9" ht="12.75">
      <c r="I809" s="76"/>
    </row>
    <row r="810" spans="9:9" ht="12.75">
      <c r="I810" s="76"/>
    </row>
    <row r="811" spans="9:9" ht="12.75">
      <c r="I811" s="76"/>
    </row>
    <row r="812" spans="9:9" ht="12.75">
      <c r="I812" s="76"/>
    </row>
    <row r="813" spans="9:9" ht="12.75">
      <c r="I813" s="76"/>
    </row>
    <row r="814" spans="9:9" ht="12.75">
      <c r="I814" s="76"/>
    </row>
    <row r="815" spans="9:9" ht="12.75">
      <c r="I815" s="76"/>
    </row>
    <row r="816" spans="9:9" ht="12.75">
      <c r="I816" s="76"/>
    </row>
    <row r="817" spans="9:9" ht="12.75">
      <c r="I817" s="76"/>
    </row>
    <row r="818" spans="9:9" ht="12.75">
      <c r="I818" s="76"/>
    </row>
    <row r="819" spans="9:9" ht="12.75">
      <c r="I819" s="76"/>
    </row>
    <row r="820" spans="9:9" ht="12.75">
      <c r="I820" s="76"/>
    </row>
    <row r="821" spans="9:9" ht="12.75">
      <c r="I821" s="76"/>
    </row>
    <row r="822" spans="9:9" ht="12.75">
      <c r="I822" s="76"/>
    </row>
    <row r="823" spans="9:9" ht="12.75">
      <c r="I823" s="76"/>
    </row>
    <row r="824" spans="9:9" ht="12.75">
      <c r="I824" s="76"/>
    </row>
    <row r="825" spans="9:9" ht="12.75">
      <c r="I825" s="76"/>
    </row>
    <row r="826" spans="9:9" ht="12.75">
      <c r="I826" s="76"/>
    </row>
    <row r="827" spans="9:9" ht="12.75">
      <c r="I827" s="76"/>
    </row>
    <row r="828" spans="9:9" ht="12.75">
      <c r="I828" s="76"/>
    </row>
    <row r="829" spans="9:9" ht="12.75">
      <c r="I829" s="76"/>
    </row>
    <row r="830" spans="9:9" ht="12.75">
      <c r="I830" s="76"/>
    </row>
    <row r="831" spans="9:9" ht="12.75">
      <c r="I831" s="76"/>
    </row>
    <row r="832" spans="9:9" ht="12.75">
      <c r="I832" s="76"/>
    </row>
    <row r="833" spans="9:9" ht="12.75">
      <c r="I833" s="76"/>
    </row>
    <row r="834" spans="9:9" ht="12.75">
      <c r="I834" s="76"/>
    </row>
    <row r="835" spans="9:9" ht="12.75">
      <c r="I835" s="76"/>
    </row>
    <row r="836" spans="9:9" ht="12.75">
      <c r="I836" s="76"/>
    </row>
    <row r="837" spans="9:9" ht="12.75">
      <c r="I837" s="76"/>
    </row>
    <row r="838" spans="9:9" ht="12.75">
      <c r="I838" s="76"/>
    </row>
    <row r="839" spans="9:9" ht="12.75">
      <c r="I839" s="76"/>
    </row>
    <row r="840" spans="9:9" ht="12.75">
      <c r="I840" s="76"/>
    </row>
    <row r="841" spans="9:9" ht="12.75">
      <c r="I841" s="76"/>
    </row>
    <row r="842" spans="9:9" ht="12.75">
      <c r="I842" s="76"/>
    </row>
    <row r="843" spans="9:9" ht="12.75">
      <c r="I843" s="76"/>
    </row>
    <row r="844" spans="9:9" ht="12.75">
      <c r="I844" s="76"/>
    </row>
    <row r="845" spans="9:9" ht="12.75">
      <c r="I845" s="76"/>
    </row>
    <row r="846" spans="9:9" ht="12.75">
      <c r="I846" s="76"/>
    </row>
    <row r="847" spans="9:9" ht="12.75">
      <c r="I847" s="76"/>
    </row>
    <row r="848" spans="9:9" ht="12.75">
      <c r="I848" s="76"/>
    </row>
    <row r="849" spans="9:9" ht="12.75">
      <c r="I849" s="76"/>
    </row>
    <row r="850" spans="9:9" ht="12.75">
      <c r="I850" s="76"/>
    </row>
    <row r="851" spans="9:9" ht="12.75">
      <c r="I851" s="76"/>
    </row>
    <row r="852" spans="9:9" ht="12.75">
      <c r="I852" s="76"/>
    </row>
    <row r="853" spans="9:9" ht="12.75">
      <c r="I853" s="76"/>
    </row>
    <row r="854" spans="9:9" ht="12.75">
      <c r="I854" s="76"/>
    </row>
    <row r="855" spans="9:9" ht="12.75">
      <c r="I855" s="76"/>
    </row>
    <row r="856" spans="9:9" ht="12.75">
      <c r="I856" s="76"/>
    </row>
    <row r="857" spans="9:9" ht="12.75">
      <c r="I857" s="76"/>
    </row>
    <row r="858" spans="9:9" ht="12.75">
      <c r="I858" s="76"/>
    </row>
    <row r="859" spans="9:9" ht="12.75">
      <c r="I859" s="76"/>
    </row>
    <row r="860" spans="9:9" ht="12.75">
      <c r="I860" s="76"/>
    </row>
    <row r="861" spans="9:9" ht="12.75">
      <c r="I861" s="76"/>
    </row>
    <row r="862" spans="9:9" ht="12.75">
      <c r="I862" s="76"/>
    </row>
    <row r="863" spans="9:9" ht="12.75">
      <c r="I863" s="76"/>
    </row>
    <row r="864" spans="9:9" ht="12.75">
      <c r="I864" s="76"/>
    </row>
    <row r="865" spans="9:9" ht="12.75">
      <c r="I865" s="76"/>
    </row>
    <row r="866" spans="9:9" ht="12.75">
      <c r="I866" s="76"/>
    </row>
    <row r="867" spans="9:9" ht="12.75">
      <c r="I867" s="76"/>
    </row>
    <row r="868" spans="9:9" ht="12.75">
      <c r="I868" s="76"/>
    </row>
    <row r="869" spans="9:9" ht="12.75">
      <c r="I869" s="76"/>
    </row>
    <row r="870" spans="9:9" ht="12.75">
      <c r="I870" s="76"/>
    </row>
    <row r="871" spans="9:9" ht="12.75">
      <c r="I871" s="76"/>
    </row>
    <row r="872" spans="9:9" ht="12.75">
      <c r="I872" s="76"/>
    </row>
    <row r="873" spans="9:9" ht="12.75">
      <c r="I873" s="76"/>
    </row>
    <row r="874" spans="9:9" ht="12.75">
      <c r="I874" s="76"/>
    </row>
    <row r="875" spans="9:9" ht="12.75">
      <c r="I875" s="76"/>
    </row>
    <row r="876" spans="9:9" ht="12.75">
      <c r="I876" s="76"/>
    </row>
    <row r="877" spans="9:9" ht="12.75">
      <c r="I877" s="76"/>
    </row>
    <row r="878" spans="9:9" ht="12.75">
      <c r="I878" s="76"/>
    </row>
    <row r="879" spans="9:9" ht="12.75">
      <c r="I879" s="76"/>
    </row>
    <row r="880" spans="9:9" ht="12.75">
      <c r="I880" s="76"/>
    </row>
    <row r="881" spans="9:9" ht="12.75">
      <c r="I881" s="76"/>
    </row>
    <row r="882" spans="9:9" ht="12.75">
      <c r="I882" s="76"/>
    </row>
    <row r="883" spans="9:9" ht="12.75">
      <c r="I883" s="76"/>
    </row>
    <row r="884" spans="9:9" ht="12.75">
      <c r="I884" s="76"/>
    </row>
    <row r="885" spans="9:9" ht="12.75">
      <c r="I885" s="76"/>
    </row>
    <row r="886" spans="9:9" ht="12.75">
      <c r="I886" s="76"/>
    </row>
    <row r="887" spans="9:9" ht="12.75">
      <c r="I887" s="76"/>
    </row>
    <row r="888" spans="9:9" ht="12.75">
      <c r="I888" s="76"/>
    </row>
    <row r="889" spans="9:9" ht="12.75">
      <c r="I889" s="76"/>
    </row>
    <row r="890" spans="9:9" ht="12.75">
      <c r="I890" s="76"/>
    </row>
    <row r="891" spans="9:9" ht="12.75">
      <c r="I891" s="76"/>
    </row>
    <row r="892" spans="9:9" ht="12.75">
      <c r="I892" s="76"/>
    </row>
    <row r="893" spans="9:9" ht="12.75">
      <c r="I893" s="76"/>
    </row>
    <row r="894" spans="9:9" ht="12.75">
      <c r="I894" s="76"/>
    </row>
    <row r="895" spans="9:9" ht="12.75">
      <c r="I895" s="76"/>
    </row>
    <row r="896" spans="9:9" ht="12.75">
      <c r="I896" s="76"/>
    </row>
    <row r="897" spans="9:9" ht="12.75">
      <c r="I897" s="76"/>
    </row>
    <row r="898" spans="9:9" ht="12.75">
      <c r="I898" s="76"/>
    </row>
    <row r="899" spans="9:9" ht="12.75">
      <c r="I899" s="76"/>
    </row>
    <row r="900" spans="9:9" ht="12.75">
      <c r="I900" s="76"/>
    </row>
    <row r="901" spans="9:9" ht="12.75">
      <c r="I901" s="76"/>
    </row>
    <row r="902" spans="9:9" ht="12.75">
      <c r="I902" s="76"/>
    </row>
    <row r="903" spans="9:9" ht="12.75">
      <c r="I903" s="76"/>
    </row>
    <row r="904" spans="9:9" ht="12.75">
      <c r="I904" s="76"/>
    </row>
    <row r="905" spans="9:9" ht="12.75">
      <c r="I905" s="76"/>
    </row>
    <row r="906" spans="9:9" ht="12.75">
      <c r="I906" s="76"/>
    </row>
    <row r="907" spans="9:9" ht="12.75">
      <c r="I907" s="76"/>
    </row>
    <row r="908" spans="9:9" ht="12.75">
      <c r="I908" s="76"/>
    </row>
    <row r="909" spans="9:9" ht="12.75">
      <c r="I909" s="76"/>
    </row>
    <row r="910" spans="9:9" ht="12.75">
      <c r="I910" s="76"/>
    </row>
    <row r="911" spans="9:9" ht="12.75">
      <c r="I911" s="76"/>
    </row>
    <row r="912" spans="9:9" ht="12.75">
      <c r="I912" s="76"/>
    </row>
    <row r="913" spans="9:9" ht="12.75">
      <c r="I913" s="76"/>
    </row>
    <row r="914" spans="9:9" ht="12.75">
      <c r="I914" s="76"/>
    </row>
    <row r="915" spans="9:9" ht="12.75">
      <c r="I915" s="76"/>
    </row>
    <row r="916" spans="9:9" ht="12.75">
      <c r="I916" s="76"/>
    </row>
    <row r="917" spans="9:9" ht="12.75">
      <c r="I917" s="76"/>
    </row>
    <row r="918" spans="9:9" ht="12.75">
      <c r="I918" s="76"/>
    </row>
    <row r="919" spans="9:9" ht="12.75">
      <c r="I919" s="76"/>
    </row>
    <row r="920" spans="9:9" ht="12.75">
      <c r="I920" s="76"/>
    </row>
    <row r="921" spans="9:9" ht="12.75">
      <c r="I921" s="76"/>
    </row>
    <row r="922" spans="9:9" ht="12.75">
      <c r="I922" s="76"/>
    </row>
    <row r="923" spans="9:9" ht="12.75">
      <c r="I923" s="76"/>
    </row>
    <row r="924" spans="9:9" ht="12.75">
      <c r="I924" s="76"/>
    </row>
    <row r="925" spans="9:9" ht="12.75">
      <c r="I925" s="76"/>
    </row>
    <row r="926" spans="9:9" ht="12.75">
      <c r="I926" s="76"/>
    </row>
    <row r="927" spans="9:9" ht="12.75">
      <c r="I927" s="76"/>
    </row>
    <row r="928" spans="9:9" ht="12.75">
      <c r="I928" s="76"/>
    </row>
    <row r="929" spans="9:9" ht="12.75">
      <c r="I929" s="76"/>
    </row>
    <row r="930" spans="9:9" ht="12.75">
      <c r="I930" s="76"/>
    </row>
    <row r="931" spans="9:9" ht="12.75">
      <c r="I931" s="76"/>
    </row>
    <row r="932" spans="9:9" ht="12.75">
      <c r="I932" s="76"/>
    </row>
    <row r="933" spans="9:9" ht="12.75">
      <c r="I933" s="76"/>
    </row>
    <row r="934" spans="9:9" ht="12.75">
      <c r="I934" s="76"/>
    </row>
    <row r="935" spans="9:9" ht="12.75">
      <c r="I935" s="76"/>
    </row>
    <row r="936" spans="9:9" ht="12.75">
      <c r="I936" s="76"/>
    </row>
    <row r="937" spans="9:9" ht="12.75">
      <c r="I937" s="76"/>
    </row>
    <row r="938" spans="9:9" ht="12.75">
      <c r="I938" s="76"/>
    </row>
    <row r="939" spans="9:9" ht="12.75">
      <c r="I939" s="76"/>
    </row>
    <row r="940" spans="9:9" ht="12.75">
      <c r="I940" s="76"/>
    </row>
    <row r="941" spans="9:9" ht="12.75">
      <c r="I941" s="76"/>
    </row>
    <row r="942" spans="9:9" ht="12.75">
      <c r="I942" s="76"/>
    </row>
    <row r="943" spans="9:9" ht="12.75">
      <c r="I943" s="76"/>
    </row>
    <row r="944" spans="9:9" ht="12.75">
      <c r="I944" s="76"/>
    </row>
    <row r="945" spans="9:9" ht="12.75">
      <c r="I945" s="76"/>
    </row>
    <row r="946" spans="9:9" ht="12.75">
      <c r="I946" s="76"/>
    </row>
    <row r="947" spans="9:9" ht="12.75">
      <c r="I947" s="76"/>
    </row>
    <row r="948" spans="9:9" ht="12.75">
      <c r="I948" s="76"/>
    </row>
    <row r="949" spans="9:9" ht="12.75">
      <c r="I949" s="76"/>
    </row>
    <row r="950" spans="9:9" ht="12.75">
      <c r="I950" s="76"/>
    </row>
    <row r="951" spans="9:9" ht="12.75">
      <c r="I951" s="76"/>
    </row>
    <row r="952" spans="9:9" ht="12.75">
      <c r="I952" s="76"/>
    </row>
    <row r="953" spans="9:9" ht="12.75">
      <c r="I953" s="76"/>
    </row>
    <row r="954" spans="9:9" ht="12.75">
      <c r="I954" s="76"/>
    </row>
    <row r="955" spans="9:9" ht="12.75">
      <c r="I955" s="76"/>
    </row>
    <row r="956" spans="9:9" ht="12.75">
      <c r="I956" s="76"/>
    </row>
    <row r="957" spans="9:9" ht="12.75">
      <c r="I957" s="76"/>
    </row>
    <row r="958" spans="9:9" ht="12.75">
      <c r="I958" s="76"/>
    </row>
    <row r="959" spans="9:9" ht="12.75">
      <c r="I959" s="76"/>
    </row>
    <row r="960" spans="9:9" ht="12.75">
      <c r="I960" s="76"/>
    </row>
    <row r="961" spans="9:9" ht="12.75">
      <c r="I961" s="76"/>
    </row>
    <row r="962" spans="9:9" ht="12.75">
      <c r="I962" s="76"/>
    </row>
    <row r="963" spans="9:9" ht="12.75">
      <c r="I963" s="76"/>
    </row>
    <row r="964" spans="9:9" ht="12.75">
      <c r="I964" s="76"/>
    </row>
    <row r="965" spans="9:9" ht="12.75">
      <c r="I965" s="76"/>
    </row>
    <row r="966" spans="9:9" ht="12.75">
      <c r="I966" s="76"/>
    </row>
    <row r="967" spans="9:9" ht="12.75">
      <c r="I967" s="76"/>
    </row>
    <row r="968" spans="9:9" ht="12.75">
      <c r="I968" s="76"/>
    </row>
    <row r="969" spans="9:9" ht="12.75">
      <c r="I969" s="76"/>
    </row>
    <row r="970" spans="9:9" ht="12.75">
      <c r="I970" s="76"/>
    </row>
    <row r="971" spans="9:9" ht="12.75">
      <c r="I971" s="76"/>
    </row>
    <row r="972" spans="9:9" ht="12.75">
      <c r="I972" s="76"/>
    </row>
    <row r="973" spans="9:9" ht="12.75">
      <c r="I973" s="76"/>
    </row>
    <row r="974" spans="9:9" ht="12.75">
      <c r="I974" s="76"/>
    </row>
    <row r="975" spans="9:9" ht="12.75">
      <c r="I975" s="76"/>
    </row>
    <row r="976" spans="9:9" ht="12.75">
      <c r="I976" s="76"/>
    </row>
    <row r="977" spans="9:9" ht="12.75">
      <c r="I977" s="76"/>
    </row>
    <row r="978" spans="9:9" ht="12.75">
      <c r="I978" s="76"/>
    </row>
    <row r="979" spans="9:9" ht="12.75">
      <c r="I979" s="76"/>
    </row>
    <row r="980" spans="9:9" ht="12.75">
      <c r="I980" s="76"/>
    </row>
    <row r="981" spans="9:9" ht="12.75">
      <c r="I981" s="76"/>
    </row>
    <row r="982" spans="9:9" ht="12.75">
      <c r="I982" s="76"/>
    </row>
    <row r="983" spans="9:9" ht="12.75">
      <c r="I983" s="76"/>
    </row>
    <row r="984" spans="9:9" ht="12.75">
      <c r="I984" s="76"/>
    </row>
    <row r="985" spans="9:9" ht="12.75">
      <c r="I985" s="76"/>
    </row>
    <row r="986" spans="9:9" ht="12.75">
      <c r="I986" s="76"/>
    </row>
    <row r="987" spans="9:9" ht="12.75">
      <c r="I987" s="76"/>
    </row>
    <row r="988" spans="9:9" ht="12.75">
      <c r="I988" s="76"/>
    </row>
    <row r="989" spans="9:9" ht="12.75">
      <c r="I989" s="76"/>
    </row>
    <row r="990" spans="9:9" ht="12.75">
      <c r="I990" s="76"/>
    </row>
    <row r="991" spans="9:9" ht="12.75">
      <c r="I991" s="76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  <outlinePr summaryBelow="0" summaryRight="0"/>
  </sheetPr>
  <dimension ref="A1:O992"/>
  <sheetViews>
    <sheetView showGridLines="0" workbookViewId="0">
      <selection activeCell="B12" sqref="B12"/>
    </sheetView>
  </sheetViews>
  <sheetFormatPr defaultColWidth="12.5703125" defaultRowHeight="15.75" customHeight="1"/>
  <cols>
    <col min="1" max="1" width="13.140625" customWidth="1"/>
    <col min="2" max="2" width="78.42578125" customWidth="1"/>
    <col min="3" max="7" width="10.5703125" hidden="1" customWidth="1"/>
    <col min="8" max="8" width="7.42578125" style="146" customWidth="1"/>
    <col min="9" max="9" width="9.140625" style="92" customWidth="1"/>
    <col min="10" max="10" width="10.5703125" style="146" customWidth="1"/>
    <col min="11" max="11" width="13.7109375" style="146" customWidth="1"/>
    <col min="12" max="15" width="10.5703125" customWidth="1"/>
  </cols>
  <sheetData>
    <row r="1" spans="1:15" ht="15.75" customHeight="1">
      <c r="A1" s="68"/>
      <c r="B1" s="61"/>
      <c r="C1" s="61"/>
      <c r="D1" s="61"/>
      <c r="E1" s="61"/>
      <c r="F1" s="61"/>
      <c r="G1" s="61"/>
      <c r="H1" s="68"/>
      <c r="I1" s="91"/>
      <c r="J1" s="68"/>
      <c r="K1" s="68"/>
      <c r="L1" s="65"/>
      <c r="M1" s="65"/>
      <c r="N1" s="65"/>
      <c r="O1" s="65"/>
    </row>
    <row r="2" spans="1:15" ht="15.75" customHeight="1">
      <c r="A2" s="68"/>
      <c r="B2" s="116" t="s">
        <v>256</v>
      </c>
      <c r="C2" s="99"/>
      <c r="D2" s="99"/>
      <c r="E2" s="99"/>
      <c r="F2" s="99"/>
      <c r="G2" s="99"/>
      <c r="H2" s="148"/>
      <c r="I2" s="151"/>
      <c r="J2" s="77"/>
      <c r="K2" s="77"/>
      <c r="L2" s="65"/>
      <c r="M2" s="65"/>
      <c r="N2" s="65"/>
      <c r="O2" s="65"/>
    </row>
    <row r="3" spans="1:15" ht="15.75" customHeight="1">
      <c r="A3" s="68"/>
      <c r="B3" s="62"/>
      <c r="C3" s="62"/>
      <c r="D3" s="62"/>
      <c r="E3" s="62"/>
      <c r="F3" s="63"/>
      <c r="G3" s="63"/>
      <c r="H3" s="71"/>
      <c r="I3" s="87"/>
      <c r="J3" s="78"/>
      <c r="K3" s="78"/>
      <c r="L3" s="65"/>
      <c r="M3" s="65"/>
      <c r="N3" s="65"/>
      <c r="O3" s="65"/>
    </row>
    <row r="4" spans="1:15" ht="15.75" customHeight="1">
      <c r="A4" s="68"/>
      <c r="B4" s="117" t="s">
        <v>220</v>
      </c>
      <c r="C4" s="99"/>
      <c r="D4" s="99"/>
      <c r="E4" s="99"/>
      <c r="F4" s="97"/>
      <c r="G4" s="63"/>
      <c r="H4" s="71"/>
      <c r="I4" s="87"/>
      <c r="J4" s="78"/>
      <c r="K4" s="78"/>
      <c r="L4" s="65"/>
      <c r="M4" s="65"/>
      <c r="N4" s="65"/>
      <c r="O4" s="65"/>
    </row>
    <row r="5" spans="1:15" ht="15.75" customHeight="1">
      <c r="A5" s="68"/>
      <c r="B5" s="62"/>
      <c r="C5" s="62"/>
      <c r="D5" s="62"/>
      <c r="E5" s="62"/>
      <c r="F5" s="63"/>
      <c r="G5" s="63"/>
      <c r="H5" s="71"/>
      <c r="I5" s="88"/>
      <c r="J5" s="68"/>
      <c r="K5" s="68"/>
      <c r="L5" s="65"/>
      <c r="M5" s="65"/>
      <c r="N5" s="65"/>
      <c r="O5" s="65"/>
    </row>
    <row r="6" spans="1:15" ht="15.75" customHeight="1">
      <c r="A6" s="121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65"/>
      <c r="M6" s="65"/>
      <c r="N6" s="65"/>
      <c r="O6" s="65"/>
    </row>
    <row r="7" spans="1:15" ht="15.75" customHeight="1">
      <c r="A7" s="152" t="s">
        <v>228</v>
      </c>
      <c r="B7" s="153" t="s">
        <v>274</v>
      </c>
      <c r="C7" s="154"/>
      <c r="D7" s="154"/>
      <c r="E7" s="154"/>
      <c r="F7" s="154"/>
      <c r="G7" s="154"/>
      <c r="H7" s="126">
        <v>1</v>
      </c>
      <c r="I7" s="167" t="s">
        <v>282</v>
      </c>
      <c r="J7" s="125">
        <f>VLOOKUP(B7,Tabela_preços[[DESCRIÇÃO]:[VALOR]],3,FALSE)</f>
        <v>463.02499999999998</v>
      </c>
      <c r="K7" s="125">
        <f>J7*H7</f>
        <v>463.02499999999998</v>
      </c>
      <c r="L7" s="65"/>
      <c r="M7" s="65"/>
      <c r="N7" s="65"/>
      <c r="O7" s="65"/>
    </row>
    <row r="8" spans="1:15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67" t="s">
        <v>282</v>
      </c>
      <c r="J8" s="125">
        <f>VLOOKUP(B8,Tabela_preços[[DESCRIÇÃO]:[VALOR]],3,FALSE)</f>
        <v>17.512</v>
      </c>
      <c r="K8" s="125">
        <f t="shared" ref="K8:K12" si="0">J8*H8</f>
        <v>17.512</v>
      </c>
      <c r="L8" s="65"/>
      <c r="M8" s="65"/>
      <c r="N8" s="65"/>
      <c r="O8" s="65"/>
    </row>
    <row r="9" spans="1:15" ht="15.75" customHeight="1">
      <c r="A9" s="153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67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65"/>
      <c r="M9" s="65"/>
      <c r="N9" s="65"/>
      <c r="O9" s="65"/>
    </row>
    <row r="10" spans="1:15" ht="15.75" customHeight="1">
      <c r="A10" s="152" t="s">
        <v>259</v>
      </c>
      <c r="B10" s="168" t="s">
        <v>260</v>
      </c>
      <c r="C10" s="154"/>
      <c r="D10" s="154"/>
      <c r="E10" s="154"/>
      <c r="F10" s="154"/>
      <c r="G10" s="154"/>
      <c r="H10" s="126">
        <v>1</v>
      </c>
      <c r="I10" s="167" t="s">
        <v>282</v>
      </c>
      <c r="J10" s="125">
        <f>VLOOKUP(B10,Tabela_preços[[DESCRIÇÃO]:[VALOR]],3,FALSE)</f>
        <v>33.26</v>
      </c>
      <c r="K10" s="125">
        <f t="shared" si="0"/>
        <v>33.26</v>
      </c>
      <c r="L10" s="65"/>
      <c r="M10" s="65"/>
      <c r="N10" s="65"/>
      <c r="O10" s="65"/>
    </row>
    <row r="11" spans="1:15" ht="15.75" customHeight="1">
      <c r="A11" s="152" t="s">
        <v>231</v>
      </c>
      <c r="B11" s="153" t="s">
        <v>232</v>
      </c>
      <c r="C11" s="154"/>
      <c r="D11" s="154"/>
      <c r="E11" s="154"/>
      <c r="F11" s="154"/>
      <c r="G11" s="154"/>
      <c r="H11" s="126">
        <v>1</v>
      </c>
      <c r="I11" s="167" t="s">
        <v>282</v>
      </c>
      <c r="J11" s="125">
        <f>VLOOKUP(B11,Tabela_preços[[DESCRIÇÃO]:[VALOR]],3,FALSE)</f>
        <v>105.20399999999999</v>
      </c>
      <c r="K11" s="125">
        <f t="shared" si="0"/>
        <v>105.20399999999999</v>
      </c>
      <c r="L11" s="65"/>
      <c r="M11" s="65"/>
      <c r="N11" s="65"/>
      <c r="O11" s="65"/>
    </row>
    <row r="12" spans="1:15" ht="15.75" customHeight="1">
      <c r="A12" s="152" t="s">
        <v>257</v>
      </c>
      <c r="B12" s="153" t="s">
        <v>258</v>
      </c>
      <c r="C12" s="154"/>
      <c r="D12" s="154"/>
      <c r="E12" s="154"/>
      <c r="F12" s="154"/>
      <c r="G12" s="154"/>
      <c r="H12" s="126">
        <v>2</v>
      </c>
      <c r="I12" s="167" t="s">
        <v>282</v>
      </c>
      <c r="J12" s="125">
        <f>VLOOKUP(B12,Tabela_preços[[DESCRIÇÃO]:[VALOR]],3,FALSE)</f>
        <v>25</v>
      </c>
      <c r="K12" s="125">
        <f t="shared" si="0"/>
        <v>50</v>
      </c>
      <c r="L12" s="65"/>
      <c r="M12" s="65"/>
      <c r="N12" s="65"/>
      <c r="O12" s="65"/>
    </row>
    <row r="13" spans="1:15" ht="15.75" customHeight="1">
      <c r="A13" s="68"/>
      <c r="B13" s="72"/>
      <c r="C13" s="61"/>
      <c r="D13" s="61"/>
      <c r="E13" s="61"/>
      <c r="F13" s="61"/>
      <c r="G13" s="61"/>
      <c r="H13" s="68"/>
      <c r="I13" s="90"/>
      <c r="L13" s="65"/>
      <c r="M13" s="65"/>
      <c r="N13" s="65"/>
      <c r="O13" s="65"/>
    </row>
    <row r="14" spans="1:15" ht="15.75" customHeight="1">
      <c r="A14" s="121"/>
      <c r="B14" s="156" t="s">
        <v>235</v>
      </c>
      <c r="C14" s="154"/>
      <c r="D14" s="154"/>
      <c r="E14" s="119"/>
      <c r="F14" s="122"/>
      <c r="G14" s="122"/>
      <c r="H14" s="165" t="s">
        <v>222</v>
      </c>
      <c r="I14" s="166" t="s">
        <v>285</v>
      </c>
      <c r="J14" s="171" t="s">
        <v>223</v>
      </c>
      <c r="K14" s="171" t="s">
        <v>281</v>
      </c>
      <c r="L14" s="65"/>
      <c r="M14" s="65"/>
      <c r="N14" s="65"/>
      <c r="O14" s="65"/>
    </row>
    <row r="15" spans="1:15" ht="15.75" customHeight="1">
      <c r="A15" s="152" t="s">
        <v>236</v>
      </c>
      <c r="B15" s="153" t="s">
        <v>237</v>
      </c>
      <c r="C15" s="154"/>
      <c r="D15" s="154"/>
      <c r="E15" s="154"/>
      <c r="F15" s="154"/>
      <c r="G15" s="154"/>
      <c r="H15" s="126">
        <v>0.1</v>
      </c>
      <c r="I15" s="167" t="s">
        <v>282</v>
      </c>
      <c r="J15" s="125">
        <f>VLOOKUP(B15,Tabela_preços[[DESCRIÇÃO]:[VALOR]],3,FALSE)</f>
        <v>185</v>
      </c>
      <c r="K15" s="125">
        <f t="shared" ref="K15:K23" si="1">J15*H15</f>
        <v>18.5</v>
      </c>
      <c r="L15" s="65"/>
      <c r="M15" s="65"/>
      <c r="N15" s="65"/>
      <c r="O15" s="65"/>
    </row>
    <row r="16" spans="1:15" ht="15.75" customHeight="1">
      <c r="A16" s="152">
        <v>865</v>
      </c>
      <c r="B16" s="153" t="s">
        <v>305</v>
      </c>
      <c r="C16" s="154"/>
      <c r="D16" s="154"/>
      <c r="E16" s="154"/>
      <c r="F16" s="154"/>
      <c r="G16" s="154"/>
      <c r="H16" s="126">
        <v>17</v>
      </c>
      <c r="I16" s="167" t="s">
        <v>283</v>
      </c>
      <c r="J16" s="125">
        <f>VLOOKUP(B16,Tabela_preços[[DESCRIÇÃO]:[VALOR]],3,FALSE)</f>
        <v>65</v>
      </c>
      <c r="K16" s="125">
        <f t="shared" si="1"/>
        <v>1105</v>
      </c>
      <c r="L16" s="65"/>
      <c r="M16" s="65"/>
      <c r="N16" s="65"/>
      <c r="O16" s="65"/>
    </row>
    <row r="17" spans="1:15" ht="15.75" customHeight="1">
      <c r="A17" s="152" t="s">
        <v>243</v>
      </c>
      <c r="B17" s="153" t="s">
        <v>244</v>
      </c>
      <c r="C17" s="154"/>
      <c r="D17" s="154"/>
      <c r="E17" s="154"/>
      <c r="F17" s="154"/>
      <c r="G17" s="154"/>
      <c r="H17" s="126">
        <v>0.1</v>
      </c>
      <c r="I17" s="167" t="s">
        <v>287</v>
      </c>
      <c r="J17" s="125">
        <f>VLOOKUP(B17,Tabela_preços[[DESCRIÇÃO]:[VALOR]],3,FALSE)</f>
        <v>2900</v>
      </c>
      <c r="K17" s="125">
        <f t="shared" si="1"/>
        <v>290</v>
      </c>
      <c r="L17" s="65"/>
      <c r="M17" s="65"/>
      <c r="N17" s="65"/>
      <c r="O17" s="65"/>
    </row>
    <row r="18" spans="1:15" ht="15.75" customHeight="1">
      <c r="A18" s="152" t="s">
        <v>245</v>
      </c>
      <c r="B18" s="168" t="s">
        <v>302</v>
      </c>
      <c r="C18" s="154"/>
      <c r="D18" s="154"/>
      <c r="E18" s="154"/>
      <c r="F18" s="154"/>
      <c r="G18" s="154"/>
      <c r="H18" s="126">
        <v>2</v>
      </c>
      <c r="I18" s="167" t="s">
        <v>282</v>
      </c>
      <c r="J18" s="125">
        <f>VLOOKUP(B18,Tabela_preços[[DESCRIÇÃO]:[VALOR]],3,FALSE)</f>
        <v>46.15</v>
      </c>
      <c r="K18" s="125">
        <f t="shared" si="1"/>
        <v>92.3</v>
      </c>
      <c r="L18" s="65"/>
      <c r="M18" s="65"/>
      <c r="N18" s="65"/>
      <c r="O18" s="65"/>
    </row>
    <row r="19" spans="1:15" ht="15.75" customHeight="1">
      <c r="A19" s="152" t="s">
        <v>246</v>
      </c>
      <c r="B19" s="168" t="s">
        <v>297</v>
      </c>
      <c r="C19" s="154"/>
      <c r="D19" s="154"/>
      <c r="E19" s="154"/>
      <c r="F19" s="154"/>
      <c r="G19" s="154"/>
      <c r="H19" s="126">
        <v>3</v>
      </c>
      <c r="I19" s="167" t="s">
        <v>296</v>
      </c>
      <c r="J19" s="125">
        <f>VLOOKUP(B19,Tabela_preços[[DESCRIÇÃO]:[VALOR]],3,FALSE)</f>
        <v>58.65</v>
      </c>
      <c r="K19" s="125">
        <f t="shared" si="1"/>
        <v>175.95</v>
      </c>
      <c r="L19" s="65"/>
      <c r="M19" s="65"/>
      <c r="N19" s="65"/>
      <c r="O19" s="65"/>
    </row>
    <row r="20" spans="1:15" ht="15.75" customHeight="1">
      <c r="A20" s="152" t="s">
        <v>247</v>
      </c>
      <c r="B20" s="153" t="s">
        <v>261</v>
      </c>
      <c r="C20" s="154"/>
      <c r="D20" s="154"/>
      <c r="E20" s="154"/>
      <c r="F20" s="154"/>
      <c r="G20" s="154"/>
      <c r="H20" s="126">
        <v>2</v>
      </c>
      <c r="I20" s="167" t="s">
        <v>282</v>
      </c>
      <c r="J20" s="125">
        <f>VLOOKUP(B20,Tabela_preços[[DESCRIÇÃO]:[VALOR]],3,FALSE)</f>
        <v>87.706800000000001</v>
      </c>
      <c r="K20" s="125">
        <f t="shared" si="1"/>
        <v>175.4136</v>
      </c>
      <c r="L20" s="65"/>
      <c r="M20" s="65"/>
      <c r="N20" s="65"/>
      <c r="O20" s="65"/>
    </row>
    <row r="21" spans="1:15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26">
        <v>1</v>
      </c>
      <c r="I21" s="167" t="s">
        <v>282</v>
      </c>
      <c r="J21" s="125">
        <f>VLOOKUP(B21,Tabela_preços[[DESCRIÇÃO]:[VALOR]],3,FALSE)</f>
        <v>33.64</v>
      </c>
      <c r="K21" s="125">
        <f t="shared" si="1"/>
        <v>33.64</v>
      </c>
      <c r="L21" s="65"/>
      <c r="M21" s="65"/>
      <c r="N21" s="65"/>
      <c r="O21" s="65"/>
    </row>
    <row r="22" spans="1:15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26">
        <v>1</v>
      </c>
      <c r="I22" s="167" t="s">
        <v>300</v>
      </c>
      <c r="J22" s="125">
        <f>VLOOKUP(B22,Tabela_preços[[DESCRIÇÃO]:[VALOR]],3,FALSE)</f>
        <v>99</v>
      </c>
      <c r="K22" s="125">
        <f t="shared" si="1"/>
        <v>99</v>
      </c>
      <c r="L22" s="65"/>
      <c r="M22" s="65"/>
      <c r="N22" s="65"/>
      <c r="O22" s="65"/>
    </row>
    <row r="23" spans="1:15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26">
        <v>1</v>
      </c>
      <c r="I23" s="167" t="s">
        <v>300</v>
      </c>
      <c r="J23" s="125">
        <f>VLOOKUP(B23,Tabela_preços[[DESCRIÇÃO]:[VALOR]],3,FALSE)</f>
        <v>2</v>
      </c>
      <c r="K23" s="125">
        <f t="shared" si="1"/>
        <v>2</v>
      </c>
      <c r="L23" s="65"/>
      <c r="M23" s="65"/>
      <c r="N23" s="65"/>
      <c r="O23" s="65"/>
    </row>
    <row r="24" spans="1:15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26">
        <v>1</v>
      </c>
      <c r="I24" s="167" t="s">
        <v>300</v>
      </c>
      <c r="J24" s="125">
        <f>VLOOKUP(B24,Tabela_preços[[DESCRIÇÃO]:[VALOR]],3,FALSE)</f>
        <v>0.45200000000000001</v>
      </c>
      <c r="K24" s="125">
        <f t="shared" ref="K24" si="2">J24*H24</f>
        <v>0.45200000000000001</v>
      </c>
      <c r="L24" s="65"/>
      <c r="M24" s="65"/>
      <c r="N24" s="65"/>
      <c r="O24" s="65"/>
    </row>
    <row r="25" spans="1:15" ht="15.75" customHeight="1">
      <c r="A25" s="68"/>
      <c r="B25" s="72"/>
      <c r="C25" s="61"/>
      <c r="D25" s="61"/>
      <c r="E25" s="61"/>
      <c r="F25" s="61"/>
      <c r="G25" s="61"/>
      <c r="H25" s="68"/>
      <c r="I25" s="90"/>
      <c r="J25" s="172"/>
      <c r="K25" s="67"/>
      <c r="L25" s="65"/>
      <c r="M25" s="65"/>
      <c r="N25" s="65"/>
      <c r="O25" s="65"/>
    </row>
    <row r="26" spans="1:15" ht="15.75" customHeight="1">
      <c r="A26" s="121"/>
      <c r="B26" s="156" t="s">
        <v>252</v>
      </c>
      <c r="C26" s="154"/>
      <c r="D26" s="154"/>
      <c r="E26" s="119"/>
      <c r="F26" s="122"/>
      <c r="G26" s="122"/>
      <c r="H26" s="165" t="s">
        <v>222</v>
      </c>
      <c r="I26" s="166" t="s">
        <v>285</v>
      </c>
      <c r="J26" s="171" t="s">
        <v>223</v>
      </c>
      <c r="K26" s="171" t="s">
        <v>281</v>
      </c>
      <c r="L26" s="65"/>
      <c r="M26" s="65"/>
      <c r="N26" s="65"/>
      <c r="O26" s="65"/>
    </row>
    <row r="27" spans="1:15" ht="15.75" customHeight="1">
      <c r="A27" s="152" t="s">
        <v>253</v>
      </c>
      <c r="B27" s="153" t="s">
        <v>306</v>
      </c>
      <c r="C27" s="159"/>
      <c r="D27" s="159"/>
      <c r="E27" s="159"/>
      <c r="F27" s="159"/>
      <c r="G27" s="159"/>
      <c r="H27" s="169">
        <v>0.2</v>
      </c>
      <c r="I27" s="157" t="s">
        <v>300</v>
      </c>
      <c r="J27" s="125">
        <f>VLOOKUP(B27,Tabela_preços[[DESCRIÇÃO]:[VALOR]],3,FALSE)</f>
        <v>28.000000000000004</v>
      </c>
      <c r="K27" s="125">
        <f t="shared" ref="K27:K28" si="3">J27*H27</f>
        <v>5.6000000000000014</v>
      </c>
      <c r="L27" s="65"/>
      <c r="M27" s="65"/>
      <c r="N27" s="65"/>
      <c r="O27" s="65"/>
    </row>
    <row r="28" spans="1:15" ht="15.75" customHeight="1">
      <c r="A28" s="152" t="s">
        <v>254</v>
      </c>
      <c r="B28" s="153" t="s">
        <v>298</v>
      </c>
      <c r="C28" s="133"/>
      <c r="D28" s="133"/>
      <c r="E28" s="133"/>
      <c r="F28" s="133"/>
      <c r="G28" s="133"/>
      <c r="H28" s="169">
        <v>0.2</v>
      </c>
      <c r="I28" s="170" t="s">
        <v>300</v>
      </c>
      <c r="J28" s="125">
        <f>VLOOKUP(B28,Tabela_preços[[DESCRIÇÃO]:[VALOR]],3,FALSE)</f>
        <v>18</v>
      </c>
      <c r="K28" s="125">
        <f t="shared" si="3"/>
        <v>3.6</v>
      </c>
      <c r="L28" s="65"/>
      <c r="M28" s="65"/>
      <c r="N28" s="65"/>
      <c r="O28" s="65"/>
    </row>
    <row r="29" spans="1:15" ht="15">
      <c r="A29" s="78"/>
      <c r="B29" s="65"/>
      <c r="C29" s="65"/>
      <c r="D29" s="65"/>
      <c r="E29" s="65"/>
      <c r="F29" s="65"/>
      <c r="G29" s="65"/>
      <c r="H29" s="78"/>
      <c r="I29" s="134"/>
      <c r="L29" s="65"/>
      <c r="M29" s="65"/>
      <c r="N29" s="65"/>
      <c r="O29" s="65"/>
    </row>
    <row r="30" spans="1:15" ht="15">
      <c r="A30" s="78"/>
      <c r="B30" s="65"/>
      <c r="C30" s="65"/>
      <c r="D30" s="65"/>
      <c r="E30" s="65"/>
      <c r="F30" s="65"/>
      <c r="G30" s="65"/>
      <c r="H30" s="78"/>
      <c r="I30" s="134"/>
      <c r="J30" s="95" t="s">
        <v>288</v>
      </c>
      <c r="K30" s="94">
        <f>SUM(K7:K27)</f>
        <v>2738.2565999999997</v>
      </c>
      <c r="L30" s="65"/>
      <c r="M30" s="65"/>
      <c r="N30" s="65"/>
      <c r="O30" s="65"/>
    </row>
    <row r="31" spans="1:15" ht="15">
      <c r="A31" s="78"/>
      <c r="B31" s="65"/>
      <c r="C31" s="65"/>
      <c r="D31" s="65"/>
      <c r="E31" s="65"/>
      <c r="F31" s="65"/>
      <c r="G31" s="65"/>
      <c r="H31" s="78"/>
      <c r="I31" s="134"/>
      <c r="J31" s="78"/>
      <c r="K31" s="78"/>
      <c r="L31" s="65"/>
      <c r="M31" s="65"/>
      <c r="N31" s="65"/>
      <c r="O31" s="65"/>
    </row>
    <row r="32" spans="1:15" ht="15">
      <c r="A32" s="78"/>
      <c r="B32" s="65"/>
      <c r="C32" s="65"/>
      <c r="D32" s="65"/>
      <c r="E32" s="65"/>
      <c r="F32" s="65"/>
      <c r="G32" s="65"/>
      <c r="H32" s="78"/>
      <c r="I32" s="134"/>
      <c r="J32" s="78"/>
      <c r="K32" s="78"/>
      <c r="L32" s="65"/>
      <c r="M32" s="65"/>
      <c r="N32" s="65"/>
      <c r="O32" s="65"/>
    </row>
    <row r="33" spans="1:15" ht="15">
      <c r="A33" s="78"/>
      <c r="B33" s="65"/>
      <c r="C33" s="65"/>
      <c r="D33" s="65"/>
      <c r="E33" s="65"/>
      <c r="F33" s="65"/>
      <c r="G33" s="65"/>
      <c r="H33" s="78"/>
      <c r="I33" s="134"/>
      <c r="J33" s="78"/>
      <c r="K33" s="78"/>
      <c r="L33" s="65"/>
      <c r="M33" s="65"/>
      <c r="N33" s="65"/>
      <c r="O33" s="65"/>
    </row>
    <row r="34" spans="1:15" ht="15">
      <c r="A34" s="78"/>
      <c r="B34" s="65"/>
      <c r="C34" s="65"/>
      <c r="D34" s="65"/>
      <c r="E34" s="65"/>
      <c r="F34" s="65"/>
      <c r="G34" s="65"/>
      <c r="H34" s="78"/>
      <c r="I34" s="134"/>
      <c r="J34" s="78"/>
      <c r="K34" s="78"/>
      <c r="L34" s="65"/>
      <c r="M34" s="65"/>
      <c r="N34" s="65"/>
      <c r="O34" s="65"/>
    </row>
    <row r="35" spans="1:15" ht="15">
      <c r="A35" s="78"/>
      <c r="B35" s="65"/>
      <c r="C35" s="65"/>
      <c r="D35" s="65"/>
      <c r="E35" s="65"/>
      <c r="F35" s="65"/>
      <c r="G35" s="65"/>
      <c r="H35" s="78"/>
      <c r="I35" s="134"/>
      <c r="J35" s="78"/>
      <c r="K35" s="78"/>
      <c r="L35" s="65"/>
      <c r="M35" s="65"/>
      <c r="N35" s="65"/>
      <c r="O35" s="65"/>
    </row>
    <row r="36" spans="1:15" ht="15">
      <c r="A36" s="78"/>
      <c r="B36" s="65"/>
      <c r="C36" s="65"/>
      <c r="D36" s="65"/>
      <c r="E36" s="65"/>
      <c r="F36" s="65"/>
      <c r="G36" s="65"/>
      <c r="H36" s="78"/>
      <c r="I36" s="134"/>
      <c r="J36" s="78"/>
      <c r="K36" s="78"/>
      <c r="L36" s="65"/>
      <c r="M36" s="65"/>
      <c r="N36" s="65"/>
      <c r="O36" s="65"/>
    </row>
    <row r="37" spans="1:15" ht="15">
      <c r="A37" s="78"/>
      <c r="B37" s="65"/>
      <c r="C37" s="65"/>
      <c r="D37" s="65"/>
      <c r="E37" s="65"/>
      <c r="F37" s="65"/>
      <c r="G37" s="65"/>
      <c r="H37" s="78"/>
      <c r="I37" s="134"/>
      <c r="J37" s="78"/>
      <c r="K37" s="78"/>
      <c r="L37" s="65"/>
      <c r="M37" s="65"/>
      <c r="N37" s="65"/>
      <c r="O37" s="65"/>
    </row>
    <row r="38" spans="1:15" ht="15">
      <c r="A38" s="78"/>
      <c r="B38" s="65"/>
      <c r="C38" s="65"/>
      <c r="D38" s="65"/>
      <c r="E38" s="65"/>
      <c r="F38" s="65"/>
      <c r="G38" s="65"/>
      <c r="H38" s="78"/>
      <c r="I38" s="134"/>
      <c r="J38" s="78"/>
      <c r="K38" s="78"/>
      <c r="L38" s="65"/>
      <c r="M38" s="65"/>
      <c r="N38" s="65"/>
      <c r="O38" s="65"/>
    </row>
    <row r="39" spans="1:15" ht="15">
      <c r="A39" s="78"/>
      <c r="B39" s="65"/>
      <c r="C39" s="65"/>
      <c r="D39" s="65"/>
      <c r="E39" s="65"/>
      <c r="F39" s="65"/>
      <c r="G39" s="65"/>
      <c r="H39" s="78"/>
      <c r="I39" s="134"/>
      <c r="J39" s="78"/>
      <c r="K39" s="78"/>
      <c r="L39" s="65"/>
      <c r="M39" s="65"/>
      <c r="N39" s="65"/>
      <c r="O39" s="65"/>
    </row>
    <row r="40" spans="1:15" ht="15">
      <c r="A40" s="78"/>
      <c r="B40" s="65"/>
      <c r="C40" s="65"/>
      <c r="D40" s="65"/>
      <c r="E40" s="65"/>
      <c r="F40" s="65"/>
      <c r="G40" s="65"/>
      <c r="H40" s="78"/>
      <c r="I40" s="134"/>
      <c r="J40" s="78"/>
      <c r="K40" s="78"/>
      <c r="L40" s="65"/>
      <c r="M40" s="65"/>
      <c r="N40" s="65"/>
      <c r="O40" s="65"/>
    </row>
    <row r="41" spans="1:15" ht="15">
      <c r="A41" s="78"/>
      <c r="B41" s="65"/>
      <c r="C41" s="65"/>
      <c r="D41" s="65"/>
      <c r="E41" s="65"/>
      <c r="F41" s="65"/>
      <c r="G41" s="65"/>
      <c r="H41" s="78"/>
      <c r="I41" s="134"/>
      <c r="J41" s="78"/>
      <c r="K41" s="78"/>
      <c r="L41" s="65"/>
      <c r="M41" s="65"/>
      <c r="N41" s="65"/>
      <c r="O41" s="65"/>
    </row>
    <row r="42" spans="1:15" ht="15">
      <c r="A42" s="78"/>
      <c r="B42" s="65"/>
      <c r="C42" s="65"/>
      <c r="D42" s="65"/>
      <c r="E42" s="65"/>
      <c r="F42" s="65"/>
      <c r="G42" s="65"/>
      <c r="H42" s="78"/>
      <c r="I42" s="134"/>
      <c r="J42" s="78"/>
      <c r="K42" s="78"/>
      <c r="L42" s="65"/>
      <c r="M42" s="65"/>
      <c r="N42" s="65"/>
      <c r="O42" s="65"/>
    </row>
    <row r="43" spans="1:15" ht="15">
      <c r="A43" s="78"/>
      <c r="B43" s="65"/>
      <c r="C43" s="65"/>
      <c r="D43" s="65"/>
      <c r="E43" s="65"/>
      <c r="F43" s="65"/>
      <c r="G43" s="65"/>
      <c r="H43" s="78"/>
      <c r="I43" s="134"/>
      <c r="J43" s="78"/>
      <c r="K43" s="78"/>
      <c r="L43" s="65"/>
      <c r="M43" s="65"/>
      <c r="N43" s="65"/>
      <c r="O43" s="65"/>
    </row>
    <row r="44" spans="1:15" ht="15">
      <c r="A44" s="78"/>
      <c r="B44" s="65"/>
      <c r="C44" s="65"/>
      <c r="D44" s="65"/>
      <c r="E44" s="65"/>
      <c r="F44" s="65"/>
      <c r="G44" s="65"/>
      <c r="H44" s="78"/>
      <c r="I44" s="134"/>
      <c r="J44" s="78"/>
      <c r="K44" s="78"/>
      <c r="L44" s="65"/>
      <c r="M44" s="65"/>
      <c r="N44" s="65"/>
      <c r="O44" s="65"/>
    </row>
    <row r="45" spans="1:15" ht="15">
      <c r="A45" s="78"/>
      <c r="B45" s="65"/>
      <c r="C45" s="65"/>
      <c r="D45" s="65"/>
      <c r="E45" s="65"/>
      <c r="F45" s="65"/>
      <c r="G45" s="65"/>
      <c r="H45" s="78"/>
      <c r="I45" s="134"/>
      <c r="J45" s="78"/>
      <c r="K45" s="78"/>
      <c r="L45" s="65"/>
      <c r="M45" s="65"/>
      <c r="N45" s="65"/>
      <c r="O45" s="65"/>
    </row>
    <row r="46" spans="1:15" ht="15">
      <c r="A46" s="78"/>
      <c r="B46" s="65"/>
      <c r="C46" s="65"/>
      <c r="D46" s="65"/>
      <c r="E46" s="65"/>
      <c r="F46" s="65"/>
      <c r="G46" s="65"/>
      <c r="H46" s="78"/>
      <c r="I46" s="134"/>
      <c r="J46" s="78"/>
      <c r="K46" s="78"/>
      <c r="L46" s="65"/>
      <c r="M46" s="65"/>
      <c r="N46" s="65"/>
      <c r="O46" s="65"/>
    </row>
    <row r="47" spans="1:15" ht="15">
      <c r="A47" s="78"/>
      <c r="B47" s="65"/>
      <c r="C47" s="65"/>
      <c r="D47" s="65"/>
      <c r="E47" s="65"/>
      <c r="F47" s="65"/>
      <c r="G47" s="65"/>
      <c r="H47" s="78"/>
      <c r="I47" s="134"/>
      <c r="J47" s="78"/>
      <c r="K47" s="78"/>
      <c r="L47" s="65"/>
      <c r="M47" s="65"/>
      <c r="N47" s="65"/>
      <c r="O47" s="65"/>
    </row>
    <row r="48" spans="1:15" ht="15">
      <c r="A48" s="78"/>
      <c r="B48" s="65"/>
      <c r="C48" s="65"/>
      <c r="D48" s="65"/>
      <c r="E48" s="65"/>
      <c r="F48" s="65"/>
      <c r="G48" s="65"/>
      <c r="H48" s="78"/>
      <c r="I48" s="134"/>
      <c r="J48" s="78"/>
      <c r="K48" s="78"/>
      <c r="L48" s="65"/>
      <c r="M48" s="65"/>
      <c r="N48" s="65"/>
      <c r="O48" s="65"/>
    </row>
    <row r="49" spans="1:15" ht="15">
      <c r="A49" s="78"/>
      <c r="B49" s="65"/>
      <c r="C49" s="65"/>
      <c r="D49" s="65"/>
      <c r="E49" s="65"/>
      <c r="F49" s="65"/>
      <c r="G49" s="65"/>
      <c r="H49" s="78"/>
      <c r="I49" s="134"/>
      <c r="J49" s="78"/>
      <c r="K49" s="78"/>
      <c r="L49" s="65"/>
      <c r="M49" s="65"/>
      <c r="N49" s="65"/>
      <c r="O49" s="65"/>
    </row>
    <row r="50" spans="1:15" ht="15">
      <c r="A50" s="78"/>
      <c r="B50" s="65"/>
      <c r="C50" s="65"/>
      <c r="D50" s="65"/>
      <c r="E50" s="65"/>
      <c r="F50" s="65"/>
      <c r="G50" s="65"/>
      <c r="H50" s="78"/>
      <c r="I50" s="134"/>
      <c r="J50" s="78"/>
      <c r="K50" s="78"/>
      <c r="L50" s="65"/>
      <c r="M50" s="65"/>
      <c r="N50" s="65"/>
      <c r="O50" s="65"/>
    </row>
    <row r="51" spans="1:15" ht="15">
      <c r="A51" s="78"/>
      <c r="B51" s="65"/>
      <c r="C51" s="65"/>
      <c r="D51" s="65"/>
      <c r="E51" s="65"/>
      <c r="F51" s="65"/>
      <c r="G51" s="65"/>
      <c r="H51" s="78"/>
      <c r="I51" s="134"/>
      <c r="J51" s="78"/>
      <c r="K51" s="78"/>
      <c r="L51" s="65"/>
      <c r="M51" s="65"/>
      <c r="N51" s="65"/>
      <c r="O51" s="65"/>
    </row>
    <row r="52" spans="1:15" ht="15">
      <c r="A52" s="78"/>
      <c r="B52" s="65"/>
      <c r="C52" s="65"/>
      <c r="D52" s="65"/>
      <c r="E52" s="65"/>
      <c r="F52" s="65"/>
      <c r="G52" s="65"/>
      <c r="H52" s="78"/>
      <c r="I52" s="134"/>
      <c r="J52" s="78"/>
      <c r="K52" s="78"/>
      <c r="L52" s="65"/>
      <c r="M52" s="65"/>
      <c r="N52" s="65"/>
      <c r="O52" s="65"/>
    </row>
    <row r="53" spans="1:15" ht="15">
      <c r="A53" s="78"/>
      <c r="B53" s="65"/>
      <c r="C53" s="65"/>
      <c r="D53" s="65"/>
      <c r="E53" s="65"/>
      <c r="F53" s="65"/>
      <c r="G53" s="65"/>
      <c r="H53" s="78"/>
      <c r="I53" s="134"/>
      <c r="J53" s="78"/>
      <c r="K53" s="78"/>
      <c r="L53" s="65"/>
      <c r="M53" s="65"/>
      <c r="N53" s="65"/>
      <c r="O53" s="65"/>
    </row>
    <row r="54" spans="1:15" ht="15">
      <c r="A54" s="78"/>
      <c r="B54" s="65"/>
      <c r="C54" s="65"/>
      <c r="D54" s="65"/>
      <c r="E54" s="65"/>
      <c r="F54" s="65"/>
      <c r="G54" s="65"/>
      <c r="H54" s="78"/>
      <c r="I54" s="134"/>
      <c r="J54" s="78"/>
      <c r="K54" s="78"/>
      <c r="L54" s="65"/>
      <c r="M54" s="65"/>
      <c r="N54" s="65"/>
      <c r="O54" s="65"/>
    </row>
    <row r="55" spans="1:15" ht="15">
      <c r="A55" s="78"/>
      <c r="B55" s="65"/>
      <c r="C55" s="65"/>
      <c r="D55" s="65"/>
      <c r="E55" s="65"/>
      <c r="F55" s="65"/>
      <c r="G55" s="65"/>
      <c r="H55" s="78"/>
      <c r="I55" s="134"/>
      <c r="J55" s="78"/>
      <c r="K55" s="78"/>
      <c r="L55" s="65"/>
      <c r="M55" s="65"/>
      <c r="N55" s="65"/>
      <c r="O55" s="65"/>
    </row>
    <row r="56" spans="1:15" ht="15">
      <c r="A56" s="78"/>
      <c r="B56" s="65"/>
      <c r="C56" s="65"/>
      <c r="D56" s="65"/>
      <c r="E56" s="65"/>
      <c r="F56" s="65"/>
      <c r="G56" s="65"/>
      <c r="H56" s="78"/>
      <c r="I56" s="134"/>
      <c r="J56" s="78"/>
      <c r="K56" s="78"/>
      <c r="L56" s="65"/>
      <c r="M56" s="65"/>
      <c r="N56" s="65"/>
      <c r="O56" s="65"/>
    </row>
    <row r="57" spans="1:15" ht="15">
      <c r="A57" s="78"/>
      <c r="B57" s="65"/>
      <c r="C57" s="65"/>
      <c r="D57" s="65"/>
      <c r="E57" s="65"/>
      <c r="F57" s="65"/>
      <c r="G57" s="65"/>
      <c r="H57" s="78"/>
      <c r="I57" s="134"/>
      <c r="J57" s="78"/>
      <c r="K57" s="78"/>
      <c r="L57" s="65"/>
      <c r="M57" s="65"/>
      <c r="N57" s="65"/>
      <c r="O57" s="65"/>
    </row>
    <row r="58" spans="1:15" ht="15">
      <c r="A58" s="78"/>
      <c r="B58" s="65"/>
      <c r="C58" s="65"/>
      <c r="D58" s="65"/>
      <c r="E58" s="65"/>
      <c r="F58" s="65"/>
      <c r="G58" s="65"/>
      <c r="H58" s="78"/>
      <c r="I58" s="134"/>
      <c r="J58" s="78"/>
      <c r="K58" s="78"/>
      <c r="L58" s="65"/>
      <c r="M58" s="65"/>
      <c r="N58" s="65"/>
      <c r="O58" s="65"/>
    </row>
    <row r="59" spans="1:15" ht="15">
      <c r="A59" s="78"/>
      <c r="B59" s="65"/>
      <c r="C59" s="65"/>
      <c r="D59" s="65"/>
      <c r="E59" s="65"/>
      <c r="F59" s="65"/>
      <c r="G59" s="65"/>
      <c r="H59" s="78"/>
      <c r="I59" s="134"/>
      <c r="J59" s="78"/>
      <c r="K59" s="78"/>
      <c r="L59" s="65"/>
      <c r="M59" s="65"/>
      <c r="N59" s="65"/>
      <c r="O59" s="65"/>
    </row>
    <row r="60" spans="1:15" ht="15">
      <c r="A60" s="78"/>
      <c r="B60" s="65"/>
      <c r="C60" s="65"/>
      <c r="D60" s="65"/>
      <c r="E60" s="65"/>
      <c r="F60" s="65"/>
      <c r="G60" s="65"/>
      <c r="H60" s="78"/>
      <c r="I60" s="134"/>
      <c r="J60" s="78"/>
      <c r="K60" s="78"/>
      <c r="L60" s="65"/>
      <c r="M60" s="65"/>
      <c r="N60" s="65"/>
      <c r="O60" s="65"/>
    </row>
    <row r="61" spans="1:15" ht="15">
      <c r="A61" s="78"/>
      <c r="B61" s="65"/>
      <c r="C61" s="65"/>
      <c r="D61" s="65"/>
      <c r="E61" s="65"/>
      <c r="F61" s="65"/>
      <c r="G61" s="65"/>
      <c r="H61" s="78"/>
      <c r="I61" s="134"/>
      <c r="J61" s="78"/>
      <c r="K61" s="78"/>
      <c r="L61" s="65"/>
      <c r="M61" s="65"/>
      <c r="N61" s="65"/>
      <c r="O61" s="65"/>
    </row>
    <row r="62" spans="1:15" ht="15">
      <c r="A62" s="78"/>
      <c r="B62" s="65"/>
      <c r="C62" s="65"/>
      <c r="D62" s="65"/>
      <c r="E62" s="65"/>
      <c r="F62" s="65"/>
      <c r="G62" s="65"/>
      <c r="H62" s="78"/>
      <c r="I62" s="134"/>
      <c r="J62" s="78"/>
      <c r="K62" s="78"/>
      <c r="L62" s="65"/>
      <c r="M62" s="65"/>
      <c r="N62" s="65"/>
      <c r="O62" s="65"/>
    </row>
    <row r="63" spans="1:15" ht="15">
      <c r="A63" s="78"/>
      <c r="B63" s="65"/>
      <c r="C63" s="65"/>
      <c r="D63" s="65"/>
      <c r="E63" s="65"/>
      <c r="F63" s="65"/>
      <c r="G63" s="65"/>
      <c r="H63" s="78"/>
      <c r="I63" s="134"/>
      <c r="J63" s="78"/>
      <c r="K63" s="78"/>
      <c r="L63" s="65"/>
      <c r="M63" s="65"/>
      <c r="N63" s="65"/>
      <c r="O63" s="65"/>
    </row>
    <row r="64" spans="1:15" ht="15">
      <c r="A64" s="78"/>
      <c r="B64" s="65"/>
      <c r="C64" s="65"/>
      <c r="D64" s="65"/>
      <c r="E64" s="65"/>
      <c r="F64" s="65"/>
      <c r="G64" s="65"/>
      <c r="H64" s="78"/>
      <c r="I64" s="134"/>
      <c r="J64" s="78"/>
      <c r="K64" s="78"/>
      <c r="L64" s="65"/>
      <c r="M64" s="65"/>
      <c r="N64" s="65"/>
      <c r="O64" s="65"/>
    </row>
    <row r="65" spans="1:15" ht="15">
      <c r="A65" s="78"/>
      <c r="B65" s="65"/>
      <c r="C65" s="65"/>
      <c r="D65" s="65"/>
      <c r="E65" s="65"/>
      <c r="F65" s="65"/>
      <c r="G65" s="65"/>
      <c r="H65" s="78"/>
      <c r="I65" s="134"/>
      <c r="J65" s="78"/>
      <c r="K65" s="78"/>
      <c r="L65" s="65"/>
      <c r="M65" s="65"/>
      <c r="N65" s="65"/>
      <c r="O65" s="65"/>
    </row>
    <row r="66" spans="1:15" ht="15">
      <c r="A66" s="78"/>
      <c r="B66" s="65"/>
      <c r="C66" s="65"/>
      <c r="D66" s="65"/>
      <c r="E66" s="65"/>
      <c r="F66" s="65"/>
      <c r="G66" s="65"/>
      <c r="H66" s="78"/>
      <c r="I66" s="134"/>
      <c r="J66" s="78"/>
      <c r="K66" s="78"/>
      <c r="L66" s="65"/>
      <c r="M66" s="65"/>
      <c r="N66" s="65"/>
      <c r="O66" s="65"/>
    </row>
    <row r="67" spans="1:15" ht="15">
      <c r="A67" s="78"/>
      <c r="B67" s="65"/>
      <c r="C67" s="65"/>
      <c r="D67" s="65"/>
      <c r="E67" s="65"/>
      <c r="F67" s="65"/>
      <c r="G67" s="65"/>
      <c r="H67" s="78"/>
      <c r="I67" s="134"/>
      <c r="J67" s="78"/>
      <c r="K67" s="78"/>
      <c r="L67" s="65"/>
      <c r="M67" s="65"/>
      <c r="N67" s="65"/>
      <c r="O67" s="65"/>
    </row>
    <row r="68" spans="1:15" ht="15">
      <c r="A68" s="78"/>
      <c r="B68" s="65"/>
      <c r="C68" s="65"/>
      <c r="D68" s="65"/>
      <c r="E68" s="65"/>
      <c r="F68" s="65"/>
      <c r="G68" s="65"/>
      <c r="H68" s="78"/>
      <c r="I68" s="134"/>
      <c r="J68" s="78"/>
      <c r="K68" s="78"/>
      <c r="L68" s="65"/>
      <c r="M68" s="65"/>
      <c r="N68" s="65"/>
      <c r="O68" s="65"/>
    </row>
    <row r="69" spans="1:15" ht="15">
      <c r="A69" s="78"/>
      <c r="B69" s="65"/>
      <c r="C69" s="65"/>
      <c r="D69" s="65"/>
      <c r="E69" s="65"/>
      <c r="F69" s="65"/>
      <c r="G69" s="65"/>
      <c r="H69" s="78"/>
      <c r="I69" s="134"/>
      <c r="J69" s="78"/>
      <c r="K69" s="78"/>
      <c r="L69" s="65"/>
      <c r="M69" s="65"/>
      <c r="N69" s="65"/>
      <c r="O69" s="65"/>
    </row>
    <row r="70" spans="1:15" ht="15">
      <c r="A70" s="78"/>
      <c r="B70" s="65"/>
      <c r="C70" s="65"/>
      <c r="D70" s="65"/>
      <c r="E70" s="65"/>
      <c r="F70" s="65"/>
      <c r="G70" s="65"/>
      <c r="H70" s="78"/>
      <c r="I70" s="134"/>
      <c r="J70" s="78"/>
      <c r="K70" s="78"/>
      <c r="L70" s="65"/>
      <c r="M70" s="65"/>
      <c r="N70" s="65"/>
      <c r="O70" s="65"/>
    </row>
    <row r="71" spans="1:15" ht="15">
      <c r="A71" s="78"/>
      <c r="B71" s="65"/>
      <c r="C71" s="65"/>
      <c r="D71" s="65"/>
      <c r="E71" s="65"/>
      <c r="F71" s="65"/>
      <c r="G71" s="65"/>
      <c r="H71" s="78"/>
      <c r="I71" s="134"/>
      <c r="J71" s="78"/>
      <c r="K71" s="78"/>
      <c r="L71" s="65"/>
      <c r="M71" s="65"/>
      <c r="N71" s="65"/>
      <c r="O71" s="65"/>
    </row>
    <row r="72" spans="1:15" ht="15">
      <c r="A72" s="78"/>
      <c r="B72" s="65"/>
      <c r="C72" s="65"/>
      <c r="D72" s="65"/>
      <c r="E72" s="65"/>
      <c r="F72" s="65"/>
      <c r="G72" s="65"/>
      <c r="H72" s="78"/>
      <c r="I72" s="134"/>
      <c r="J72" s="78"/>
      <c r="K72" s="78"/>
      <c r="L72" s="65"/>
      <c r="M72" s="65"/>
      <c r="N72" s="65"/>
      <c r="O72" s="65"/>
    </row>
    <row r="73" spans="1:15" ht="15">
      <c r="A73" s="78"/>
      <c r="B73" s="65"/>
      <c r="C73" s="65"/>
      <c r="D73" s="65"/>
      <c r="E73" s="65"/>
      <c r="F73" s="65"/>
      <c r="G73" s="65"/>
      <c r="H73" s="78"/>
      <c r="I73" s="134"/>
      <c r="J73" s="78"/>
      <c r="K73" s="78"/>
      <c r="L73" s="65"/>
      <c r="M73" s="65"/>
      <c r="N73" s="65"/>
      <c r="O73" s="65"/>
    </row>
    <row r="74" spans="1:15" ht="15">
      <c r="A74" s="78"/>
      <c r="B74" s="65"/>
      <c r="C74" s="65"/>
      <c r="D74" s="65"/>
      <c r="E74" s="65"/>
      <c r="F74" s="65"/>
      <c r="G74" s="65"/>
      <c r="H74" s="78"/>
      <c r="I74" s="134"/>
      <c r="J74" s="78"/>
      <c r="K74" s="78"/>
      <c r="L74" s="65"/>
      <c r="M74" s="65"/>
      <c r="N74" s="65"/>
      <c r="O74" s="65"/>
    </row>
    <row r="75" spans="1:15" ht="15">
      <c r="A75" s="78"/>
      <c r="B75" s="65"/>
      <c r="C75" s="65"/>
      <c r="D75" s="65"/>
      <c r="E75" s="65"/>
      <c r="F75" s="65"/>
      <c r="G75" s="65"/>
      <c r="H75" s="78"/>
      <c r="I75" s="134"/>
      <c r="J75" s="78"/>
      <c r="K75" s="78"/>
      <c r="L75" s="65"/>
      <c r="M75" s="65"/>
      <c r="N75" s="65"/>
      <c r="O75" s="65"/>
    </row>
    <row r="76" spans="1:15" ht="15">
      <c r="A76" s="78"/>
      <c r="B76" s="65"/>
      <c r="C76" s="65"/>
      <c r="D76" s="65"/>
      <c r="E76" s="65"/>
      <c r="F76" s="65"/>
      <c r="G76" s="65"/>
      <c r="H76" s="78"/>
      <c r="I76" s="134"/>
      <c r="J76" s="78"/>
      <c r="K76" s="78"/>
      <c r="L76" s="65"/>
      <c r="M76" s="65"/>
      <c r="N76" s="65"/>
      <c r="O76" s="65"/>
    </row>
    <row r="77" spans="1:15" ht="15">
      <c r="A77" s="78"/>
      <c r="B77" s="65"/>
      <c r="C77" s="65"/>
      <c r="D77" s="65"/>
      <c r="E77" s="65"/>
      <c r="F77" s="65"/>
      <c r="G77" s="65"/>
      <c r="H77" s="78"/>
      <c r="I77" s="134"/>
      <c r="J77" s="78"/>
      <c r="K77" s="78"/>
      <c r="L77" s="65"/>
      <c r="M77" s="65"/>
      <c r="N77" s="65"/>
      <c r="O77" s="65"/>
    </row>
    <row r="78" spans="1:15" ht="15">
      <c r="A78" s="78"/>
      <c r="B78" s="65"/>
      <c r="C78" s="65"/>
      <c r="D78" s="65"/>
      <c r="E78" s="65"/>
      <c r="F78" s="65"/>
      <c r="G78" s="65"/>
      <c r="H78" s="78"/>
      <c r="I78" s="134"/>
      <c r="J78" s="78"/>
      <c r="K78" s="78"/>
      <c r="L78" s="65"/>
      <c r="M78" s="65"/>
      <c r="N78" s="65"/>
      <c r="O78" s="65"/>
    </row>
    <row r="79" spans="1:15" ht="15">
      <c r="A79" s="78"/>
      <c r="B79" s="65"/>
      <c r="C79" s="65"/>
      <c r="D79" s="65"/>
      <c r="E79" s="65"/>
      <c r="F79" s="65"/>
      <c r="G79" s="65"/>
      <c r="H79" s="78"/>
      <c r="I79" s="134"/>
      <c r="J79" s="78"/>
      <c r="K79" s="78"/>
      <c r="L79" s="65"/>
      <c r="M79" s="65"/>
      <c r="N79" s="65"/>
      <c r="O79" s="65"/>
    </row>
    <row r="80" spans="1:15" ht="15">
      <c r="A80" s="78"/>
      <c r="B80" s="65"/>
      <c r="C80" s="65"/>
      <c r="D80" s="65"/>
      <c r="E80" s="65"/>
      <c r="F80" s="65"/>
      <c r="G80" s="65"/>
      <c r="H80" s="78"/>
      <c r="I80" s="134"/>
      <c r="J80" s="78"/>
      <c r="K80" s="78"/>
      <c r="L80" s="65"/>
      <c r="M80" s="65"/>
      <c r="N80" s="65"/>
      <c r="O80" s="65"/>
    </row>
    <row r="81" spans="1:15" ht="15">
      <c r="A81" s="78"/>
      <c r="B81" s="65"/>
      <c r="C81" s="65"/>
      <c r="D81" s="65"/>
      <c r="E81" s="65"/>
      <c r="F81" s="65"/>
      <c r="G81" s="65"/>
      <c r="H81" s="78"/>
      <c r="I81" s="134"/>
      <c r="J81" s="78"/>
      <c r="K81" s="78"/>
      <c r="L81" s="65"/>
      <c r="M81" s="65"/>
      <c r="N81" s="65"/>
      <c r="O81" s="65"/>
    </row>
    <row r="82" spans="1:15" ht="15">
      <c r="A82" s="78"/>
      <c r="B82" s="65"/>
      <c r="C82" s="65"/>
      <c r="D82" s="65"/>
      <c r="E82" s="65"/>
      <c r="F82" s="65"/>
      <c r="G82" s="65"/>
      <c r="H82" s="78"/>
      <c r="I82" s="134"/>
      <c r="J82" s="78"/>
      <c r="K82" s="78"/>
      <c r="L82" s="65"/>
      <c r="M82" s="65"/>
      <c r="N82" s="65"/>
      <c r="O82" s="65"/>
    </row>
    <row r="83" spans="1:15" ht="15">
      <c r="A83" s="78"/>
      <c r="B83" s="65"/>
      <c r="C83" s="65"/>
      <c r="D83" s="65"/>
      <c r="E83" s="65"/>
      <c r="F83" s="65"/>
      <c r="G83" s="65"/>
      <c r="H83" s="78"/>
      <c r="I83" s="134"/>
      <c r="J83" s="78"/>
      <c r="K83" s="78"/>
      <c r="L83" s="65"/>
      <c r="M83" s="65"/>
      <c r="N83" s="65"/>
      <c r="O83" s="65"/>
    </row>
    <row r="84" spans="1:15" ht="15">
      <c r="A84" s="78"/>
      <c r="B84" s="65"/>
      <c r="C84" s="65"/>
      <c r="D84" s="65"/>
      <c r="E84" s="65"/>
      <c r="F84" s="65"/>
      <c r="G84" s="65"/>
      <c r="H84" s="78"/>
      <c r="I84" s="134"/>
      <c r="J84" s="78"/>
      <c r="K84" s="78"/>
      <c r="L84" s="65"/>
      <c r="M84" s="65"/>
      <c r="N84" s="65"/>
      <c r="O84" s="65"/>
    </row>
    <row r="85" spans="1:15" ht="15">
      <c r="A85" s="78"/>
      <c r="B85" s="65"/>
      <c r="C85" s="65"/>
      <c r="D85" s="65"/>
      <c r="E85" s="65"/>
      <c r="F85" s="65"/>
      <c r="G85" s="65"/>
      <c r="H85" s="78"/>
      <c r="I85" s="134"/>
      <c r="J85" s="78"/>
      <c r="K85" s="78"/>
      <c r="L85" s="65"/>
      <c r="M85" s="65"/>
      <c r="N85" s="65"/>
      <c r="O85" s="65"/>
    </row>
    <row r="86" spans="1:15" ht="15">
      <c r="A86" s="78"/>
      <c r="B86" s="65"/>
      <c r="C86" s="65"/>
      <c r="D86" s="65"/>
      <c r="E86" s="65"/>
      <c r="F86" s="65"/>
      <c r="G86" s="65"/>
      <c r="H86" s="78"/>
      <c r="I86" s="134"/>
      <c r="J86" s="78"/>
      <c r="K86" s="78"/>
      <c r="L86" s="65"/>
      <c r="M86" s="65"/>
      <c r="N86" s="65"/>
      <c r="O86" s="65"/>
    </row>
    <row r="87" spans="1:15" ht="15">
      <c r="A87" s="78"/>
      <c r="B87" s="65"/>
      <c r="C87" s="65"/>
      <c r="D87" s="65"/>
      <c r="E87" s="65"/>
      <c r="F87" s="65"/>
      <c r="G87" s="65"/>
      <c r="H87" s="78"/>
      <c r="I87" s="134"/>
      <c r="J87" s="78"/>
      <c r="K87" s="78"/>
      <c r="L87" s="65"/>
      <c r="M87" s="65"/>
      <c r="N87" s="65"/>
      <c r="O87" s="65"/>
    </row>
    <row r="88" spans="1:15" ht="15">
      <c r="A88" s="78"/>
      <c r="B88" s="65"/>
      <c r="C88" s="65"/>
      <c r="D88" s="65"/>
      <c r="E88" s="65"/>
      <c r="F88" s="65"/>
      <c r="G88" s="65"/>
      <c r="H88" s="78"/>
      <c r="I88" s="134"/>
      <c r="J88" s="78"/>
      <c r="K88" s="78"/>
      <c r="L88" s="65"/>
      <c r="M88" s="65"/>
      <c r="N88" s="65"/>
      <c r="O88" s="65"/>
    </row>
    <row r="89" spans="1:15" ht="15">
      <c r="A89" s="78"/>
      <c r="B89" s="65"/>
      <c r="C89" s="65"/>
      <c r="D89" s="65"/>
      <c r="E89" s="65"/>
      <c r="F89" s="65"/>
      <c r="G89" s="65"/>
      <c r="H89" s="78"/>
      <c r="I89" s="134"/>
      <c r="J89" s="78"/>
      <c r="K89" s="78"/>
      <c r="L89" s="65"/>
      <c r="M89" s="65"/>
      <c r="N89" s="65"/>
      <c r="O89" s="65"/>
    </row>
    <row r="90" spans="1:15" ht="15">
      <c r="A90" s="78"/>
      <c r="B90" s="65"/>
      <c r="C90" s="65"/>
      <c r="D90" s="65"/>
      <c r="E90" s="65"/>
      <c r="F90" s="65"/>
      <c r="G90" s="65"/>
      <c r="H90" s="78"/>
      <c r="I90" s="134"/>
      <c r="J90" s="78"/>
      <c r="K90" s="78"/>
      <c r="L90" s="65"/>
      <c r="M90" s="65"/>
      <c r="N90" s="65"/>
      <c r="O90" s="65"/>
    </row>
    <row r="91" spans="1:15" ht="15">
      <c r="A91" s="78"/>
      <c r="B91" s="65"/>
      <c r="C91" s="65"/>
      <c r="D91" s="65"/>
      <c r="E91" s="65"/>
      <c r="F91" s="65"/>
      <c r="G91" s="65"/>
      <c r="H91" s="78"/>
      <c r="I91" s="134"/>
      <c r="J91" s="78"/>
      <c r="K91" s="78"/>
      <c r="L91" s="65"/>
      <c r="M91" s="65"/>
      <c r="N91" s="65"/>
      <c r="O91" s="65"/>
    </row>
    <row r="92" spans="1:15" ht="15">
      <c r="A92" s="78"/>
      <c r="B92" s="65"/>
      <c r="C92" s="65"/>
      <c r="D92" s="65"/>
      <c r="E92" s="65"/>
      <c r="F92" s="65"/>
      <c r="G92" s="65"/>
      <c r="H92" s="78"/>
      <c r="I92" s="134"/>
      <c r="J92" s="78"/>
      <c r="K92" s="78"/>
      <c r="L92" s="65"/>
      <c r="M92" s="65"/>
      <c r="N92" s="65"/>
      <c r="O92" s="65"/>
    </row>
    <row r="93" spans="1:15" ht="15">
      <c r="A93" s="78"/>
      <c r="B93" s="65"/>
      <c r="C93" s="65"/>
      <c r="D93" s="65"/>
      <c r="E93" s="65"/>
      <c r="F93" s="65"/>
      <c r="G93" s="65"/>
      <c r="H93" s="78"/>
      <c r="I93" s="134"/>
      <c r="J93" s="78"/>
      <c r="K93" s="78"/>
      <c r="L93" s="65"/>
      <c r="M93" s="65"/>
      <c r="N93" s="65"/>
      <c r="O93" s="65"/>
    </row>
    <row r="94" spans="1:15" ht="15">
      <c r="A94" s="78"/>
      <c r="B94" s="65"/>
      <c r="C94" s="65"/>
      <c r="D94" s="65"/>
      <c r="E94" s="65"/>
      <c r="F94" s="65"/>
      <c r="G94" s="65"/>
      <c r="H94" s="78"/>
      <c r="I94" s="134"/>
      <c r="J94" s="78"/>
      <c r="K94" s="78"/>
      <c r="L94" s="65"/>
      <c r="M94" s="65"/>
      <c r="N94" s="65"/>
      <c r="O94" s="65"/>
    </row>
    <row r="95" spans="1:15" ht="15">
      <c r="A95" s="78"/>
      <c r="B95" s="65"/>
      <c r="C95" s="65"/>
      <c r="D95" s="65"/>
      <c r="E95" s="65"/>
      <c r="F95" s="65"/>
      <c r="G95" s="65"/>
      <c r="H95" s="78"/>
      <c r="I95" s="134"/>
      <c r="J95" s="78"/>
      <c r="K95" s="78"/>
      <c r="L95" s="65"/>
      <c r="M95" s="65"/>
      <c r="N95" s="65"/>
      <c r="O95" s="65"/>
    </row>
    <row r="96" spans="1:15" ht="15">
      <c r="A96" s="78"/>
      <c r="B96" s="65"/>
      <c r="C96" s="65"/>
      <c r="D96" s="65"/>
      <c r="E96" s="65"/>
      <c r="F96" s="65"/>
      <c r="G96" s="65"/>
      <c r="H96" s="78"/>
      <c r="I96" s="134"/>
      <c r="J96" s="78"/>
      <c r="K96" s="78"/>
      <c r="L96" s="65"/>
      <c r="M96" s="65"/>
      <c r="N96" s="65"/>
      <c r="O96" s="65"/>
    </row>
    <row r="97" spans="1:15" ht="15">
      <c r="A97" s="78"/>
      <c r="B97" s="65"/>
      <c r="C97" s="65"/>
      <c r="D97" s="65"/>
      <c r="E97" s="65"/>
      <c r="F97" s="65"/>
      <c r="G97" s="65"/>
      <c r="H97" s="78"/>
      <c r="I97" s="134"/>
      <c r="J97" s="78"/>
      <c r="K97" s="78"/>
      <c r="L97" s="65"/>
      <c r="M97" s="65"/>
      <c r="N97" s="65"/>
      <c r="O97" s="65"/>
    </row>
    <row r="98" spans="1:15" ht="15">
      <c r="A98" s="78"/>
      <c r="B98" s="65"/>
      <c r="C98" s="65"/>
      <c r="D98" s="65"/>
      <c r="E98" s="65"/>
      <c r="F98" s="65"/>
      <c r="G98" s="65"/>
      <c r="H98" s="78"/>
      <c r="I98" s="134"/>
      <c r="J98" s="78"/>
      <c r="K98" s="78"/>
      <c r="L98" s="65"/>
      <c r="M98" s="65"/>
      <c r="N98" s="65"/>
      <c r="O98" s="65"/>
    </row>
    <row r="99" spans="1:15" ht="15">
      <c r="A99" s="78"/>
      <c r="B99" s="65"/>
      <c r="C99" s="65"/>
      <c r="D99" s="65"/>
      <c r="E99" s="65"/>
      <c r="F99" s="65"/>
      <c r="G99" s="65"/>
      <c r="H99" s="78"/>
      <c r="I99" s="134"/>
      <c r="J99" s="78"/>
      <c r="K99" s="78"/>
      <c r="L99" s="65"/>
      <c r="M99" s="65"/>
      <c r="N99" s="65"/>
      <c r="O99" s="65"/>
    </row>
    <row r="100" spans="1:15" ht="15">
      <c r="A100" s="78"/>
      <c r="B100" s="65"/>
      <c r="C100" s="65"/>
      <c r="D100" s="65"/>
      <c r="E100" s="65"/>
      <c r="F100" s="65"/>
      <c r="G100" s="65"/>
      <c r="H100" s="78"/>
      <c r="I100" s="134"/>
      <c r="J100" s="78"/>
      <c r="K100" s="78"/>
      <c r="L100" s="65"/>
      <c r="M100" s="65"/>
      <c r="N100" s="65"/>
      <c r="O100" s="65"/>
    </row>
    <row r="101" spans="1:15" ht="15">
      <c r="A101" s="78"/>
      <c r="B101" s="65"/>
      <c r="C101" s="65"/>
      <c r="D101" s="65"/>
      <c r="E101" s="65"/>
      <c r="F101" s="65"/>
      <c r="G101" s="65"/>
      <c r="H101" s="78"/>
      <c r="I101" s="134"/>
      <c r="J101" s="78"/>
      <c r="K101" s="78"/>
      <c r="L101" s="65"/>
      <c r="M101" s="65"/>
      <c r="N101" s="65"/>
      <c r="O101" s="65"/>
    </row>
    <row r="102" spans="1:15" ht="15">
      <c r="A102" s="78"/>
      <c r="B102" s="65"/>
      <c r="C102" s="65"/>
      <c r="D102" s="65"/>
      <c r="E102" s="65"/>
      <c r="F102" s="65"/>
      <c r="G102" s="65"/>
      <c r="H102" s="78"/>
      <c r="I102" s="134"/>
      <c r="J102" s="78"/>
      <c r="K102" s="78"/>
      <c r="L102" s="65"/>
      <c r="M102" s="65"/>
      <c r="N102" s="65"/>
      <c r="O102" s="65"/>
    </row>
    <row r="103" spans="1:15" ht="15">
      <c r="A103" s="78"/>
      <c r="B103" s="65"/>
      <c r="C103" s="65"/>
      <c r="D103" s="65"/>
      <c r="E103" s="65"/>
      <c r="F103" s="65"/>
      <c r="G103" s="65"/>
      <c r="H103" s="78"/>
      <c r="I103" s="134"/>
      <c r="J103" s="78"/>
      <c r="K103" s="78"/>
      <c r="L103" s="65"/>
      <c r="M103" s="65"/>
      <c r="N103" s="65"/>
      <c r="O103" s="65"/>
    </row>
    <row r="104" spans="1:15" ht="15">
      <c r="A104" s="78"/>
      <c r="B104" s="65"/>
      <c r="C104" s="65"/>
      <c r="D104" s="65"/>
      <c r="E104" s="65"/>
      <c r="F104" s="65"/>
      <c r="G104" s="65"/>
      <c r="H104" s="78"/>
      <c r="I104" s="134"/>
      <c r="J104" s="78"/>
      <c r="K104" s="78"/>
      <c r="L104" s="65"/>
      <c r="M104" s="65"/>
      <c r="N104" s="65"/>
      <c r="O104" s="65"/>
    </row>
    <row r="105" spans="1:15" ht="15">
      <c r="A105" s="78"/>
      <c r="B105" s="65"/>
      <c r="C105" s="65"/>
      <c r="D105" s="65"/>
      <c r="E105" s="65"/>
      <c r="F105" s="65"/>
      <c r="G105" s="65"/>
      <c r="H105" s="78"/>
      <c r="I105" s="134"/>
      <c r="J105" s="78"/>
      <c r="K105" s="78"/>
      <c r="L105" s="65"/>
      <c r="M105" s="65"/>
      <c r="N105" s="65"/>
      <c r="O105" s="65"/>
    </row>
    <row r="106" spans="1:15" ht="15">
      <c r="A106" s="78"/>
      <c r="B106" s="65"/>
      <c r="C106" s="65"/>
      <c r="D106" s="65"/>
      <c r="E106" s="65"/>
      <c r="F106" s="65"/>
      <c r="G106" s="65"/>
      <c r="H106" s="78"/>
      <c r="I106" s="134"/>
      <c r="J106" s="78"/>
      <c r="K106" s="78"/>
      <c r="L106" s="65"/>
      <c r="M106" s="65"/>
      <c r="N106" s="65"/>
      <c r="O106" s="65"/>
    </row>
    <row r="107" spans="1:15" ht="15">
      <c r="A107" s="78"/>
      <c r="B107" s="65"/>
      <c r="C107" s="65"/>
      <c r="D107" s="65"/>
      <c r="E107" s="65"/>
      <c r="F107" s="65"/>
      <c r="G107" s="65"/>
      <c r="H107" s="78"/>
      <c r="I107" s="134"/>
      <c r="J107" s="78"/>
      <c r="K107" s="78"/>
      <c r="L107" s="65"/>
      <c r="M107" s="65"/>
      <c r="N107" s="65"/>
      <c r="O107" s="65"/>
    </row>
    <row r="108" spans="1:15" ht="15">
      <c r="A108" s="78"/>
      <c r="B108" s="65"/>
      <c r="C108" s="65"/>
      <c r="D108" s="65"/>
      <c r="E108" s="65"/>
      <c r="F108" s="65"/>
      <c r="G108" s="65"/>
      <c r="H108" s="78"/>
      <c r="I108" s="134"/>
      <c r="J108" s="78"/>
      <c r="K108" s="78"/>
      <c r="L108" s="65"/>
      <c r="M108" s="65"/>
      <c r="N108" s="65"/>
      <c r="O108" s="65"/>
    </row>
    <row r="109" spans="1:15" ht="15">
      <c r="A109" s="78"/>
      <c r="B109" s="65"/>
      <c r="C109" s="65"/>
      <c r="D109" s="65"/>
      <c r="E109" s="65"/>
      <c r="F109" s="65"/>
      <c r="G109" s="65"/>
      <c r="H109" s="78"/>
      <c r="I109" s="134"/>
      <c r="J109" s="78"/>
      <c r="K109" s="78"/>
      <c r="L109" s="65"/>
      <c r="M109" s="65"/>
      <c r="N109" s="65"/>
      <c r="O109" s="65"/>
    </row>
    <row r="110" spans="1:15" ht="15">
      <c r="A110" s="78"/>
      <c r="B110" s="65"/>
      <c r="C110" s="65"/>
      <c r="D110" s="65"/>
      <c r="E110" s="65"/>
      <c r="F110" s="65"/>
      <c r="G110" s="65"/>
      <c r="H110" s="78"/>
      <c r="I110" s="134"/>
      <c r="J110" s="78"/>
      <c r="K110" s="78"/>
      <c r="L110" s="65"/>
      <c r="M110" s="65"/>
      <c r="N110" s="65"/>
      <c r="O110" s="65"/>
    </row>
    <row r="111" spans="1:15" ht="15">
      <c r="A111" s="78"/>
      <c r="B111" s="65"/>
      <c r="C111" s="65"/>
      <c r="D111" s="65"/>
      <c r="E111" s="65"/>
      <c r="F111" s="65"/>
      <c r="G111" s="65"/>
      <c r="H111" s="78"/>
      <c r="I111" s="134"/>
      <c r="J111" s="78"/>
      <c r="K111" s="78"/>
      <c r="L111" s="65"/>
      <c r="M111" s="65"/>
      <c r="N111" s="65"/>
      <c r="O111" s="65"/>
    </row>
    <row r="112" spans="1:15" ht="15">
      <c r="A112" s="78"/>
      <c r="B112" s="65"/>
      <c r="C112" s="65"/>
      <c r="D112" s="65"/>
      <c r="E112" s="65"/>
      <c r="F112" s="65"/>
      <c r="G112" s="65"/>
      <c r="H112" s="78"/>
      <c r="I112" s="134"/>
      <c r="J112" s="78"/>
      <c r="K112" s="78"/>
      <c r="L112" s="65"/>
      <c r="M112" s="65"/>
      <c r="N112" s="65"/>
      <c r="O112" s="65"/>
    </row>
    <row r="113" spans="1:15" ht="15">
      <c r="A113" s="78"/>
      <c r="B113" s="65"/>
      <c r="C113" s="65"/>
      <c r="D113" s="65"/>
      <c r="E113" s="65"/>
      <c r="F113" s="65"/>
      <c r="G113" s="65"/>
      <c r="H113" s="78"/>
      <c r="I113" s="134"/>
      <c r="J113" s="78"/>
      <c r="K113" s="78"/>
      <c r="L113" s="65"/>
      <c r="M113" s="65"/>
      <c r="N113" s="65"/>
      <c r="O113" s="65"/>
    </row>
    <row r="114" spans="1:15" ht="15">
      <c r="A114" s="78"/>
      <c r="B114" s="65"/>
      <c r="C114" s="65"/>
      <c r="D114" s="65"/>
      <c r="E114" s="65"/>
      <c r="F114" s="65"/>
      <c r="G114" s="65"/>
      <c r="H114" s="78"/>
      <c r="I114" s="134"/>
      <c r="J114" s="78"/>
      <c r="K114" s="78"/>
      <c r="L114" s="65"/>
      <c r="M114" s="65"/>
      <c r="N114" s="65"/>
      <c r="O114" s="65"/>
    </row>
    <row r="115" spans="1:15" ht="15">
      <c r="A115" s="78"/>
      <c r="B115" s="65"/>
      <c r="C115" s="65"/>
      <c r="D115" s="65"/>
      <c r="E115" s="65"/>
      <c r="F115" s="65"/>
      <c r="G115" s="65"/>
      <c r="H115" s="78"/>
      <c r="I115" s="134"/>
      <c r="J115" s="78"/>
      <c r="K115" s="78"/>
      <c r="L115" s="65"/>
      <c r="M115" s="65"/>
      <c r="N115" s="65"/>
      <c r="O115" s="65"/>
    </row>
    <row r="116" spans="1:15" ht="15">
      <c r="A116" s="78"/>
      <c r="B116" s="65"/>
      <c r="C116" s="65"/>
      <c r="D116" s="65"/>
      <c r="E116" s="65"/>
      <c r="F116" s="65"/>
      <c r="G116" s="65"/>
      <c r="H116" s="78"/>
      <c r="I116" s="134"/>
      <c r="J116" s="78"/>
      <c r="K116" s="78"/>
      <c r="L116" s="65"/>
      <c r="M116" s="65"/>
      <c r="N116" s="65"/>
      <c r="O116" s="65"/>
    </row>
    <row r="117" spans="1:15" ht="15">
      <c r="A117" s="78"/>
      <c r="B117" s="65"/>
      <c r="C117" s="65"/>
      <c r="D117" s="65"/>
      <c r="E117" s="65"/>
      <c r="F117" s="65"/>
      <c r="G117" s="65"/>
      <c r="H117" s="78"/>
      <c r="I117" s="134"/>
      <c r="J117" s="78"/>
      <c r="K117" s="78"/>
      <c r="L117" s="65"/>
      <c r="M117" s="65"/>
      <c r="N117" s="65"/>
      <c r="O117" s="65"/>
    </row>
    <row r="118" spans="1:15" ht="15">
      <c r="A118" s="78"/>
      <c r="B118" s="65"/>
      <c r="C118" s="65"/>
      <c r="D118" s="65"/>
      <c r="E118" s="65"/>
      <c r="F118" s="65"/>
      <c r="G118" s="65"/>
      <c r="H118" s="78"/>
      <c r="I118" s="134"/>
      <c r="J118" s="78"/>
      <c r="K118" s="78"/>
      <c r="L118" s="65"/>
      <c r="M118" s="65"/>
      <c r="N118" s="65"/>
      <c r="O118" s="65"/>
    </row>
    <row r="119" spans="1:15" ht="15">
      <c r="A119" s="78"/>
      <c r="B119" s="65"/>
      <c r="C119" s="65"/>
      <c r="D119" s="65"/>
      <c r="E119" s="65"/>
      <c r="F119" s="65"/>
      <c r="G119" s="65"/>
      <c r="H119" s="78"/>
      <c r="I119" s="134"/>
      <c r="J119" s="78"/>
      <c r="K119" s="78"/>
      <c r="L119" s="65"/>
      <c r="M119" s="65"/>
      <c r="N119" s="65"/>
      <c r="O119" s="65"/>
    </row>
    <row r="120" spans="1:15" ht="15">
      <c r="A120" s="78"/>
      <c r="B120" s="65"/>
      <c r="C120" s="65"/>
      <c r="D120" s="65"/>
      <c r="E120" s="65"/>
      <c r="F120" s="65"/>
      <c r="G120" s="65"/>
      <c r="H120" s="78"/>
      <c r="I120" s="134"/>
      <c r="J120" s="78"/>
      <c r="K120" s="78"/>
      <c r="L120" s="65"/>
      <c r="M120" s="65"/>
      <c r="N120" s="65"/>
      <c r="O120" s="65"/>
    </row>
    <row r="121" spans="1:15" ht="15">
      <c r="A121" s="78"/>
      <c r="B121" s="65"/>
      <c r="C121" s="65"/>
      <c r="D121" s="65"/>
      <c r="E121" s="65"/>
      <c r="F121" s="65"/>
      <c r="G121" s="65"/>
      <c r="H121" s="78"/>
      <c r="I121" s="134"/>
      <c r="J121" s="78"/>
      <c r="K121" s="78"/>
      <c r="L121" s="65"/>
      <c r="M121" s="65"/>
      <c r="N121" s="65"/>
      <c r="O121" s="65"/>
    </row>
    <row r="122" spans="1:15" ht="15">
      <c r="A122" s="78"/>
      <c r="B122" s="65"/>
      <c r="C122" s="65"/>
      <c r="D122" s="65"/>
      <c r="E122" s="65"/>
      <c r="F122" s="65"/>
      <c r="G122" s="65"/>
      <c r="H122" s="78"/>
      <c r="I122" s="134"/>
      <c r="J122" s="78"/>
      <c r="K122" s="78"/>
      <c r="L122" s="65"/>
      <c r="M122" s="65"/>
      <c r="N122" s="65"/>
      <c r="O122" s="65"/>
    </row>
    <row r="123" spans="1:15" ht="15">
      <c r="A123" s="78"/>
      <c r="B123" s="65"/>
      <c r="C123" s="65"/>
      <c r="D123" s="65"/>
      <c r="E123" s="65"/>
      <c r="F123" s="65"/>
      <c r="G123" s="65"/>
      <c r="H123" s="78"/>
      <c r="I123" s="134"/>
      <c r="J123" s="78"/>
      <c r="K123" s="78"/>
      <c r="L123" s="65"/>
      <c r="M123" s="65"/>
      <c r="N123" s="65"/>
      <c r="O123" s="65"/>
    </row>
    <row r="124" spans="1:15" ht="15">
      <c r="A124" s="78"/>
      <c r="B124" s="65"/>
      <c r="C124" s="65"/>
      <c r="D124" s="65"/>
      <c r="E124" s="65"/>
      <c r="F124" s="65"/>
      <c r="G124" s="65"/>
      <c r="H124" s="78"/>
      <c r="I124" s="134"/>
      <c r="J124" s="78"/>
      <c r="K124" s="78"/>
      <c r="L124" s="65"/>
      <c r="M124" s="65"/>
      <c r="N124" s="65"/>
      <c r="O124" s="65"/>
    </row>
    <row r="125" spans="1:15" ht="15">
      <c r="A125" s="78"/>
      <c r="B125" s="65"/>
      <c r="C125" s="65"/>
      <c r="D125" s="65"/>
      <c r="E125" s="65"/>
      <c r="F125" s="65"/>
      <c r="G125" s="65"/>
      <c r="H125" s="78"/>
      <c r="I125" s="134"/>
      <c r="J125" s="78"/>
      <c r="K125" s="78"/>
      <c r="L125" s="65"/>
      <c r="M125" s="65"/>
      <c r="N125" s="65"/>
      <c r="O125" s="65"/>
    </row>
    <row r="126" spans="1:15" ht="15">
      <c r="A126" s="78"/>
      <c r="B126" s="65"/>
      <c r="C126" s="65"/>
      <c r="D126" s="65"/>
      <c r="E126" s="65"/>
      <c r="F126" s="65"/>
      <c r="G126" s="65"/>
      <c r="H126" s="78"/>
      <c r="I126" s="134"/>
      <c r="J126" s="78"/>
      <c r="K126" s="78"/>
      <c r="L126" s="65"/>
      <c r="M126" s="65"/>
      <c r="N126" s="65"/>
      <c r="O126" s="65"/>
    </row>
    <row r="127" spans="1:15" ht="15">
      <c r="A127" s="78"/>
      <c r="B127" s="65"/>
      <c r="C127" s="65"/>
      <c r="D127" s="65"/>
      <c r="E127" s="65"/>
      <c r="F127" s="65"/>
      <c r="G127" s="65"/>
      <c r="H127" s="78"/>
      <c r="I127" s="134"/>
      <c r="J127" s="78"/>
      <c r="K127" s="78"/>
      <c r="L127" s="65"/>
      <c r="M127" s="65"/>
      <c r="N127" s="65"/>
      <c r="O127" s="65"/>
    </row>
    <row r="128" spans="1:15" ht="15">
      <c r="A128" s="78"/>
      <c r="B128" s="65"/>
      <c r="C128" s="65"/>
      <c r="D128" s="65"/>
      <c r="E128" s="65"/>
      <c r="F128" s="65"/>
      <c r="G128" s="65"/>
      <c r="H128" s="78"/>
      <c r="I128" s="134"/>
      <c r="J128" s="78"/>
      <c r="K128" s="78"/>
      <c r="L128" s="65"/>
      <c r="M128" s="65"/>
      <c r="N128" s="65"/>
      <c r="O128" s="65"/>
    </row>
    <row r="129" spans="1:15" ht="15">
      <c r="A129" s="78"/>
      <c r="B129" s="65"/>
      <c r="C129" s="65"/>
      <c r="D129" s="65"/>
      <c r="E129" s="65"/>
      <c r="F129" s="65"/>
      <c r="G129" s="65"/>
      <c r="H129" s="78"/>
      <c r="I129" s="134"/>
      <c r="J129" s="78"/>
      <c r="K129" s="78"/>
      <c r="L129" s="65"/>
      <c r="M129" s="65"/>
      <c r="N129" s="65"/>
      <c r="O129" s="65"/>
    </row>
    <row r="130" spans="1:15" ht="15">
      <c r="A130" s="78"/>
      <c r="B130" s="65"/>
      <c r="C130" s="65"/>
      <c r="D130" s="65"/>
      <c r="E130" s="65"/>
      <c r="F130" s="65"/>
      <c r="G130" s="65"/>
      <c r="H130" s="78"/>
      <c r="I130" s="134"/>
      <c r="J130" s="78"/>
      <c r="K130" s="78"/>
      <c r="L130" s="65"/>
      <c r="M130" s="65"/>
      <c r="N130" s="65"/>
      <c r="O130" s="65"/>
    </row>
    <row r="131" spans="1:15" ht="15">
      <c r="A131" s="78"/>
      <c r="B131" s="65"/>
      <c r="C131" s="65"/>
      <c r="D131" s="65"/>
      <c r="E131" s="65"/>
      <c r="F131" s="65"/>
      <c r="G131" s="65"/>
      <c r="H131" s="78"/>
      <c r="I131" s="134"/>
      <c r="J131" s="78"/>
      <c r="K131" s="78"/>
      <c r="L131" s="65"/>
      <c r="M131" s="65"/>
      <c r="N131" s="65"/>
      <c r="O131" s="65"/>
    </row>
    <row r="132" spans="1:15" ht="15">
      <c r="A132" s="78"/>
      <c r="B132" s="65"/>
      <c r="C132" s="65"/>
      <c r="D132" s="65"/>
      <c r="E132" s="65"/>
      <c r="F132" s="65"/>
      <c r="G132" s="65"/>
      <c r="H132" s="78"/>
      <c r="I132" s="134"/>
      <c r="J132" s="78"/>
      <c r="K132" s="78"/>
      <c r="L132" s="65"/>
      <c r="M132" s="65"/>
      <c r="N132" s="65"/>
      <c r="O132" s="65"/>
    </row>
    <row r="133" spans="1:15" ht="15">
      <c r="A133" s="78"/>
      <c r="B133" s="65"/>
      <c r="C133" s="65"/>
      <c r="D133" s="65"/>
      <c r="E133" s="65"/>
      <c r="F133" s="65"/>
      <c r="G133" s="65"/>
      <c r="H133" s="78"/>
      <c r="I133" s="134"/>
      <c r="J133" s="78"/>
      <c r="K133" s="78"/>
      <c r="L133" s="65"/>
      <c r="M133" s="65"/>
      <c r="N133" s="65"/>
      <c r="O133" s="65"/>
    </row>
    <row r="134" spans="1:15" ht="15">
      <c r="A134" s="78"/>
      <c r="B134" s="65"/>
      <c r="C134" s="65"/>
      <c r="D134" s="65"/>
      <c r="E134" s="65"/>
      <c r="F134" s="65"/>
      <c r="G134" s="65"/>
      <c r="H134" s="78"/>
      <c r="I134" s="134"/>
      <c r="J134" s="78"/>
      <c r="K134" s="78"/>
      <c r="L134" s="65"/>
      <c r="M134" s="65"/>
      <c r="N134" s="65"/>
      <c r="O134" s="65"/>
    </row>
    <row r="135" spans="1:15" ht="15">
      <c r="A135" s="78"/>
      <c r="B135" s="65"/>
      <c r="C135" s="65"/>
      <c r="D135" s="65"/>
      <c r="E135" s="65"/>
      <c r="F135" s="65"/>
      <c r="G135" s="65"/>
      <c r="H135" s="78"/>
      <c r="I135" s="134"/>
      <c r="J135" s="78"/>
      <c r="K135" s="78"/>
      <c r="L135" s="65"/>
      <c r="M135" s="65"/>
      <c r="N135" s="65"/>
      <c r="O135" s="65"/>
    </row>
    <row r="136" spans="1:15" ht="15">
      <c r="A136" s="78"/>
      <c r="B136" s="65"/>
      <c r="C136" s="65"/>
      <c r="D136" s="65"/>
      <c r="E136" s="65"/>
      <c r="F136" s="65"/>
      <c r="G136" s="65"/>
      <c r="H136" s="78"/>
      <c r="I136" s="134"/>
      <c r="J136" s="78"/>
      <c r="K136" s="78"/>
      <c r="L136" s="65"/>
      <c r="M136" s="65"/>
      <c r="N136" s="65"/>
      <c r="O136" s="65"/>
    </row>
    <row r="137" spans="1:15" ht="15">
      <c r="A137" s="78"/>
      <c r="B137" s="65"/>
      <c r="C137" s="65"/>
      <c r="D137" s="65"/>
      <c r="E137" s="65"/>
      <c r="F137" s="65"/>
      <c r="G137" s="65"/>
      <c r="H137" s="78"/>
      <c r="I137" s="134"/>
      <c r="J137" s="78"/>
      <c r="K137" s="78"/>
      <c r="L137" s="65"/>
      <c r="M137" s="65"/>
      <c r="N137" s="65"/>
      <c r="O137" s="65"/>
    </row>
    <row r="138" spans="1:15" ht="15">
      <c r="A138" s="78"/>
      <c r="B138" s="65"/>
      <c r="C138" s="65"/>
      <c r="D138" s="65"/>
      <c r="E138" s="65"/>
      <c r="F138" s="65"/>
      <c r="G138" s="65"/>
      <c r="H138" s="78"/>
      <c r="I138" s="134"/>
      <c r="J138" s="78"/>
      <c r="K138" s="78"/>
      <c r="L138" s="65"/>
      <c r="M138" s="65"/>
      <c r="N138" s="65"/>
      <c r="O138" s="65"/>
    </row>
    <row r="139" spans="1:15" ht="15">
      <c r="A139" s="78"/>
      <c r="B139" s="65"/>
      <c r="C139" s="65"/>
      <c r="D139" s="65"/>
      <c r="E139" s="65"/>
      <c r="F139" s="65"/>
      <c r="G139" s="65"/>
      <c r="H139" s="78"/>
      <c r="I139" s="134"/>
      <c r="J139" s="78"/>
      <c r="K139" s="78"/>
      <c r="L139" s="65"/>
      <c r="M139" s="65"/>
      <c r="N139" s="65"/>
      <c r="O139" s="65"/>
    </row>
    <row r="140" spans="1:15" ht="15">
      <c r="A140" s="78"/>
      <c r="B140" s="65"/>
      <c r="C140" s="65"/>
      <c r="D140" s="65"/>
      <c r="E140" s="65"/>
      <c r="F140" s="65"/>
      <c r="G140" s="65"/>
      <c r="H140" s="78"/>
      <c r="I140" s="134"/>
      <c r="J140" s="78"/>
      <c r="K140" s="78"/>
      <c r="L140" s="65"/>
      <c r="M140" s="65"/>
      <c r="N140" s="65"/>
      <c r="O140" s="65"/>
    </row>
    <row r="141" spans="1:15" ht="15">
      <c r="A141" s="78"/>
      <c r="B141" s="65"/>
      <c r="C141" s="65"/>
      <c r="D141" s="65"/>
      <c r="E141" s="65"/>
      <c r="F141" s="65"/>
      <c r="G141" s="65"/>
      <c r="H141" s="78"/>
      <c r="I141" s="134"/>
      <c r="J141" s="78"/>
      <c r="K141" s="78"/>
      <c r="L141" s="65"/>
      <c r="M141" s="65"/>
      <c r="N141" s="65"/>
      <c r="O141" s="65"/>
    </row>
    <row r="142" spans="1:15" ht="15">
      <c r="A142" s="78"/>
      <c r="B142" s="65"/>
      <c r="C142" s="65"/>
      <c r="D142" s="65"/>
      <c r="E142" s="65"/>
      <c r="F142" s="65"/>
      <c r="G142" s="65"/>
      <c r="H142" s="78"/>
      <c r="I142" s="134"/>
      <c r="J142" s="78"/>
      <c r="K142" s="78"/>
      <c r="L142" s="65"/>
      <c r="M142" s="65"/>
      <c r="N142" s="65"/>
      <c r="O142" s="65"/>
    </row>
    <row r="143" spans="1:15" ht="15">
      <c r="A143" s="78"/>
      <c r="B143" s="65"/>
      <c r="C143" s="65"/>
      <c r="D143" s="65"/>
      <c r="E143" s="65"/>
      <c r="F143" s="65"/>
      <c r="G143" s="65"/>
      <c r="H143" s="78"/>
      <c r="I143" s="134"/>
      <c r="J143" s="78"/>
      <c r="K143" s="78"/>
      <c r="L143" s="65"/>
      <c r="M143" s="65"/>
      <c r="N143" s="65"/>
      <c r="O143" s="65"/>
    </row>
    <row r="144" spans="1:15" ht="15">
      <c r="A144" s="78"/>
      <c r="B144" s="65"/>
      <c r="C144" s="65"/>
      <c r="D144" s="65"/>
      <c r="E144" s="65"/>
      <c r="F144" s="65"/>
      <c r="G144" s="65"/>
      <c r="H144" s="78"/>
      <c r="I144" s="134"/>
      <c r="J144" s="78"/>
      <c r="K144" s="78"/>
      <c r="L144" s="65"/>
      <c r="M144" s="65"/>
      <c r="N144" s="65"/>
      <c r="O144" s="65"/>
    </row>
    <row r="145" spans="1:15" ht="15">
      <c r="A145" s="78"/>
      <c r="B145" s="65"/>
      <c r="C145" s="65"/>
      <c r="D145" s="65"/>
      <c r="E145" s="65"/>
      <c r="F145" s="65"/>
      <c r="G145" s="65"/>
      <c r="H145" s="78"/>
      <c r="I145" s="134"/>
      <c r="J145" s="78"/>
      <c r="K145" s="78"/>
      <c r="L145" s="65"/>
      <c r="M145" s="65"/>
      <c r="N145" s="65"/>
      <c r="O145" s="65"/>
    </row>
    <row r="146" spans="1:15" ht="15">
      <c r="A146" s="78"/>
      <c r="B146" s="65"/>
      <c r="C146" s="65"/>
      <c r="D146" s="65"/>
      <c r="E146" s="65"/>
      <c r="F146" s="65"/>
      <c r="G146" s="65"/>
      <c r="H146" s="78"/>
      <c r="I146" s="134"/>
      <c r="J146" s="78"/>
      <c r="K146" s="78"/>
      <c r="L146" s="65"/>
      <c r="M146" s="65"/>
      <c r="N146" s="65"/>
      <c r="O146" s="65"/>
    </row>
    <row r="147" spans="1:15" ht="15">
      <c r="A147" s="78"/>
      <c r="B147" s="65"/>
      <c r="C147" s="65"/>
      <c r="D147" s="65"/>
      <c r="E147" s="65"/>
      <c r="F147" s="65"/>
      <c r="G147" s="65"/>
      <c r="H147" s="78"/>
      <c r="I147" s="134"/>
      <c r="J147" s="78"/>
      <c r="K147" s="78"/>
      <c r="L147" s="65"/>
      <c r="M147" s="65"/>
      <c r="N147" s="65"/>
      <c r="O147" s="65"/>
    </row>
    <row r="148" spans="1:15" ht="15">
      <c r="A148" s="78"/>
      <c r="B148" s="65"/>
      <c r="C148" s="65"/>
      <c r="D148" s="65"/>
      <c r="E148" s="65"/>
      <c r="F148" s="65"/>
      <c r="G148" s="65"/>
      <c r="H148" s="78"/>
      <c r="I148" s="134"/>
      <c r="J148" s="78"/>
      <c r="K148" s="78"/>
      <c r="L148" s="65"/>
      <c r="M148" s="65"/>
      <c r="N148" s="65"/>
      <c r="O148" s="65"/>
    </row>
    <row r="149" spans="1:15" ht="15">
      <c r="A149" s="78"/>
      <c r="B149" s="65"/>
      <c r="C149" s="65"/>
      <c r="D149" s="65"/>
      <c r="E149" s="65"/>
      <c r="F149" s="65"/>
      <c r="G149" s="65"/>
      <c r="H149" s="78"/>
      <c r="I149" s="134"/>
      <c r="J149" s="78"/>
      <c r="K149" s="78"/>
      <c r="L149" s="65"/>
      <c r="M149" s="65"/>
      <c r="N149" s="65"/>
      <c r="O149" s="65"/>
    </row>
    <row r="150" spans="1:15" ht="15">
      <c r="A150" s="78"/>
      <c r="B150" s="65"/>
      <c r="C150" s="65"/>
      <c r="D150" s="65"/>
      <c r="E150" s="65"/>
      <c r="F150" s="65"/>
      <c r="G150" s="65"/>
      <c r="H150" s="78"/>
      <c r="I150" s="134"/>
      <c r="J150" s="78"/>
      <c r="K150" s="78"/>
      <c r="L150" s="65"/>
      <c r="M150" s="65"/>
      <c r="N150" s="65"/>
      <c r="O150" s="65"/>
    </row>
    <row r="151" spans="1:15" ht="15">
      <c r="A151" s="78"/>
      <c r="B151" s="65"/>
      <c r="C151" s="65"/>
      <c r="D151" s="65"/>
      <c r="E151" s="65"/>
      <c r="F151" s="65"/>
      <c r="G151" s="65"/>
      <c r="H151" s="78"/>
      <c r="I151" s="134"/>
      <c r="J151" s="78"/>
      <c r="K151" s="78"/>
      <c r="L151" s="65"/>
      <c r="M151" s="65"/>
      <c r="N151" s="65"/>
      <c r="O151" s="65"/>
    </row>
    <row r="152" spans="1:15" ht="15">
      <c r="A152" s="78"/>
      <c r="B152" s="65"/>
      <c r="C152" s="65"/>
      <c r="D152" s="65"/>
      <c r="E152" s="65"/>
      <c r="F152" s="65"/>
      <c r="G152" s="65"/>
      <c r="H152" s="78"/>
      <c r="I152" s="134"/>
      <c r="J152" s="78"/>
      <c r="K152" s="78"/>
      <c r="L152" s="65"/>
      <c r="M152" s="65"/>
      <c r="N152" s="65"/>
      <c r="O152" s="65"/>
    </row>
    <row r="153" spans="1:15" ht="15">
      <c r="A153" s="78"/>
      <c r="B153" s="65"/>
      <c r="C153" s="65"/>
      <c r="D153" s="65"/>
      <c r="E153" s="65"/>
      <c r="F153" s="65"/>
      <c r="G153" s="65"/>
      <c r="H153" s="78"/>
      <c r="I153" s="134"/>
      <c r="J153" s="78"/>
      <c r="K153" s="78"/>
      <c r="L153" s="65"/>
      <c r="M153" s="65"/>
      <c r="N153" s="65"/>
      <c r="O153" s="65"/>
    </row>
    <row r="154" spans="1:15" ht="15">
      <c r="A154" s="78"/>
      <c r="B154" s="65"/>
      <c r="C154" s="65"/>
      <c r="D154" s="65"/>
      <c r="E154" s="65"/>
      <c r="F154" s="65"/>
      <c r="G154" s="65"/>
      <c r="H154" s="78"/>
      <c r="I154" s="134"/>
      <c r="J154" s="78"/>
      <c r="K154" s="78"/>
      <c r="L154" s="65"/>
      <c r="M154" s="65"/>
      <c r="N154" s="65"/>
      <c r="O154" s="65"/>
    </row>
    <row r="155" spans="1:15" ht="15">
      <c r="A155" s="78"/>
      <c r="B155" s="65"/>
      <c r="C155" s="65"/>
      <c r="D155" s="65"/>
      <c r="E155" s="65"/>
      <c r="F155" s="65"/>
      <c r="G155" s="65"/>
      <c r="H155" s="78"/>
      <c r="I155" s="134"/>
      <c r="J155" s="78"/>
      <c r="K155" s="78"/>
      <c r="L155" s="65"/>
      <c r="M155" s="65"/>
      <c r="N155" s="65"/>
      <c r="O155" s="65"/>
    </row>
    <row r="156" spans="1:15" ht="15">
      <c r="A156" s="78"/>
      <c r="B156" s="65"/>
      <c r="C156" s="65"/>
      <c r="D156" s="65"/>
      <c r="E156" s="65"/>
      <c r="F156" s="65"/>
      <c r="G156" s="65"/>
      <c r="H156" s="78"/>
      <c r="I156" s="134"/>
      <c r="J156" s="78"/>
      <c r="K156" s="78"/>
      <c r="L156" s="65"/>
      <c r="M156" s="65"/>
      <c r="N156" s="65"/>
      <c r="O156" s="65"/>
    </row>
    <row r="157" spans="1:15" ht="15">
      <c r="A157" s="78"/>
      <c r="B157" s="65"/>
      <c r="C157" s="65"/>
      <c r="D157" s="65"/>
      <c r="E157" s="65"/>
      <c r="F157" s="65"/>
      <c r="G157" s="65"/>
      <c r="H157" s="78"/>
      <c r="I157" s="134"/>
      <c r="J157" s="78"/>
      <c r="K157" s="78"/>
      <c r="L157" s="65"/>
      <c r="M157" s="65"/>
      <c r="N157" s="65"/>
      <c r="O157" s="65"/>
    </row>
    <row r="158" spans="1:15" ht="15">
      <c r="A158" s="78"/>
      <c r="B158" s="65"/>
      <c r="C158" s="65"/>
      <c r="D158" s="65"/>
      <c r="E158" s="65"/>
      <c r="F158" s="65"/>
      <c r="G158" s="65"/>
      <c r="H158" s="78"/>
      <c r="I158" s="134"/>
      <c r="J158" s="78"/>
      <c r="K158" s="78"/>
      <c r="L158" s="65"/>
      <c r="M158" s="65"/>
      <c r="N158" s="65"/>
      <c r="O158" s="65"/>
    </row>
    <row r="159" spans="1:15" ht="15">
      <c r="A159" s="78"/>
      <c r="B159" s="65"/>
      <c r="C159" s="65"/>
      <c r="D159" s="65"/>
      <c r="E159" s="65"/>
      <c r="F159" s="65"/>
      <c r="G159" s="65"/>
      <c r="H159" s="78"/>
      <c r="I159" s="134"/>
      <c r="J159" s="78"/>
      <c r="K159" s="78"/>
      <c r="L159" s="65"/>
      <c r="M159" s="65"/>
      <c r="N159" s="65"/>
      <c r="O159" s="65"/>
    </row>
    <row r="160" spans="1:15" ht="15">
      <c r="A160" s="78"/>
      <c r="B160" s="65"/>
      <c r="C160" s="65"/>
      <c r="D160" s="65"/>
      <c r="E160" s="65"/>
      <c r="F160" s="65"/>
      <c r="G160" s="65"/>
      <c r="H160" s="78"/>
      <c r="I160" s="134"/>
      <c r="J160" s="78"/>
      <c r="K160" s="78"/>
      <c r="L160" s="65"/>
      <c r="M160" s="65"/>
      <c r="N160" s="65"/>
      <c r="O160" s="65"/>
    </row>
    <row r="161" spans="1:15" ht="15">
      <c r="A161" s="78"/>
      <c r="B161" s="65"/>
      <c r="C161" s="65"/>
      <c r="D161" s="65"/>
      <c r="E161" s="65"/>
      <c r="F161" s="65"/>
      <c r="G161" s="65"/>
      <c r="H161" s="78"/>
      <c r="I161" s="134"/>
      <c r="J161" s="78"/>
      <c r="K161" s="78"/>
      <c r="L161" s="65"/>
      <c r="M161" s="65"/>
      <c r="N161" s="65"/>
      <c r="O161" s="65"/>
    </row>
    <row r="162" spans="1:15" ht="15">
      <c r="A162" s="78"/>
      <c r="B162" s="65"/>
      <c r="C162" s="65"/>
      <c r="D162" s="65"/>
      <c r="E162" s="65"/>
      <c r="F162" s="65"/>
      <c r="G162" s="65"/>
      <c r="H162" s="78"/>
      <c r="I162" s="134"/>
      <c r="J162" s="78"/>
      <c r="K162" s="78"/>
      <c r="L162" s="65"/>
      <c r="M162" s="65"/>
      <c r="N162" s="65"/>
      <c r="O162" s="65"/>
    </row>
    <row r="163" spans="1:15" ht="15">
      <c r="A163" s="78"/>
      <c r="B163" s="65"/>
      <c r="C163" s="65"/>
      <c r="D163" s="65"/>
      <c r="E163" s="65"/>
      <c r="F163" s="65"/>
      <c r="G163" s="65"/>
      <c r="H163" s="78"/>
      <c r="I163" s="134"/>
      <c r="J163" s="78"/>
      <c r="K163" s="78"/>
      <c r="L163" s="65"/>
      <c r="M163" s="65"/>
      <c r="N163" s="65"/>
      <c r="O163" s="65"/>
    </row>
    <row r="164" spans="1:15" ht="15">
      <c r="A164" s="78"/>
      <c r="B164" s="65"/>
      <c r="C164" s="65"/>
      <c r="D164" s="65"/>
      <c r="E164" s="65"/>
      <c r="F164" s="65"/>
      <c r="G164" s="65"/>
      <c r="H164" s="78"/>
      <c r="I164" s="134"/>
      <c r="J164" s="78"/>
      <c r="K164" s="78"/>
      <c r="L164" s="65"/>
      <c r="M164" s="65"/>
      <c r="N164" s="65"/>
      <c r="O164" s="65"/>
    </row>
    <row r="165" spans="1:15" ht="15">
      <c r="A165" s="78"/>
      <c r="B165" s="65"/>
      <c r="C165" s="65"/>
      <c r="D165" s="65"/>
      <c r="E165" s="65"/>
      <c r="F165" s="65"/>
      <c r="G165" s="65"/>
      <c r="H165" s="78"/>
      <c r="I165" s="134"/>
      <c r="J165" s="78"/>
      <c r="K165" s="78"/>
      <c r="L165" s="65"/>
      <c r="M165" s="65"/>
      <c r="N165" s="65"/>
      <c r="O165" s="65"/>
    </row>
    <row r="166" spans="1:15" ht="15">
      <c r="A166" s="78"/>
      <c r="B166" s="65"/>
      <c r="C166" s="65"/>
      <c r="D166" s="65"/>
      <c r="E166" s="65"/>
      <c r="F166" s="65"/>
      <c r="G166" s="65"/>
      <c r="H166" s="78"/>
      <c r="I166" s="134"/>
      <c r="J166" s="78"/>
      <c r="K166" s="78"/>
      <c r="L166" s="65"/>
      <c r="M166" s="65"/>
      <c r="N166" s="65"/>
      <c r="O166" s="65"/>
    </row>
    <row r="167" spans="1:15" ht="15">
      <c r="A167" s="78"/>
      <c r="B167" s="65"/>
      <c r="C167" s="65"/>
      <c r="D167" s="65"/>
      <c r="E167" s="65"/>
      <c r="F167" s="65"/>
      <c r="G167" s="65"/>
      <c r="H167" s="78"/>
      <c r="I167" s="134"/>
      <c r="J167" s="78"/>
      <c r="K167" s="78"/>
      <c r="L167" s="65"/>
      <c r="M167" s="65"/>
      <c r="N167" s="65"/>
      <c r="O167" s="65"/>
    </row>
    <row r="168" spans="1:15" ht="15">
      <c r="A168" s="78"/>
      <c r="B168" s="65"/>
      <c r="C168" s="65"/>
      <c r="D168" s="65"/>
      <c r="E168" s="65"/>
      <c r="F168" s="65"/>
      <c r="G168" s="65"/>
      <c r="H168" s="78"/>
      <c r="I168" s="134"/>
      <c r="J168" s="78"/>
      <c r="K168" s="78"/>
      <c r="L168" s="65"/>
      <c r="M168" s="65"/>
      <c r="N168" s="65"/>
      <c r="O168" s="65"/>
    </row>
    <row r="169" spans="1:15" ht="15">
      <c r="A169" s="78"/>
      <c r="B169" s="65"/>
      <c r="C169" s="65"/>
      <c r="D169" s="65"/>
      <c r="E169" s="65"/>
      <c r="F169" s="65"/>
      <c r="G169" s="65"/>
      <c r="H169" s="78"/>
      <c r="I169" s="134"/>
      <c r="J169" s="78"/>
      <c r="K169" s="78"/>
      <c r="L169" s="65"/>
      <c r="M169" s="65"/>
      <c r="N169" s="65"/>
      <c r="O169" s="65"/>
    </row>
    <row r="170" spans="1:15" ht="15">
      <c r="A170" s="78"/>
      <c r="B170" s="65"/>
      <c r="C170" s="65"/>
      <c r="D170" s="65"/>
      <c r="E170" s="65"/>
      <c r="F170" s="65"/>
      <c r="G170" s="65"/>
      <c r="H170" s="78"/>
      <c r="I170" s="134"/>
      <c r="J170" s="78"/>
      <c r="K170" s="78"/>
      <c r="L170" s="65"/>
      <c r="M170" s="65"/>
      <c r="N170" s="65"/>
      <c r="O170" s="65"/>
    </row>
    <row r="171" spans="1:15" ht="15">
      <c r="A171" s="78"/>
      <c r="B171" s="65"/>
      <c r="C171" s="65"/>
      <c r="D171" s="65"/>
      <c r="E171" s="65"/>
      <c r="F171" s="65"/>
      <c r="G171" s="65"/>
      <c r="H171" s="78"/>
      <c r="I171" s="134"/>
      <c r="J171" s="78"/>
      <c r="K171" s="78"/>
      <c r="L171" s="65"/>
      <c r="M171" s="65"/>
      <c r="N171" s="65"/>
      <c r="O171" s="65"/>
    </row>
    <row r="172" spans="1:15" ht="15">
      <c r="A172" s="78"/>
      <c r="B172" s="65"/>
      <c r="C172" s="65"/>
      <c r="D172" s="65"/>
      <c r="E172" s="65"/>
      <c r="F172" s="65"/>
      <c r="G172" s="65"/>
      <c r="H172" s="78"/>
      <c r="I172" s="134"/>
      <c r="J172" s="78"/>
      <c r="K172" s="78"/>
      <c r="L172" s="65"/>
      <c r="M172" s="65"/>
      <c r="N172" s="65"/>
      <c r="O172" s="65"/>
    </row>
    <row r="173" spans="1:15" ht="15">
      <c r="A173" s="78"/>
      <c r="B173" s="65"/>
      <c r="C173" s="65"/>
      <c r="D173" s="65"/>
      <c r="E173" s="65"/>
      <c r="F173" s="65"/>
      <c r="G173" s="65"/>
      <c r="H173" s="78"/>
      <c r="I173" s="134"/>
      <c r="J173" s="78"/>
      <c r="K173" s="78"/>
      <c r="L173" s="65"/>
      <c r="M173" s="65"/>
      <c r="N173" s="65"/>
      <c r="O173" s="65"/>
    </row>
    <row r="174" spans="1:15" ht="15">
      <c r="A174" s="78"/>
      <c r="B174" s="65"/>
      <c r="C174" s="65"/>
      <c r="D174" s="65"/>
      <c r="E174" s="65"/>
      <c r="F174" s="65"/>
      <c r="G174" s="65"/>
      <c r="H174" s="78"/>
      <c r="I174" s="134"/>
      <c r="J174" s="78"/>
      <c r="K174" s="78"/>
      <c r="L174" s="65"/>
      <c r="M174" s="65"/>
      <c r="N174" s="65"/>
      <c r="O174" s="65"/>
    </row>
    <row r="175" spans="1:15" ht="15">
      <c r="A175" s="78"/>
      <c r="B175" s="65"/>
      <c r="C175" s="65"/>
      <c r="D175" s="65"/>
      <c r="E175" s="65"/>
      <c r="F175" s="65"/>
      <c r="G175" s="65"/>
      <c r="H175" s="78"/>
      <c r="I175" s="134"/>
      <c r="J175" s="78"/>
      <c r="K175" s="78"/>
      <c r="L175" s="65"/>
      <c r="M175" s="65"/>
      <c r="N175" s="65"/>
      <c r="O175" s="65"/>
    </row>
    <row r="176" spans="1:15" ht="15">
      <c r="A176" s="78"/>
      <c r="B176" s="65"/>
      <c r="C176" s="65"/>
      <c r="D176" s="65"/>
      <c r="E176" s="65"/>
      <c r="F176" s="65"/>
      <c r="G176" s="65"/>
      <c r="H176" s="78"/>
      <c r="I176" s="134"/>
      <c r="J176" s="78"/>
      <c r="K176" s="78"/>
      <c r="L176" s="65"/>
      <c r="M176" s="65"/>
      <c r="N176" s="65"/>
      <c r="O176" s="65"/>
    </row>
    <row r="177" spans="1:15" ht="15">
      <c r="A177" s="78"/>
      <c r="B177" s="65"/>
      <c r="C177" s="65"/>
      <c r="D177" s="65"/>
      <c r="E177" s="65"/>
      <c r="F177" s="65"/>
      <c r="G177" s="65"/>
      <c r="H177" s="78"/>
      <c r="I177" s="134"/>
      <c r="J177" s="78"/>
      <c r="K177" s="78"/>
      <c r="L177" s="65"/>
      <c r="M177" s="65"/>
      <c r="N177" s="65"/>
      <c r="O177" s="65"/>
    </row>
    <row r="178" spans="1:15" ht="15">
      <c r="A178" s="78"/>
      <c r="B178" s="65"/>
      <c r="C178" s="65"/>
      <c r="D178" s="65"/>
      <c r="E178" s="65"/>
      <c r="F178" s="65"/>
      <c r="G178" s="65"/>
      <c r="H178" s="78"/>
      <c r="I178" s="134"/>
      <c r="J178" s="78"/>
      <c r="K178" s="78"/>
      <c r="L178" s="65"/>
      <c r="M178" s="65"/>
      <c r="N178" s="65"/>
      <c r="O178" s="65"/>
    </row>
    <row r="179" spans="1:15" ht="15">
      <c r="A179" s="78"/>
      <c r="B179" s="65"/>
      <c r="C179" s="65"/>
      <c r="D179" s="65"/>
      <c r="E179" s="65"/>
      <c r="F179" s="65"/>
      <c r="G179" s="65"/>
      <c r="H179" s="78"/>
      <c r="I179" s="134"/>
      <c r="J179" s="78"/>
      <c r="K179" s="78"/>
      <c r="L179" s="65"/>
      <c r="M179" s="65"/>
      <c r="N179" s="65"/>
      <c r="O179" s="65"/>
    </row>
    <row r="180" spans="1:15" ht="15">
      <c r="A180" s="78"/>
      <c r="B180" s="65"/>
      <c r="C180" s="65"/>
      <c r="D180" s="65"/>
      <c r="E180" s="65"/>
      <c r="F180" s="65"/>
      <c r="G180" s="65"/>
      <c r="H180" s="78"/>
      <c r="I180" s="134"/>
      <c r="J180" s="78"/>
      <c r="K180" s="78"/>
      <c r="L180" s="65"/>
      <c r="M180" s="65"/>
      <c r="N180" s="65"/>
      <c r="O180" s="65"/>
    </row>
    <row r="181" spans="1:15" ht="15">
      <c r="A181" s="78"/>
      <c r="B181" s="65"/>
      <c r="C181" s="65"/>
      <c r="D181" s="65"/>
      <c r="E181" s="65"/>
      <c r="F181" s="65"/>
      <c r="G181" s="65"/>
      <c r="H181" s="78"/>
      <c r="I181" s="134"/>
      <c r="J181" s="78"/>
      <c r="K181" s="78"/>
      <c r="L181" s="65"/>
      <c r="M181" s="65"/>
      <c r="N181" s="65"/>
      <c r="O181" s="65"/>
    </row>
    <row r="182" spans="1:15" ht="15">
      <c r="A182" s="78"/>
      <c r="B182" s="65"/>
      <c r="C182" s="65"/>
      <c r="D182" s="65"/>
      <c r="E182" s="65"/>
      <c r="F182" s="65"/>
      <c r="G182" s="65"/>
      <c r="H182" s="78"/>
      <c r="I182" s="134"/>
      <c r="J182" s="78"/>
      <c r="K182" s="78"/>
      <c r="L182" s="65"/>
      <c r="M182" s="65"/>
      <c r="N182" s="65"/>
      <c r="O182" s="65"/>
    </row>
    <row r="183" spans="1:15" ht="15">
      <c r="A183" s="78"/>
      <c r="B183" s="65"/>
      <c r="C183" s="65"/>
      <c r="D183" s="65"/>
      <c r="E183" s="65"/>
      <c r="F183" s="65"/>
      <c r="G183" s="65"/>
      <c r="H183" s="78"/>
      <c r="I183" s="134"/>
      <c r="J183" s="78"/>
      <c r="K183" s="78"/>
      <c r="L183" s="65"/>
      <c r="M183" s="65"/>
      <c r="N183" s="65"/>
      <c r="O183" s="65"/>
    </row>
    <row r="184" spans="1:15" ht="15">
      <c r="A184" s="78"/>
      <c r="B184" s="65"/>
      <c r="C184" s="65"/>
      <c r="D184" s="65"/>
      <c r="E184" s="65"/>
      <c r="F184" s="65"/>
      <c r="G184" s="65"/>
      <c r="H184" s="78"/>
      <c r="I184" s="134"/>
      <c r="J184" s="78"/>
      <c r="K184" s="78"/>
      <c r="L184" s="65"/>
      <c r="M184" s="65"/>
      <c r="N184" s="65"/>
      <c r="O184" s="65"/>
    </row>
    <row r="185" spans="1:15" ht="15">
      <c r="A185" s="78"/>
      <c r="B185" s="65"/>
      <c r="C185" s="65"/>
      <c r="D185" s="65"/>
      <c r="E185" s="65"/>
      <c r="F185" s="65"/>
      <c r="G185" s="65"/>
      <c r="H185" s="78"/>
      <c r="I185" s="134"/>
      <c r="J185" s="78"/>
      <c r="K185" s="78"/>
      <c r="L185" s="65"/>
      <c r="M185" s="65"/>
      <c r="N185" s="65"/>
      <c r="O185" s="65"/>
    </row>
    <row r="186" spans="1:15" ht="15">
      <c r="A186" s="78"/>
      <c r="B186" s="65"/>
      <c r="C186" s="65"/>
      <c r="D186" s="65"/>
      <c r="E186" s="65"/>
      <c r="F186" s="65"/>
      <c r="G186" s="65"/>
      <c r="H186" s="78"/>
      <c r="I186" s="134"/>
      <c r="J186" s="78"/>
      <c r="K186" s="78"/>
      <c r="L186" s="65"/>
      <c r="M186" s="65"/>
      <c r="N186" s="65"/>
      <c r="O186" s="65"/>
    </row>
    <row r="187" spans="1:15" ht="15">
      <c r="A187" s="78"/>
      <c r="B187" s="65"/>
      <c r="C187" s="65"/>
      <c r="D187" s="65"/>
      <c r="E187" s="65"/>
      <c r="F187" s="65"/>
      <c r="G187" s="65"/>
      <c r="H187" s="78"/>
      <c r="I187" s="134"/>
      <c r="J187" s="78"/>
      <c r="K187" s="78"/>
      <c r="L187" s="65"/>
      <c r="M187" s="65"/>
      <c r="N187" s="65"/>
      <c r="O187" s="65"/>
    </row>
    <row r="188" spans="1:15" ht="15">
      <c r="A188" s="78"/>
      <c r="B188" s="65"/>
      <c r="C188" s="65"/>
      <c r="D188" s="65"/>
      <c r="E188" s="65"/>
      <c r="F188" s="65"/>
      <c r="G188" s="65"/>
      <c r="H188" s="78"/>
      <c r="I188" s="134"/>
      <c r="J188" s="78"/>
      <c r="K188" s="78"/>
      <c r="L188" s="65"/>
      <c r="M188" s="65"/>
      <c r="N188" s="65"/>
      <c r="O188" s="65"/>
    </row>
    <row r="189" spans="1:15" ht="15">
      <c r="A189" s="78"/>
      <c r="B189" s="65"/>
      <c r="C189" s="65"/>
      <c r="D189" s="65"/>
      <c r="E189" s="65"/>
      <c r="F189" s="65"/>
      <c r="G189" s="65"/>
      <c r="H189" s="78"/>
      <c r="I189" s="134"/>
      <c r="J189" s="78"/>
      <c r="K189" s="78"/>
      <c r="L189" s="65"/>
      <c r="M189" s="65"/>
      <c r="N189" s="65"/>
      <c r="O189" s="65"/>
    </row>
    <row r="190" spans="1:15" ht="15">
      <c r="A190" s="78"/>
      <c r="B190" s="65"/>
      <c r="C190" s="65"/>
      <c r="D190" s="65"/>
      <c r="E190" s="65"/>
      <c r="F190" s="65"/>
      <c r="G190" s="65"/>
      <c r="H190" s="78"/>
      <c r="I190" s="134"/>
      <c r="J190" s="78"/>
      <c r="K190" s="78"/>
      <c r="L190" s="65"/>
      <c r="M190" s="65"/>
      <c r="N190" s="65"/>
      <c r="O190" s="65"/>
    </row>
    <row r="191" spans="1:15" ht="15">
      <c r="A191" s="78"/>
      <c r="B191" s="65"/>
      <c r="C191" s="65"/>
      <c r="D191" s="65"/>
      <c r="E191" s="65"/>
      <c r="F191" s="65"/>
      <c r="G191" s="65"/>
      <c r="H191" s="78"/>
      <c r="I191" s="134"/>
      <c r="J191" s="78"/>
      <c r="K191" s="78"/>
      <c r="L191" s="65"/>
      <c r="M191" s="65"/>
      <c r="N191" s="65"/>
      <c r="O191" s="65"/>
    </row>
    <row r="192" spans="1:15" ht="15">
      <c r="A192" s="78"/>
      <c r="B192" s="65"/>
      <c r="C192" s="65"/>
      <c r="D192" s="65"/>
      <c r="E192" s="65"/>
      <c r="F192" s="65"/>
      <c r="G192" s="65"/>
      <c r="H192" s="78"/>
      <c r="I192" s="134"/>
      <c r="J192" s="78"/>
      <c r="K192" s="78"/>
      <c r="L192" s="65"/>
      <c r="M192" s="65"/>
      <c r="N192" s="65"/>
      <c r="O192" s="65"/>
    </row>
    <row r="193" spans="1:15" ht="15">
      <c r="A193" s="78"/>
      <c r="B193" s="65"/>
      <c r="C193" s="65"/>
      <c r="D193" s="65"/>
      <c r="E193" s="65"/>
      <c r="F193" s="65"/>
      <c r="G193" s="65"/>
      <c r="H193" s="78"/>
      <c r="I193" s="134"/>
      <c r="J193" s="78"/>
      <c r="K193" s="78"/>
      <c r="L193" s="65"/>
      <c r="M193" s="65"/>
      <c r="N193" s="65"/>
      <c r="O193" s="65"/>
    </row>
    <row r="194" spans="1:15" ht="15">
      <c r="A194" s="78"/>
      <c r="B194" s="65"/>
      <c r="C194" s="65"/>
      <c r="D194" s="65"/>
      <c r="E194" s="65"/>
      <c r="F194" s="65"/>
      <c r="G194" s="65"/>
      <c r="H194" s="78"/>
      <c r="I194" s="134"/>
      <c r="J194" s="78"/>
      <c r="K194" s="78"/>
      <c r="L194" s="65"/>
      <c r="M194" s="65"/>
      <c r="N194" s="65"/>
      <c r="O194" s="65"/>
    </row>
    <row r="195" spans="1:15" ht="15">
      <c r="A195" s="78"/>
      <c r="B195" s="65"/>
      <c r="C195" s="65"/>
      <c r="D195" s="65"/>
      <c r="E195" s="65"/>
      <c r="F195" s="65"/>
      <c r="G195" s="65"/>
      <c r="H195" s="78"/>
      <c r="I195" s="134"/>
      <c r="J195" s="78"/>
      <c r="K195" s="78"/>
      <c r="L195" s="65"/>
      <c r="M195" s="65"/>
      <c r="N195" s="65"/>
      <c r="O195" s="65"/>
    </row>
    <row r="196" spans="1:15" ht="15">
      <c r="A196" s="78"/>
      <c r="B196" s="65"/>
      <c r="C196" s="65"/>
      <c r="D196" s="65"/>
      <c r="E196" s="65"/>
      <c r="F196" s="65"/>
      <c r="G196" s="65"/>
      <c r="H196" s="78"/>
      <c r="I196" s="134"/>
      <c r="J196" s="78"/>
      <c r="K196" s="78"/>
      <c r="L196" s="65"/>
      <c r="M196" s="65"/>
      <c r="N196" s="65"/>
      <c r="O196" s="65"/>
    </row>
    <row r="197" spans="1:15" ht="15">
      <c r="A197" s="78"/>
      <c r="B197" s="65"/>
      <c r="C197" s="65"/>
      <c r="D197" s="65"/>
      <c r="E197" s="65"/>
      <c r="F197" s="65"/>
      <c r="G197" s="65"/>
      <c r="H197" s="78"/>
      <c r="I197" s="134"/>
      <c r="J197" s="78"/>
      <c r="K197" s="78"/>
      <c r="L197" s="65"/>
      <c r="M197" s="65"/>
      <c r="N197" s="65"/>
      <c r="O197" s="65"/>
    </row>
    <row r="198" spans="1:15" ht="15">
      <c r="A198" s="78"/>
      <c r="B198" s="65"/>
      <c r="C198" s="65"/>
      <c r="D198" s="65"/>
      <c r="E198" s="65"/>
      <c r="F198" s="65"/>
      <c r="G198" s="65"/>
      <c r="H198" s="78"/>
      <c r="I198" s="134"/>
      <c r="J198" s="78"/>
      <c r="K198" s="78"/>
      <c r="L198" s="65"/>
      <c r="M198" s="65"/>
      <c r="N198" s="65"/>
      <c r="O198" s="65"/>
    </row>
    <row r="199" spans="1:15" ht="15">
      <c r="A199" s="78"/>
      <c r="B199" s="65"/>
      <c r="C199" s="65"/>
      <c r="D199" s="65"/>
      <c r="E199" s="65"/>
      <c r="F199" s="65"/>
      <c r="G199" s="65"/>
      <c r="H199" s="78"/>
      <c r="I199" s="134"/>
      <c r="J199" s="78"/>
      <c r="K199" s="78"/>
      <c r="L199" s="65"/>
      <c r="M199" s="65"/>
      <c r="N199" s="65"/>
      <c r="O199" s="65"/>
    </row>
    <row r="200" spans="1:15" ht="15">
      <c r="A200" s="78"/>
      <c r="B200" s="65"/>
      <c r="C200" s="65"/>
      <c r="D200" s="65"/>
      <c r="E200" s="65"/>
      <c r="F200" s="65"/>
      <c r="G200" s="65"/>
      <c r="H200" s="78"/>
      <c r="I200" s="134"/>
      <c r="J200" s="78"/>
      <c r="K200" s="78"/>
      <c r="L200" s="65"/>
      <c r="M200" s="65"/>
      <c r="N200" s="65"/>
      <c r="O200" s="65"/>
    </row>
    <row r="201" spans="1:15" ht="15">
      <c r="A201" s="78"/>
      <c r="B201" s="65"/>
      <c r="C201" s="65"/>
      <c r="D201" s="65"/>
      <c r="E201" s="65"/>
      <c r="F201" s="65"/>
      <c r="G201" s="65"/>
      <c r="H201" s="78"/>
      <c r="I201" s="134"/>
      <c r="J201" s="78"/>
      <c r="K201" s="78"/>
      <c r="L201" s="65"/>
      <c r="M201" s="65"/>
      <c r="N201" s="65"/>
      <c r="O201" s="65"/>
    </row>
    <row r="202" spans="1:15" ht="15">
      <c r="A202" s="78"/>
      <c r="B202" s="65"/>
      <c r="C202" s="65"/>
      <c r="D202" s="65"/>
      <c r="E202" s="65"/>
      <c r="F202" s="65"/>
      <c r="G202" s="65"/>
      <c r="H202" s="78"/>
      <c r="I202" s="134"/>
      <c r="J202" s="78"/>
      <c r="K202" s="78"/>
      <c r="L202" s="65"/>
      <c r="M202" s="65"/>
      <c r="N202" s="65"/>
      <c r="O202" s="65"/>
    </row>
    <row r="203" spans="1:15" ht="15">
      <c r="A203" s="78"/>
      <c r="B203" s="65"/>
      <c r="C203" s="65"/>
      <c r="D203" s="65"/>
      <c r="E203" s="65"/>
      <c r="F203" s="65"/>
      <c r="G203" s="65"/>
      <c r="H203" s="78"/>
      <c r="I203" s="134"/>
      <c r="J203" s="78"/>
      <c r="K203" s="78"/>
      <c r="L203" s="65"/>
      <c r="M203" s="65"/>
      <c r="N203" s="65"/>
      <c r="O203" s="65"/>
    </row>
    <row r="204" spans="1:15" ht="15">
      <c r="A204" s="78"/>
      <c r="B204" s="65"/>
      <c r="C204" s="65"/>
      <c r="D204" s="65"/>
      <c r="E204" s="65"/>
      <c r="F204" s="65"/>
      <c r="G204" s="65"/>
      <c r="H204" s="78"/>
      <c r="I204" s="134"/>
      <c r="J204" s="78"/>
      <c r="K204" s="78"/>
      <c r="L204" s="65"/>
      <c r="M204" s="65"/>
      <c r="N204" s="65"/>
      <c r="O204" s="65"/>
    </row>
    <row r="205" spans="1:15" ht="15">
      <c r="A205" s="78"/>
      <c r="B205" s="65"/>
      <c r="C205" s="65"/>
      <c r="D205" s="65"/>
      <c r="E205" s="65"/>
      <c r="F205" s="65"/>
      <c r="G205" s="65"/>
      <c r="H205" s="78"/>
      <c r="I205" s="134"/>
      <c r="J205" s="78"/>
      <c r="K205" s="78"/>
      <c r="L205" s="65"/>
      <c r="M205" s="65"/>
      <c r="N205" s="65"/>
      <c r="O205" s="65"/>
    </row>
    <row r="206" spans="1:15" ht="15">
      <c r="A206" s="78"/>
      <c r="B206" s="65"/>
      <c r="C206" s="65"/>
      <c r="D206" s="65"/>
      <c r="E206" s="65"/>
      <c r="F206" s="65"/>
      <c r="G206" s="65"/>
      <c r="H206" s="78"/>
      <c r="I206" s="134"/>
      <c r="J206" s="78"/>
      <c r="K206" s="78"/>
      <c r="L206" s="65"/>
      <c r="M206" s="65"/>
      <c r="N206" s="65"/>
      <c r="O206" s="65"/>
    </row>
    <row r="207" spans="1:15" ht="15">
      <c r="A207" s="78"/>
      <c r="B207" s="65"/>
      <c r="C207" s="65"/>
      <c r="D207" s="65"/>
      <c r="E207" s="65"/>
      <c r="F207" s="65"/>
      <c r="G207" s="65"/>
      <c r="H207" s="78"/>
      <c r="I207" s="134"/>
      <c r="J207" s="78"/>
      <c r="K207" s="78"/>
      <c r="L207" s="65"/>
      <c r="M207" s="65"/>
      <c r="N207" s="65"/>
      <c r="O207" s="65"/>
    </row>
    <row r="208" spans="1:15" ht="15">
      <c r="A208" s="78"/>
      <c r="B208" s="65"/>
      <c r="C208" s="65"/>
      <c r="D208" s="65"/>
      <c r="E208" s="65"/>
      <c r="F208" s="65"/>
      <c r="G208" s="65"/>
      <c r="H208" s="78"/>
      <c r="I208" s="134"/>
      <c r="J208" s="78"/>
      <c r="K208" s="78"/>
      <c r="L208" s="65"/>
      <c r="M208" s="65"/>
      <c r="N208" s="65"/>
      <c r="O208" s="65"/>
    </row>
    <row r="209" spans="1:15" ht="15">
      <c r="A209" s="78"/>
      <c r="B209" s="65"/>
      <c r="C209" s="65"/>
      <c r="D209" s="65"/>
      <c r="E209" s="65"/>
      <c r="F209" s="65"/>
      <c r="G209" s="65"/>
      <c r="H209" s="78"/>
      <c r="I209" s="134"/>
      <c r="J209" s="78"/>
      <c r="K209" s="78"/>
      <c r="L209" s="65"/>
      <c r="M209" s="65"/>
      <c r="N209" s="65"/>
      <c r="O209" s="65"/>
    </row>
    <row r="210" spans="1:15" ht="15">
      <c r="A210" s="78"/>
      <c r="B210" s="65"/>
      <c r="C210" s="65"/>
      <c r="D210" s="65"/>
      <c r="E210" s="65"/>
      <c r="F210" s="65"/>
      <c r="G210" s="65"/>
      <c r="H210" s="78"/>
      <c r="I210" s="134"/>
      <c r="J210" s="78"/>
      <c r="K210" s="78"/>
      <c r="L210" s="65"/>
      <c r="M210" s="65"/>
      <c r="N210" s="65"/>
      <c r="O210" s="65"/>
    </row>
    <row r="211" spans="1:15" ht="15">
      <c r="A211" s="78"/>
      <c r="B211" s="65"/>
      <c r="C211" s="65"/>
      <c r="D211" s="65"/>
      <c r="E211" s="65"/>
      <c r="F211" s="65"/>
      <c r="G211" s="65"/>
      <c r="H211" s="78"/>
      <c r="I211" s="134"/>
      <c r="J211" s="78"/>
      <c r="K211" s="78"/>
      <c r="L211" s="65"/>
      <c r="M211" s="65"/>
      <c r="N211" s="65"/>
      <c r="O211" s="65"/>
    </row>
    <row r="212" spans="1:15" ht="15">
      <c r="A212" s="78"/>
      <c r="B212" s="65"/>
      <c r="C212" s="65"/>
      <c r="D212" s="65"/>
      <c r="E212" s="65"/>
      <c r="F212" s="65"/>
      <c r="G212" s="65"/>
      <c r="H212" s="78"/>
      <c r="I212" s="134"/>
      <c r="J212" s="78"/>
      <c r="K212" s="78"/>
      <c r="L212" s="65"/>
      <c r="M212" s="65"/>
      <c r="N212" s="65"/>
      <c r="O212" s="65"/>
    </row>
    <row r="213" spans="1:15" ht="15">
      <c r="A213" s="78"/>
      <c r="B213" s="65"/>
      <c r="C213" s="65"/>
      <c r="D213" s="65"/>
      <c r="E213" s="65"/>
      <c r="F213" s="65"/>
      <c r="G213" s="65"/>
      <c r="H213" s="78"/>
      <c r="I213" s="134"/>
      <c r="J213" s="78"/>
      <c r="K213" s="78"/>
      <c r="L213" s="65"/>
      <c r="M213" s="65"/>
      <c r="N213" s="65"/>
      <c r="O213" s="65"/>
    </row>
    <row r="214" spans="1:15" ht="15">
      <c r="A214" s="78"/>
      <c r="B214" s="65"/>
      <c r="C214" s="65"/>
      <c r="D214" s="65"/>
      <c r="E214" s="65"/>
      <c r="F214" s="65"/>
      <c r="G214" s="65"/>
      <c r="H214" s="78"/>
      <c r="I214" s="134"/>
      <c r="J214" s="78"/>
      <c r="K214" s="78"/>
      <c r="L214" s="65"/>
      <c r="M214" s="65"/>
      <c r="N214" s="65"/>
      <c r="O214" s="65"/>
    </row>
    <row r="215" spans="1:15" ht="15">
      <c r="A215" s="78"/>
      <c r="B215" s="65"/>
      <c r="C215" s="65"/>
      <c r="D215" s="65"/>
      <c r="E215" s="65"/>
      <c r="F215" s="65"/>
      <c r="G215" s="65"/>
      <c r="H215" s="78"/>
      <c r="I215" s="134"/>
      <c r="J215" s="78"/>
      <c r="K215" s="78"/>
      <c r="L215" s="65"/>
      <c r="M215" s="65"/>
      <c r="N215" s="65"/>
      <c r="O215" s="65"/>
    </row>
    <row r="216" spans="1:15" ht="15">
      <c r="A216" s="78"/>
      <c r="B216" s="65"/>
      <c r="C216" s="65"/>
      <c r="D216" s="65"/>
      <c r="E216" s="65"/>
      <c r="F216" s="65"/>
      <c r="G216" s="65"/>
      <c r="H216" s="78"/>
      <c r="I216" s="134"/>
      <c r="J216" s="78"/>
      <c r="K216" s="78"/>
      <c r="L216" s="65"/>
      <c r="M216" s="65"/>
      <c r="N216" s="65"/>
      <c r="O216" s="65"/>
    </row>
    <row r="217" spans="1:15" ht="15">
      <c r="A217" s="78"/>
      <c r="B217" s="65"/>
      <c r="C217" s="65"/>
      <c r="D217" s="65"/>
      <c r="E217" s="65"/>
      <c r="F217" s="65"/>
      <c r="G217" s="65"/>
      <c r="H217" s="78"/>
      <c r="I217" s="134"/>
      <c r="J217" s="78"/>
      <c r="K217" s="78"/>
      <c r="L217" s="65"/>
      <c r="M217" s="65"/>
      <c r="N217" s="65"/>
      <c r="O217" s="65"/>
    </row>
    <row r="218" spans="1:15" ht="15">
      <c r="A218" s="78"/>
      <c r="B218" s="65"/>
      <c r="C218" s="65"/>
      <c r="D218" s="65"/>
      <c r="E218" s="65"/>
      <c r="F218" s="65"/>
      <c r="G218" s="65"/>
      <c r="H218" s="78"/>
      <c r="I218" s="134"/>
      <c r="J218" s="78"/>
      <c r="K218" s="78"/>
      <c r="L218" s="65"/>
      <c r="M218" s="65"/>
      <c r="N218" s="65"/>
      <c r="O218" s="65"/>
    </row>
    <row r="219" spans="1:15" ht="15">
      <c r="A219" s="78"/>
      <c r="B219" s="65"/>
      <c r="C219" s="65"/>
      <c r="D219" s="65"/>
      <c r="E219" s="65"/>
      <c r="F219" s="65"/>
      <c r="G219" s="65"/>
      <c r="H219" s="78"/>
      <c r="I219" s="134"/>
      <c r="J219" s="78"/>
      <c r="K219" s="78"/>
      <c r="L219" s="65"/>
      <c r="M219" s="65"/>
      <c r="N219" s="65"/>
      <c r="O219" s="65"/>
    </row>
    <row r="220" spans="1:15" ht="15">
      <c r="A220" s="78"/>
      <c r="B220" s="65"/>
      <c r="C220" s="65"/>
      <c r="D220" s="65"/>
      <c r="E220" s="65"/>
      <c r="F220" s="65"/>
      <c r="G220" s="65"/>
      <c r="H220" s="78"/>
      <c r="I220" s="134"/>
      <c r="J220" s="78"/>
      <c r="K220" s="78"/>
      <c r="L220" s="65"/>
      <c r="M220" s="65"/>
      <c r="N220" s="65"/>
      <c r="O220" s="65"/>
    </row>
    <row r="221" spans="1:15" ht="15">
      <c r="A221" s="78"/>
      <c r="B221" s="65"/>
      <c r="C221" s="65"/>
      <c r="D221" s="65"/>
      <c r="E221" s="65"/>
      <c r="F221" s="65"/>
      <c r="G221" s="65"/>
      <c r="H221" s="78"/>
      <c r="I221" s="134"/>
      <c r="J221" s="78"/>
      <c r="K221" s="78"/>
      <c r="L221" s="65"/>
      <c r="M221" s="65"/>
      <c r="N221" s="65"/>
      <c r="O221" s="65"/>
    </row>
    <row r="222" spans="1:15" ht="15">
      <c r="A222" s="78"/>
      <c r="B222" s="65"/>
      <c r="C222" s="65"/>
      <c r="D222" s="65"/>
      <c r="E222" s="65"/>
      <c r="F222" s="65"/>
      <c r="G222" s="65"/>
      <c r="H222" s="78"/>
      <c r="I222" s="134"/>
      <c r="J222" s="78"/>
      <c r="K222" s="78"/>
      <c r="L222" s="65"/>
      <c r="M222" s="65"/>
      <c r="N222" s="65"/>
      <c r="O222" s="65"/>
    </row>
    <row r="223" spans="1:15" ht="15">
      <c r="A223" s="78"/>
      <c r="B223" s="65"/>
      <c r="C223" s="65"/>
      <c r="D223" s="65"/>
      <c r="E223" s="65"/>
      <c r="F223" s="65"/>
      <c r="G223" s="65"/>
      <c r="H223" s="78"/>
      <c r="I223" s="134"/>
      <c r="J223" s="78"/>
      <c r="K223" s="78"/>
      <c r="L223" s="65"/>
      <c r="M223" s="65"/>
      <c r="N223" s="65"/>
      <c r="O223" s="65"/>
    </row>
    <row r="224" spans="1:15" ht="15">
      <c r="A224" s="78"/>
      <c r="B224" s="65"/>
      <c r="C224" s="65"/>
      <c r="D224" s="65"/>
      <c r="E224" s="65"/>
      <c r="F224" s="65"/>
      <c r="G224" s="65"/>
      <c r="H224" s="78"/>
      <c r="I224" s="134"/>
      <c r="J224" s="78"/>
      <c r="K224" s="78"/>
      <c r="L224" s="65"/>
      <c r="M224" s="65"/>
      <c r="N224" s="65"/>
      <c r="O224" s="65"/>
    </row>
    <row r="225" spans="1:15" ht="15">
      <c r="A225" s="78"/>
      <c r="B225" s="65"/>
      <c r="C225" s="65"/>
      <c r="D225" s="65"/>
      <c r="E225" s="65"/>
      <c r="F225" s="65"/>
      <c r="G225" s="65"/>
      <c r="H225" s="78"/>
      <c r="I225" s="134"/>
      <c r="J225" s="78"/>
      <c r="K225" s="78"/>
      <c r="L225" s="65"/>
      <c r="M225" s="65"/>
      <c r="N225" s="65"/>
      <c r="O225" s="65"/>
    </row>
    <row r="226" spans="1:15" ht="15">
      <c r="A226" s="78"/>
      <c r="B226" s="65"/>
      <c r="C226" s="65"/>
      <c r="D226" s="65"/>
      <c r="E226" s="65"/>
      <c r="F226" s="65"/>
      <c r="G226" s="65"/>
      <c r="H226" s="78"/>
      <c r="I226" s="134"/>
      <c r="J226" s="78"/>
      <c r="K226" s="78"/>
      <c r="L226" s="65"/>
      <c r="M226" s="65"/>
      <c r="N226" s="65"/>
      <c r="O226" s="65"/>
    </row>
    <row r="227" spans="1:15" ht="15">
      <c r="A227" s="78"/>
      <c r="B227" s="65"/>
      <c r="C227" s="65"/>
      <c r="D227" s="65"/>
      <c r="E227" s="65"/>
      <c r="F227" s="65"/>
      <c r="G227" s="65"/>
      <c r="H227" s="78"/>
      <c r="I227" s="134"/>
      <c r="J227" s="78"/>
      <c r="K227" s="78"/>
      <c r="L227" s="65"/>
      <c r="M227" s="65"/>
      <c r="N227" s="65"/>
      <c r="O227" s="65"/>
    </row>
    <row r="228" spans="1:15" ht="15">
      <c r="A228" s="78"/>
      <c r="B228" s="65"/>
      <c r="C228" s="65"/>
      <c r="D228" s="65"/>
      <c r="E228" s="65"/>
      <c r="F228" s="65"/>
      <c r="G228" s="65"/>
      <c r="H228" s="78"/>
      <c r="I228" s="134"/>
      <c r="J228" s="78"/>
      <c r="K228" s="78"/>
      <c r="L228" s="65"/>
      <c r="M228" s="65"/>
      <c r="N228" s="65"/>
      <c r="O228" s="65"/>
    </row>
    <row r="229" spans="1:15" ht="15">
      <c r="A229" s="78"/>
      <c r="B229" s="65"/>
      <c r="C229" s="65"/>
      <c r="D229" s="65"/>
      <c r="E229" s="65"/>
      <c r="F229" s="65"/>
      <c r="G229" s="65"/>
      <c r="H229" s="78"/>
      <c r="I229" s="134"/>
      <c r="J229" s="78"/>
      <c r="K229" s="78"/>
      <c r="L229" s="65"/>
      <c r="M229" s="65"/>
      <c r="N229" s="65"/>
      <c r="O229" s="65"/>
    </row>
    <row r="230" spans="1:15" ht="15">
      <c r="A230" s="78"/>
      <c r="B230" s="65"/>
      <c r="C230" s="65"/>
      <c r="D230" s="65"/>
      <c r="E230" s="65"/>
      <c r="F230" s="65"/>
      <c r="G230" s="65"/>
      <c r="H230" s="78"/>
      <c r="I230" s="134"/>
      <c r="J230" s="78"/>
      <c r="K230" s="78"/>
      <c r="L230" s="65"/>
      <c r="M230" s="65"/>
      <c r="N230" s="65"/>
      <c r="O230" s="65"/>
    </row>
    <row r="231" spans="1:15" ht="15">
      <c r="A231" s="78"/>
      <c r="B231" s="65"/>
      <c r="C231" s="65"/>
      <c r="D231" s="65"/>
      <c r="E231" s="65"/>
      <c r="F231" s="65"/>
      <c r="G231" s="65"/>
      <c r="H231" s="78"/>
      <c r="I231" s="134"/>
      <c r="J231" s="78"/>
      <c r="K231" s="78"/>
      <c r="L231" s="65"/>
      <c r="M231" s="65"/>
      <c r="N231" s="65"/>
      <c r="O231" s="65"/>
    </row>
    <row r="232" spans="1:15" ht="15">
      <c r="A232" s="78"/>
      <c r="B232" s="65"/>
      <c r="C232" s="65"/>
      <c r="D232" s="65"/>
      <c r="E232" s="65"/>
      <c r="F232" s="65"/>
      <c r="G232" s="65"/>
      <c r="H232" s="78"/>
      <c r="I232" s="134"/>
      <c r="J232" s="78"/>
      <c r="K232" s="78"/>
      <c r="L232" s="65"/>
      <c r="M232" s="65"/>
      <c r="N232" s="65"/>
      <c r="O232" s="65"/>
    </row>
    <row r="233" spans="1:15" ht="15">
      <c r="A233" s="78"/>
      <c r="B233" s="65"/>
      <c r="C233" s="65"/>
      <c r="D233" s="65"/>
      <c r="E233" s="65"/>
      <c r="F233" s="65"/>
      <c r="G233" s="65"/>
      <c r="H233" s="78"/>
      <c r="I233" s="134"/>
      <c r="J233" s="78"/>
      <c r="K233" s="78"/>
      <c r="L233" s="65"/>
      <c r="M233" s="65"/>
      <c r="N233" s="65"/>
      <c r="O233" s="65"/>
    </row>
    <row r="234" spans="1:15" ht="15">
      <c r="A234" s="78"/>
      <c r="B234" s="65"/>
      <c r="C234" s="65"/>
      <c r="D234" s="65"/>
      <c r="E234" s="65"/>
      <c r="F234" s="65"/>
      <c r="G234" s="65"/>
      <c r="H234" s="78"/>
      <c r="I234" s="134"/>
      <c r="J234" s="78"/>
      <c r="K234" s="78"/>
      <c r="L234" s="65"/>
      <c r="M234" s="65"/>
      <c r="N234" s="65"/>
      <c r="O234" s="65"/>
    </row>
    <row r="235" spans="1:15" ht="15">
      <c r="A235" s="78"/>
      <c r="B235" s="65"/>
      <c r="C235" s="65"/>
      <c r="D235" s="65"/>
      <c r="E235" s="65"/>
      <c r="F235" s="65"/>
      <c r="G235" s="65"/>
      <c r="H235" s="78"/>
      <c r="I235" s="134"/>
      <c r="J235" s="78"/>
      <c r="K235" s="78"/>
      <c r="L235" s="65"/>
      <c r="M235" s="65"/>
      <c r="N235" s="65"/>
      <c r="O235" s="65"/>
    </row>
    <row r="236" spans="1:15" ht="15">
      <c r="A236" s="78"/>
      <c r="B236" s="65"/>
      <c r="C236" s="65"/>
      <c r="D236" s="65"/>
      <c r="E236" s="65"/>
      <c r="F236" s="65"/>
      <c r="G236" s="65"/>
      <c r="H236" s="78"/>
      <c r="I236" s="134"/>
      <c r="J236" s="78"/>
      <c r="K236" s="78"/>
      <c r="L236" s="65"/>
      <c r="M236" s="65"/>
      <c r="N236" s="65"/>
      <c r="O236" s="65"/>
    </row>
    <row r="237" spans="1:15" ht="15">
      <c r="A237" s="78"/>
      <c r="B237" s="65"/>
      <c r="C237" s="65"/>
      <c r="D237" s="65"/>
      <c r="E237" s="65"/>
      <c r="F237" s="65"/>
      <c r="G237" s="65"/>
      <c r="H237" s="78"/>
      <c r="I237" s="134"/>
      <c r="J237" s="78"/>
      <c r="K237" s="78"/>
      <c r="L237" s="65"/>
      <c r="M237" s="65"/>
      <c r="N237" s="65"/>
      <c r="O237" s="65"/>
    </row>
    <row r="238" spans="1:15" ht="15">
      <c r="A238" s="78"/>
      <c r="B238" s="65"/>
      <c r="C238" s="65"/>
      <c r="D238" s="65"/>
      <c r="E238" s="65"/>
      <c r="F238" s="65"/>
      <c r="G238" s="65"/>
      <c r="H238" s="78"/>
      <c r="I238" s="134"/>
      <c r="J238" s="78"/>
      <c r="K238" s="78"/>
      <c r="L238" s="65"/>
      <c r="M238" s="65"/>
      <c r="N238" s="65"/>
      <c r="O238" s="65"/>
    </row>
    <row r="239" spans="1:15" ht="15">
      <c r="A239" s="78"/>
      <c r="B239" s="65"/>
      <c r="C239" s="65"/>
      <c r="D239" s="65"/>
      <c r="E239" s="65"/>
      <c r="F239" s="65"/>
      <c r="G239" s="65"/>
      <c r="H239" s="78"/>
      <c r="I239" s="134"/>
      <c r="J239" s="78"/>
      <c r="K239" s="78"/>
      <c r="L239" s="65"/>
      <c r="M239" s="65"/>
      <c r="N239" s="65"/>
      <c r="O239" s="65"/>
    </row>
    <row r="240" spans="1:15" ht="15">
      <c r="A240" s="78"/>
      <c r="B240" s="65"/>
      <c r="C240" s="65"/>
      <c r="D240" s="65"/>
      <c r="E240" s="65"/>
      <c r="F240" s="65"/>
      <c r="G240" s="65"/>
      <c r="H240" s="78"/>
      <c r="I240" s="134"/>
      <c r="J240" s="78"/>
      <c r="K240" s="78"/>
      <c r="L240" s="65"/>
      <c r="M240" s="65"/>
      <c r="N240" s="65"/>
      <c r="O240" s="65"/>
    </row>
    <row r="241" spans="1:15" ht="15">
      <c r="A241" s="78"/>
      <c r="B241" s="65"/>
      <c r="C241" s="65"/>
      <c r="D241" s="65"/>
      <c r="E241" s="65"/>
      <c r="F241" s="65"/>
      <c r="G241" s="65"/>
      <c r="H241" s="78"/>
      <c r="I241" s="134"/>
      <c r="J241" s="78"/>
      <c r="K241" s="78"/>
      <c r="L241" s="65"/>
      <c r="M241" s="65"/>
      <c r="N241" s="65"/>
      <c r="O241" s="65"/>
    </row>
    <row r="242" spans="1:15" ht="15">
      <c r="A242" s="78"/>
      <c r="B242" s="65"/>
      <c r="C242" s="65"/>
      <c r="D242" s="65"/>
      <c r="E242" s="65"/>
      <c r="F242" s="65"/>
      <c r="G242" s="65"/>
      <c r="H242" s="78"/>
      <c r="I242" s="134"/>
      <c r="J242" s="78"/>
      <c r="K242" s="78"/>
      <c r="L242" s="65"/>
      <c r="M242" s="65"/>
      <c r="N242" s="65"/>
      <c r="O242" s="65"/>
    </row>
    <row r="243" spans="1:15" ht="15">
      <c r="A243" s="78"/>
      <c r="B243" s="65"/>
      <c r="C243" s="65"/>
      <c r="D243" s="65"/>
      <c r="E243" s="65"/>
      <c r="F243" s="65"/>
      <c r="G243" s="65"/>
      <c r="H243" s="78"/>
      <c r="I243" s="134"/>
      <c r="J243" s="78"/>
      <c r="K243" s="78"/>
      <c r="L243" s="65"/>
      <c r="M243" s="65"/>
      <c r="N243" s="65"/>
      <c r="O243" s="65"/>
    </row>
    <row r="244" spans="1:15" ht="15">
      <c r="A244" s="78"/>
      <c r="B244" s="65"/>
      <c r="C244" s="65"/>
      <c r="D244" s="65"/>
      <c r="E244" s="65"/>
      <c r="F244" s="65"/>
      <c r="G244" s="65"/>
      <c r="H244" s="78"/>
      <c r="I244" s="134"/>
      <c r="J244" s="78"/>
      <c r="K244" s="78"/>
      <c r="L244" s="65"/>
      <c r="M244" s="65"/>
      <c r="N244" s="65"/>
      <c r="O244" s="65"/>
    </row>
    <row r="245" spans="1:15" ht="15">
      <c r="A245" s="78"/>
      <c r="B245" s="65"/>
      <c r="C245" s="65"/>
      <c r="D245" s="65"/>
      <c r="E245" s="65"/>
      <c r="F245" s="65"/>
      <c r="G245" s="65"/>
      <c r="H245" s="78"/>
      <c r="I245" s="134"/>
      <c r="J245" s="78"/>
      <c r="K245" s="78"/>
      <c r="L245" s="65"/>
      <c r="M245" s="65"/>
      <c r="N245" s="65"/>
      <c r="O245" s="65"/>
    </row>
    <row r="246" spans="1:15" ht="15">
      <c r="A246" s="78"/>
      <c r="B246" s="65"/>
      <c r="C246" s="65"/>
      <c r="D246" s="65"/>
      <c r="E246" s="65"/>
      <c r="F246" s="65"/>
      <c r="G246" s="65"/>
      <c r="H246" s="78"/>
      <c r="I246" s="134"/>
      <c r="J246" s="78"/>
      <c r="K246" s="78"/>
      <c r="L246" s="65"/>
      <c r="M246" s="65"/>
      <c r="N246" s="65"/>
      <c r="O246" s="65"/>
    </row>
    <row r="247" spans="1:15" ht="15">
      <c r="A247" s="78"/>
      <c r="B247" s="65"/>
      <c r="C247" s="65"/>
      <c r="D247" s="65"/>
      <c r="E247" s="65"/>
      <c r="F247" s="65"/>
      <c r="G247" s="65"/>
      <c r="H247" s="78"/>
      <c r="I247" s="134"/>
      <c r="J247" s="78"/>
      <c r="K247" s="78"/>
      <c r="L247" s="65"/>
      <c r="M247" s="65"/>
      <c r="N247" s="65"/>
      <c r="O247" s="65"/>
    </row>
    <row r="248" spans="1:15" ht="15">
      <c r="A248" s="78"/>
      <c r="B248" s="65"/>
      <c r="C248" s="65"/>
      <c r="D248" s="65"/>
      <c r="E248" s="65"/>
      <c r="F248" s="65"/>
      <c r="G248" s="65"/>
      <c r="H248" s="78"/>
      <c r="I248" s="134"/>
      <c r="J248" s="78"/>
      <c r="K248" s="78"/>
      <c r="L248" s="65"/>
      <c r="M248" s="65"/>
      <c r="N248" s="65"/>
      <c r="O248" s="65"/>
    </row>
    <row r="249" spans="1:15" ht="15">
      <c r="A249" s="78"/>
      <c r="B249" s="65"/>
      <c r="C249" s="65"/>
      <c r="D249" s="65"/>
      <c r="E249" s="65"/>
      <c r="F249" s="65"/>
      <c r="G249" s="65"/>
      <c r="H249" s="78"/>
      <c r="I249" s="134"/>
      <c r="J249" s="78"/>
      <c r="K249" s="78"/>
      <c r="L249" s="65"/>
      <c r="M249" s="65"/>
      <c r="N249" s="65"/>
      <c r="O249" s="65"/>
    </row>
    <row r="250" spans="1:15" ht="15">
      <c r="A250" s="78"/>
      <c r="B250" s="65"/>
      <c r="C250" s="65"/>
      <c r="D250" s="65"/>
      <c r="E250" s="65"/>
      <c r="F250" s="65"/>
      <c r="G250" s="65"/>
      <c r="H250" s="78"/>
      <c r="I250" s="134"/>
      <c r="J250" s="78"/>
      <c r="K250" s="78"/>
      <c r="L250" s="65"/>
      <c r="M250" s="65"/>
      <c r="N250" s="65"/>
      <c r="O250" s="65"/>
    </row>
    <row r="251" spans="1:15" ht="15">
      <c r="A251" s="78"/>
      <c r="B251" s="65"/>
      <c r="C251" s="65"/>
      <c r="D251" s="65"/>
      <c r="E251" s="65"/>
      <c r="F251" s="65"/>
      <c r="G251" s="65"/>
      <c r="H251" s="78"/>
      <c r="I251" s="134"/>
      <c r="J251" s="78"/>
      <c r="K251" s="78"/>
      <c r="L251" s="65"/>
      <c r="M251" s="65"/>
      <c r="N251" s="65"/>
      <c r="O251" s="65"/>
    </row>
    <row r="252" spans="1:15" ht="15">
      <c r="A252" s="78"/>
      <c r="B252" s="65"/>
      <c r="C252" s="65"/>
      <c r="D252" s="65"/>
      <c r="E252" s="65"/>
      <c r="F252" s="65"/>
      <c r="G252" s="65"/>
      <c r="H252" s="78"/>
      <c r="I252" s="134"/>
      <c r="J252" s="78"/>
      <c r="K252" s="78"/>
      <c r="L252" s="65"/>
      <c r="M252" s="65"/>
      <c r="N252" s="65"/>
      <c r="O252" s="65"/>
    </row>
    <row r="253" spans="1:15" ht="15">
      <c r="A253" s="78"/>
      <c r="B253" s="65"/>
      <c r="C253" s="65"/>
      <c r="D253" s="65"/>
      <c r="E253" s="65"/>
      <c r="F253" s="65"/>
      <c r="G253" s="65"/>
      <c r="H253" s="78"/>
      <c r="I253" s="134"/>
      <c r="J253" s="78"/>
      <c r="K253" s="78"/>
      <c r="L253" s="65"/>
      <c r="M253" s="65"/>
      <c r="N253" s="65"/>
      <c r="O253" s="65"/>
    </row>
    <row r="254" spans="1:15" ht="15">
      <c r="A254" s="78"/>
      <c r="B254" s="65"/>
      <c r="C254" s="65"/>
      <c r="D254" s="65"/>
      <c r="E254" s="65"/>
      <c r="F254" s="65"/>
      <c r="G254" s="65"/>
      <c r="H254" s="78"/>
      <c r="I254" s="134"/>
      <c r="J254" s="78"/>
      <c r="K254" s="78"/>
      <c r="L254" s="65"/>
      <c r="M254" s="65"/>
      <c r="N254" s="65"/>
      <c r="O254" s="65"/>
    </row>
    <row r="255" spans="1:15" ht="15">
      <c r="A255" s="78"/>
      <c r="B255" s="65"/>
      <c r="C255" s="65"/>
      <c r="D255" s="65"/>
      <c r="E255" s="65"/>
      <c r="F255" s="65"/>
      <c r="G255" s="65"/>
      <c r="H255" s="78"/>
      <c r="I255" s="134"/>
      <c r="J255" s="78"/>
      <c r="K255" s="78"/>
      <c r="L255" s="65"/>
      <c r="M255" s="65"/>
      <c r="N255" s="65"/>
      <c r="O255" s="65"/>
    </row>
    <row r="256" spans="1:15" ht="15">
      <c r="A256" s="78"/>
      <c r="B256" s="65"/>
      <c r="C256" s="65"/>
      <c r="D256" s="65"/>
      <c r="E256" s="65"/>
      <c r="F256" s="65"/>
      <c r="G256" s="65"/>
      <c r="H256" s="78"/>
      <c r="I256" s="134"/>
      <c r="J256" s="78"/>
      <c r="K256" s="78"/>
      <c r="L256" s="65"/>
      <c r="M256" s="65"/>
      <c r="N256" s="65"/>
      <c r="O256" s="65"/>
    </row>
    <row r="257" spans="1:15" ht="15">
      <c r="A257" s="78"/>
      <c r="B257" s="65"/>
      <c r="C257" s="65"/>
      <c r="D257" s="65"/>
      <c r="E257" s="65"/>
      <c r="F257" s="65"/>
      <c r="G257" s="65"/>
      <c r="H257" s="78"/>
      <c r="I257" s="134"/>
      <c r="J257" s="78"/>
      <c r="K257" s="78"/>
      <c r="L257" s="65"/>
      <c r="M257" s="65"/>
      <c r="N257" s="65"/>
      <c r="O257" s="65"/>
    </row>
    <row r="258" spans="1:15" ht="15">
      <c r="A258" s="78"/>
      <c r="B258" s="65"/>
      <c r="C258" s="65"/>
      <c r="D258" s="65"/>
      <c r="E258" s="65"/>
      <c r="F258" s="65"/>
      <c r="G258" s="65"/>
      <c r="H258" s="78"/>
      <c r="I258" s="134"/>
      <c r="J258" s="78"/>
      <c r="K258" s="78"/>
      <c r="L258" s="65"/>
      <c r="M258" s="65"/>
      <c r="N258" s="65"/>
      <c r="O258" s="65"/>
    </row>
    <row r="259" spans="1:15" ht="15">
      <c r="A259" s="78"/>
      <c r="B259" s="65"/>
      <c r="C259" s="65"/>
      <c r="D259" s="65"/>
      <c r="E259" s="65"/>
      <c r="F259" s="65"/>
      <c r="G259" s="65"/>
      <c r="H259" s="78"/>
      <c r="I259" s="134"/>
      <c r="J259" s="78"/>
      <c r="K259" s="78"/>
      <c r="L259" s="65"/>
      <c r="M259" s="65"/>
      <c r="N259" s="65"/>
      <c r="O259" s="65"/>
    </row>
    <row r="260" spans="1:15" ht="15">
      <c r="A260" s="78"/>
      <c r="B260" s="65"/>
      <c r="C260" s="65"/>
      <c r="D260" s="65"/>
      <c r="E260" s="65"/>
      <c r="F260" s="65"/>
      <c r="G260" s="65"/>
      <c r="H260" s="78"/>
      <c r="I260" s="134"/>
      <c r="J260" s="78"/>
      <c r="K260" s="78"/>
      <c r="L260" s="65"/>
      <c r="M260" s="65"/>
      <c r="N260" s="65"/>
      <c r="O260" s="65"/>
    </row>
    <row r="261" spans="1:15" ht="15">
      <c r="A261" s="78"/>
      <c r="B261" s="65"/>
      <c r="C261" s="65"/>
      <c r="D261" s="65"/>
      <c r="E261" s="65"/>
      <c r="F261" s="65"/>
      <c r="G261" s="65"/>
      <c r="H261" s="78"/>
      <c r="I261" s="134"/>
      <c r="J261" s="78"/>
      <c r="K261" s="78"/>
      <c r="L261" s="65"/>
      <c r="M261" s="65"/>
      <c r="N261" s="65"/>
      <c r="O261" s="65"/>
    </row>
    <row r="262" spans="1:15" ht="15">
      <c r="A262" s="78"/>
      <c r="B262" s="65"/>
      <c r="C262" s="65"/>
      <c r="D262" s="65"/>
      <c r="E262" s="65"/>
      <c r="F262" s="65"/>
      <c r="G262" s="65"/>
      <c r="H262" s="78"/>
      <c r="I262" s="134"/>
      <c r="J262" s="78"/>
      <c r="K262" s="78"/>
      <c r="L262" s="65"/>
      <c r="M262" s="65"/>
      <c r="N262" s="65"/>
      <c r="O262" s="65"/>
    </row>
    <row r="263" spans="1:15" ht="15">
      <c r="A263" s="78"/>
      <c r="B263" s="65"/>
      <c r="C263" s="65"/>
      <c r="D263" s="65"/>
      <c r="E263" s="65"/>
      <c r="F263" s="65"/>
      <c r="G263" s="65"/>
      <c r="H263" s="78"/>
      <c r="I263" s="134"/>
      <c r="J263" s="78"/>
      <c r="K263" s="78"/>
      <c r="L263" s="65"/>
      <c r="M263" s="65"/>
      <c r="N263" s="65"/>
      <c r="O263" s="65"/>
    </row>
    <row r="264" spans="1:15" ht="15">
      <c r="A264" s="78"/>
      <c r="B264" s="65"/>
      <c r="C264" s="65"/>
      <c r="D264" s="65"/>
      <c r="E264" s="65"/>
      <c r="F264" s="65"/>
      <c r="G264" s="65"/>
      <c r="H264" s="78"/>
      <c r="I264" s="134"/>
      <c r="J264" s="78"/>
      <c r="K264" s="78"/>
      <c r="L264" s="65"/>
      <c r="M264" s="65"/>
      <c r="N264" s="65"/>
      <c r="O264" s="65"/>
    </row>
    <row r="265" spans="1:15" ht="15">
      <c r="A265" s="78"/>
      <c r="B265" s="65"/>
      <c r="C265" s="65"/>
      <c r="D265" s="65"/>
      <c r="E265" s="65"/>
      <c r="F265" s="65"/>
      <c r="G265" s="65"/>
      <c r="H265" s="78"/>
      <c r="I265" s="134"/>
      <c r="J265" s="78"/>
      <c r="K265" s="78"/>
      <c r="L265" s="65"/>
      <c r="M265" s="65"/>
      <c r="N265" s="65"/>
      <c r="O265" s="65"/>
    </row>
    <row r="266" spans="1:15" ht="15">
      <c r="A266" s="78"/>
      <c r="B266" s="65"/>
      <c r="C266" s="65"/>
      <c r="D266" s="65"/>
      <c r="E266" s="65"/>
      <c r="F266" s="65"/>
      <c r="G266" s="65"/>
      <c r="H266" s="78"/>
      <c r="I266" s="134"/>
      <c r="J266" s="78"/>
      <c r="K266" s="78"/>
      <c r="L266" s="65"/>
      <c r="M266" s="65"/>
      <c r="N266" s="65"/>
      <c r="O266" s="65"/>
    </row>
    <row r="267" spans="1:15" ht="15">
      <c r="A267" s="78"/>
      <c r="B267" s="65"/>
      <c r="C267" s="65"/>
      <c r="D267" s="65"/>
      <c r="E267" s="65"/>
      <c r="F267" s="65"/>
      <c r="G267" s="65"/>
      <c r="H267" s="78"/>
      <c r="I267" s="134"/>
      <c r="J267" s="78"/>
      <c r="K267" s="78"/>
      <c r="L267" s="65"/>
      <c r="M267" s="65"/>
      <c r="N267" s="65"/>
      <c r="O267" s="65"/>
    </row>
    <row r="268" spans="1:15" ht="15">
      <c r="A268" s="78"/>
      <c r="B268" s="65"/>
      <c r="C268" s="65"/>
      <c r="D268" s="65"/>
      <c r="E268" s="65"/>
      <c r="F268" s="65"/>
      <c r="G268" s="65"/>
      <c r="H268" s="78"/>
      <c r="I268" s="134"/>
      <c r="J268" s="78"/>
      <c r="K268" s="78"/>
      <c r="L268" s="65"/>
      <c r="M268" s="65"/>
      <c r="N268" s="65"/>
      <c r="O268" s="65"/>
    </row>
    <row r="269" spans="1:15" ht="15">
      <c r="A269" s="78"/>
      <c r="B269" s="65"/>
      <c r="C269" s="65"/>
      <c r="D269" s="65"/>
      <c r="E269" s="65"/>
      <c r="F269" s="65"/>
      <c r="G269" s="65"/>
      <c r="H269" s="78"/>
      <c r="I269" s="134"/>
      <c r="J269" s="78"/>
      <c r="K269" s="78"/>
      <c r="L269" s="65"/>
      <c r="M269" s="65"/>
      <c r="N269" s="65"/>
      <c r="O269" s="65"/>
    </row>
    <row r="270" spans="1:15" ht="15">
      <c r="A270" s="78"/>
      <c r="B270" s="65"/>
      <c r="C270" s="65"/>
      <c r="D270" s="65"/>
      <c r="E270" s="65"/>
      <c r="F270" s="65"/>
      <c r="G270" s="65"/>
      <c r="H270" s="78"/>
      <c r="I270" s="134"/>
      <c r="J270" s="78"/>
      <c r="K270" s="78"/>
      <c r="L270" s="65"/>
      <c r="M270" s="65"/>
      <c r="N270" s="65"/>
      <c r="O270" s="65"/>
    </row>
    <row r="271" spans="1:15" ht="15">
      <c r="A271" s="78"/>
      <c r="B271" s="65"/>
      <c r="C271" s="65"/>
      <c r="D271" s="65"/>
      <c r="E271" s="65"/>
      <c r="F271" s="65"/>
      <c r="G271" s="65"/>
      <c r="H271" s="78"/>
      <c r="I271" s="134"/>
      <c r="J271" s="78"/>
      <c r="K271" s="78"/>
      <c r="L271" s="65"/>
      <c r="M271" s="65"/>
      <c r="N271" s="65"/>
      <c r="O271" s="65"/>
    </row>
    <row r="272" spans="1:15" ht="15">
      <c r="A272" s="78"/>
      <c r="B272" s="65"/>
      <c r="C272" s="65"/>
      <c r="D272" s="65"/>
      <c r="E272" s="65"/>
      <c r="F272" s="65"/>
      <c r="G272" s="65"/>
      <c r="H272" s="78"/>
      <c r="I272" s="134"/>
      <c r="J272" s="78"/>
      <c r="K272" s="78"/>
      <c r="L272" s="65"/>
      <c r="M272" s="65"/>
      <c r="N272" s="65"/>
      <c r="O272" s="65"/>
    </row>
    <row r="273" spans="1:15" ht="15">
      <c r="A273" s="78"/>
      <c r="B273" s="65"/>
      <c r="C273" s="65"/>
      <c r="D273" s="65"/>
      <c r="E273" s="65"/>
      <c r="F273" s="65"/>
      <c r="G273" s="65"/>
      <c r="H273" s="78"/>
      <c r="I273" s="134"/>
      <c r="J273" s="78"/>
      <c r="K273" s="78"/>
      <c r="L273" s="65"/>
      <c r="M273" s="65"/>
      <c r="N273" s="65"/>
      <c r="O273" s="65"/>
    </row>
    <row r="274" spans="1:15" ht="15">
      <c r="A274" s="78"/>
      <c r="B274" s="65"/>
      <c r="C274" s="65"/>
      <c r="D274" s="65"/>
      <c r="E274" s="65"/>
      <c r="F274" s="65"/>
      <c r="G274" s="65"/>
      <c r="H274" s="78"/>
      <c r="I274" s="134"/>
      <c r="J274" s="78"/>
      <c r="K274" s="78"/>
      <c r="L274" s="65"/>
      <c r="M274" s="65"/>
      <c r="N274" s="65"/>
      <c r="O274" s="65"/>
    </row>
    <row r="275" spans="1:15" ht="15">
      <c r="A275" s="78"/>
      <c r="B275" s="65"/>
      <c r="C275" s="65"/>
      <c r="D275" s="65"/>
      <c r="E275" s="65"/>
      <c r="F275" s="65"/>
      <c r="G275" s="65"/>
      <c r="H275" s="78"/>
      <c r="I275" s="134"/>
      <c r="J275" s="78"/>
      <c r="K275" s="78"/>
      <c r="L275" s="65"/>
      <c r="M275" s="65"/>
      <c r="N275" s="65"/>
      <c r="O275" s="65"/>
    </row>
    <row r="276" spans="1:15" ht="15">
      <c r="A276" s="78"/>
      <c r="B276" s="65"/>
      <c r="C276" s="65"/>
      <c r="D276" s="65"/>
      <c r="E276" s="65"/>
      <c r="F276" s="65"/>
      <c r="G276" s="65"/>
      <c r="H276" s="78"/>
      <c r="I276" s="134"/>
      <c r="J276" s="78"/>
      <c r="K276" s="78"/>
      <c r="L276" s="65"/>
      <c r="M276" s="65"/>
      <c r="N276" s="65"/>
      <c r="O276" s="65"/>
    </row>
    <row r="277" spans="1:15" ht="15">
      <c r="A277" s="78"/>
      <c r="B277" s="65"/>
      <c r="C277" s="65"/>
      <c r="D277" s="65"/>
      <c r="E277" s="65"/>
      <c r="F277" s="65"/>
      <c r="G277" s="65"/>
      <c r="H277" s="78"/>
      <c r="I277" s="134"/>
      <c r="J277" s="78"/>
      <c r="K277" s="78"/>
      <c r="L277" s="65"/>
      <c r="M277" s="65"/>
      <c r="N277" s="65"/>
      <c r="O277" s="65"/>
    </row>
    <row r="278" spans="1:15" ht="15">
      <c r="A278" s="78"/>
      <c r="B278" s="65"/>
      <c r="C278" s="65"/>
      <c r="D278" s="65"/>
      <c r="E278" s="65"/>
      <c r="F278" s="65"/>
      <c r="G278" s="65"/>
      <c r="H278" s="78"/>
      <c r="I278" s="134"/>
      <c r="J278" s="78"/>
      <c r="K278" s="78"/>
      <c r="L278" s="65"/>
      <c r="M278" s="65"/>
      <c r="N278" s="65"/>
      <c r="O278" s="65"/>
    </row>
    <row r="279" spans="1:15" ht="15">
      <c r="A279" s="78"/>
      <c r="B279" s="65"/>
      <c r="C279" s="65"/>
      <c r="D279" s="65"/>
      <c r="E279" s="65"/>
      <c r="F279" s="65"/>
      <c r="G279" s="65"/>
      <c r="H279" s="78"/>
      <c r="I279" s="134"/>
      <c r="J279" s="78"/>
      <c r="K279" s="78"/>
      <c r="L279" s="65"/>
      <c r="M279" s="65"/>
      <c r="N279" s="65"/>
      <c r="O279" s="65"/>
    </row>
    <row r="280" spans="1:15" ht="15">
      <c r="A280" s="78"/>
      <c r="B280" s="65"/>
      <c r="C280" s="65"/>
      <c r="D280" s="65"/>
      <c r="E280" s="65"/>
      <c r="F280" s="65"/>
      <c r="G280" s="65"/>
      <c r="H280" s="78"/>
      <c r="I280" s="134"/>
      <c r="J280" s="78"/>
      <c r="K280" s="78"/>
      <c r="L280" s="65"/>
      <c r="M280" s="65"/>
      <c r="N280" s="65"/>
      <c r="O280" s="65"/>
    </row>
    <row r="281" spans="1:15" ht="15">
      <c r="A281" s="78"/>
      <c r="B281" s="65"/>
      <c r="C281" s="65"/>
      <c r="D281" s="65"/>
      <c r="E281" s="65"/>
      <c r="F281" s="65"/>
      <c r="G281" s="65"/>
      <c r="H281" s="78"/>
      <c r="I281" s="134"/>
      <c r="J281" s="78"/>
      <c r="K281" s="78"/>
      <c r="L281" s="65"/>
      <c r="M281" s="65"/>
      <c r="N281" s="65"/>
      <c r="O281" s="65"/>
    </row>
    <row r="282" spans="1:15" ht="15">
      <c r="A282" s="78"/>
      <c r="B282" s="65"/>
      <c r="C282" s="65"/>
      <c r="D282" s="65"/>
      <c r="E282" s="65"/>
      <c r="F282" s="65"/>
      <c r="G282" s="65"/>
      <c r="H282" s="78"/>
      <c r="I282" s="134"/>
      <c r="J282" s="78"/>
      <c r="K282" s="78"/>
      <c r="L282" s="65"/>
      <c r="M282" s="65"/>
      <c r="N282" s="65"/>
      <c r="O282" s="65"/>
    </row>
    <row r="283" spans="1:15" ht="15">
      <c r="A283" s="78"/>
      <c r="B283" s="65"/>
      <c r="C283" s="65"/>
      <c r="D283" s="65"/>
      <c r="E283" s="65"/>
      <c r="F283" s="65"/>
      <c r="G283" s="65"/>
      <c r="H283" s="78"/>
      <c r="I283" s="134"/>
      <c r="J283" s="78"/>
      <c r="K283" s="78"/>
      <c r="L283" s="65"/>
      <c r="M283" s="65"/>
      <c r="N283" s="65"/>
      <c r="O283" s="65"/>
    </row>
    <row r="284" spans="1:15" ht="15">
      <c r="A284" s="78"/>
      <c r="B284" s="65"/>
      <c r="C284" s="65"/>
      <c r="D284" s="65"/>
      <c r="E284" s="65"/>
      <c r="F284" s="65"/>
      <c r="G284" s="65"/>
      <c r="H284" s="78"/>
      <c r="I284" s="134"/>
      <c r="J284" s="78"/>
      <c r="K284" s="78"/>
      <c r="L284" s="65"/>
      <c r="M284" s="65"/>
      <c r="N284" s="65"/>
      <c r="O284" s="65"/>
    </row>
    <row r="285" spans="1:15" ht="15">
      <c r="A285" s="78"/>
      <c r="B285" s="65"/>
      <c r="C285" s="65"/>
      <c r="D285" s="65"/>
      <c r="E285" s="65"/>
      <c r="F285" s="65"/>
      <c r="G285" s="65"/>
      <c r="H285" s="78"/>
      <c r="I285" s="134"/>
      <c r="J285" s="78"/>
      <c r="K285" s="78"/>
      <c r="L285" s="65"/>
      <c r="M285" s="65"/>
      <c r="N285" s="65"/>
      <c r="O285" s="65"/>
    </row>
    <row r="286" spans="1:15" ht="15">
      <c r="A286" s="78"/>
      <c r="B286" s="65"/>
      <c r="C286" s="65"/>
      <c r="D286" s="65"/>
      <c r="E286" s="65"/>
      <c r="F286" s="65"/>
      <c r="G286" s="65"/>
      <c r="H286" s="78"/>
      <c r="I286" s="134"/>
      <c r="J286" s="78"/>
      <c r="K286" s="78"/>
      <c r="L286" s="65"/>
      <c r="M286" s="65"/>
      <c r="N286" s="65"/>
      <c r="O286" s="65"/>
    </row>
    <row r="287" spans="1:15" ht="15">
      <c r="A287" s="78"/>
      <c r="B287" s="65"/>
      <c r="C287" s="65"/>
      <c r="D287" s="65"/>
      <c r="E287" s="65"/>
      <c r="F287" s="65"/>
      <c r="G287" s="65"/>
      <c r="H287" s="78"/>
      <c r="I287" s="134"/>
      <c r="J287" s="78"/>
      <c r="K287" s="78"/>
      <c r="L287" s="65"/>
      <c r="M287" s="65"/>
      <c r="N287" s="65"/>
      <c r="O287" s="65"/>
    </row>
    <row r="288" spans="1:15" ht="15">
      <c r="A288" s="78"/>
      <c r="B288" s="65"/>
      <c r="C288" s="65"/>
      <c r="D288" s="65"/>
      <c r="E288" s="65"/>
      <c r="F288" s="65"/>
      <c r="G288" s="65"/>
      <c r="H288" s="78"/>
      <c r="I288" s="134"/>
      <c r="J288" s="78"/>
      <c r="K288" s="78"/>
      <c r="L288" s="65"/>
      <c r="M288" s="65"/>
      <c r="N288" s="65"/>
      <c r="O288" s="65"/>
    </row>
    <row r="289" spans="1:15" ht="15">
      <c r="A289" s="78"/>
      <c r="B289" s="65"/>
      <c r="C289" s="65"/>
      <c r="D289" s="65"/>
      <c r="E289" s="65"/>
      <c r="F289" s="65"/>
      <c r="G289" s="65"/>
      <c r="H289" s="78"/>
      <c r="I289" s="134"/>
      <c r="J289" s="78"/>
      <c r="K289" s="78"/>
      <c r="L289" s="65"/>
      <c r="M289" s="65"/>
      <c r="N289" s="65"/>
      <c r="O289" s="65"/>
    </row>
    <row r="290" spans="1:15" ht="15">
      <c r="A290" s="78"/>
      <c r="B290" s="65"/>
      <c r="C290" s="65"/>
      <c r="D290" s="65"/>
      <c r="E290" s="65"/>
      <c r="F290" s="65"/>
      <c r="G290" s="65"/>
      <c r="H290" s="78"/>
      <c r="I290" s="134"/>
      <c r="J290" s="78"/>
      <c r="K290" s="78"/>
      <c r="L290" s="65"/>
      <c r="M290" s="65"/>
      <c r="N290" s="65"/>
      <c r="O290" s="65"/>
    </row>
    <row r="291" spans="1:15" ht="15">
      <c r="A291" s="78"/>
      <c r="B291" s="65"/>
      <c r="C291" s="65"/>
      <c r="D291" s="65"/>
      <c r="E291" s="65"/>
      <c r="F291" s="65"/>
      <c r="G291" s="65"/>
      <c r="H291" s="78"/>
      <c r="I291" s="134"/>
      <c r="J291" s="78"/>
      <c r="K291" s="78"/>
      <c r="L291" s="65"/>
      <c r="M291" s="65"/>
      <c r="N291" s="65"/>
      <c r="O291" s="65"/>
    </row>
    <row r="292" spans="1:15" ht="15">
      <c r="A292" s="78"/>
      <c r="B292" s="65"/>
      <c r="C292" s="65"/>
      <c r="D292" s="65"/>
      <c r="E292" s="65"/>
      <c r="F292" s="65"/>
      <c r="G292" s="65"/>
      <c r="H292" s="78"/>
      <c r="I292" s="134"/>
      <c r="J292" s="78"/>
      <c r="K292" s="78"/>
      <c r="L292" s="65"/>
      <c r="M292" s="65"/>
      <c r="N292" s="65"/>
      <c r="O292" s="65"/>
    </row>
    <row r="293" spans="1:15" ht="15">
      <c r="A293" s="78"/>
      <c r="B293" s="65"/>
      <c r="C293" s="65"/>
      <c r="D293" s="65"/>
      <c r="E293" s="65"/>
      <c r="F293" s="65"/>
      <c r="G293" s="65"/>
      <c r="H293" s="78"/>
      <c r="I293" s="134"/>
      <c r="J293" s="78"/>
      <c r="K293" s="78"/>
      <c r="L293" s="65"/>
      <c r="M293" s="65"/>
      <c r="N293" s="65"/>
      <c r="O293" s="65"/>
    </row>
    <row r="294" spans="1:15" ht="15">
      <c r="A294" s="78"/>
      <c r="B294" s="65"/>
      <c r="C294" s="65"/>
      <c r="D294" s="65"/>
      <c r="E294" s="65"/>
      <c r="F294" s="65"/>
      <c r="G294" s="65"/>
      <c r="H294" s="78"/>
      <c r="I294" s="134"/>
      <c r="J294" s="78"/>
      <c r="K294" s="78"/>
      <c r="L294" s="65"/>
      <c r="M294" s="65"/>
      <c r="N294" s="65"/>
      <c r="O294" s="65"/>
    </row>
    <row r="295" spans="1:15" ht="15">
      <c r="A295" s="78"/>
      <c r="B295" s="65"/>
      <c r="C295" s="65"/>
      <c r="D295" s="65"/>
      <c r="E295" s="65"/>
      <c r="F295" s="65"/>
      <c r="G295" s="65"/>
      <c r="H295" s="78"/>
      <c r="I295" s="134"/>
      <c r="J295" s="78"/>
      <c r="K295" s="78"/>
      <c r="L295" s="65"/>
      <c r="M295" s="65"/>
      <c r="N295" s="65"/>
      <c r="O295" s="65"/>
    </row>
    <row r="296" spans="1:15" ht="15">
      <c r="A296" s="78"/>
      <c r="B296" s="65"/>
      <c r="C296" s="65"/>
      <c r="D296" s="65"/>
      <c r="E296" s="65"/>
      <c r="F296" s="65"/>
      <c r="G296" s="65"/>
      <c r="H296" s="78"/>
      <c r="I296" s="134"/>
      <c r="J296" s="78"/>
      <c r="K296" s="78"/>
      <c r="L296" s="65"/>
      <c r="M296" s="65"/>
      <c r="N296" s="65"/>
      <c r="O296" s="65"/>
    </row>
    <row r="297" spans="1:15" ht="15">
      <c r="A297" s="78"/>
      <c r="B297" s="65"/>
      <c r="C297" s="65"/>
      <c r="D297" s="65"/>
      <c r="E297" s="65"/>
      <c r="F297" s="65"/>
      <c r="G297" s="65"/>
      <c r="H297" s="78"/>
      <c r="I297" s="134"/>
      <c r="J297" s="78"/>
      <c r="K297" s="78"/>
      <c r="L297" s="65"/>
      <c r="M297" s="65"/>
      <c r="N297" s="65"/>
      <c r="O297" s="65"/>
    </row>
    <row r="298" spans="1:15" ht="15">
      <c r="A298" s="78"/>
      <c r="B298" s="65"/>
      <c r="C298" s="65"/>
      <c r="D298" s="65"/>
      <c r="E298" s="65"/>
      <c r="F298" s="65"/>
      <c r="G298" s="65"/>
      <c r="H298" s="78"/>
      <c r="I298" s="134"/>
      <c r="J298" s="78"/>
      <c r="K298" s="78"/>
      <c r="L298" s="65"/>
      <c r="M298" s="65"/>
      <c r="N298" s="65"/>
      <c r="O298" s="65"/>
    </row>
    <row r="299" spans="1:15" ht="15">
      <c r="A299" s="78"/>
      <c r="B299" s="65"/>
      <c r="C299" s="65"/>
      <c r="D299" s="65"/>
      <c r="E299" s="65"/>
      <c r="F299" s="65"/>
      <c r="G299" s="65"/>
      <c r="H299" s="78"/>
      <c r="I299" s="134"/>
      <c r="J299" s="78"/>
      <c r="K299" s="78"/>
      <c r="L299" s="65"/>
      <c r="M299" s="65"/>
      <c r="N299" s="65"/>
      <c r="O299" s="65"/>
    </row>
    <row r="300" spans="1:15" ht="15">
      <c r="A300" s="78"/>
      <c r="B300" s="65"/>
      <c r="C300" s="65"/>
      <c r="D300" s="65"/>
      <c r="E300" s="65"/>
      <c r="F300" s="65"/>
      <c r="G300" s="65"/>
      <c r="H300" s="78"/>
      <c r="I300" s="134"/>
      <c r="J300" s="78"/>
      <c r="K300" s="78"/>
      <c r="L300" s="65"/>
      <c r="M300" s="65"/>
      <c r="N300" s="65"/>
      <c r="O300" s="65"/>
    </row>
    <row r="301" spans="1:15" ht="15">
      <c r="A301" s="78"/>
      <c r="B301" s="65"/>
      <c r="C301" s="65"/>
      <c r="D301" s="65"/>
      <c r="E301" s="65"/>
      <c r="F301" s="65"/>
      <c r="G301" s="65"/>
      <c r="H301" s="78"/>
      <c r="I301" s="134"/>
      <c r="J301" s="78"/>
      <c r="K301" s="78"/>
      <c r="L301" s="65"/>
      <c r="M301" s="65"/>
      <c r="N301" s="65"/>
      <c r="O301" s="65"/>
    </row>
    <row r="302" spans="1:15" ht="15">
      <c r="A302" s="78"/>
      <c r="B302" s="65"/>
      <c r="C302" s="65"/>
      <c r="D302" s="65"/>
      <c r="E302" s="65"/>
      <c r="F302" s="65"/>
      <c r="G302" s="65"/>
      <c r="H302" s="78"/>
      <c r="I302" s="134"/>
      <c r="J302" s="78"/>
      <c r="K302" s="78"/>
      <c r="L302" s="65"/>
      <c r="M302" s="65"/>
      <c r="N302" s="65"/>
      <c r="O302" s="65"/>
    </row>
    <row r="303" spans="1:15" ht="15">
      <c r="A303" s="78"/>
      <c r="B303" s="65"/>
      <c r="C303" s="65"/>
      <c r="D303" s="65"/>
      <c r="E303" s="65"/>
      <c r="F303" s="65"/>
      <c r="G303" s="65"/>
      <c r="H303" s="78"/>
      <c r="I303" s="134"/>
      <c r="J303" s="78"/>
      <c r="K303" s="78"/>
      <c r="L303" s="65"/>
      <c r="M303" s="65"/>
      <c r="N303" s="65"/>
      <c r="O303" s="65"/>
    </row>
    <row r="304" spans="1:15" ht="15">
      <c r="A304" s="78"/>
      <c r="B304" s="65"/>
      <c r="C304" s="65"/>
      <c r="D304" s="65"/>
      <c r="E304" s="65"/>
      <c r="F304" s="65"/>
      <c r="G304" s="65"/>
      <c r="H304" s="78"/>
      <c r="I304" s="134"/>
      <c r="J304" s="78"/>
      <c r="K304" s="78"/>
      <c r="L304" s="65"/>
      <c r="M304" s="65"/>
      <c r="N304" s="65"/>
      <c r="O304" s="65"/>
    </row>
    <row r="305" spans="1:15" ht="15">
      <c r="A305" s="78"/>
      <c r="B305" s="65"/>
      <c r="C305" s="65"/>
      <c r="D305" s="65"/>
      <c r="E305" s="65"/>
      <c r="F305" s="65"/>
      <c r="G305" s="65"/>
      <c r="H305" s="78"/>
      <c r="I305" s="134"/>
      <c r="J305" s="78"/>
      <c r="K305" s="78"/>
      <c r="L305" s="65"/>
      <c r="M305" s="65"/>
      <c r="N305" s="65"/>
      <c r="O305" s="65"/>
    </row>
    <row r="306" spans="1:15" ht="15">
      <c r="A306" s="78"/>
      <c r="B306" s="65"/>
      <c r="C306" s="65"/>
      <c r="D306" s="65"/>
      <c r="E306" s="65"/>
      <c r="F306" s="65"/>
      <c r="G306" s="65"/>
      <c r="H306" s="78"/>
      <c r="I306" s="134"/>
      <c r="J306" s="78"/>
      <c r="K306" s="78"/>
      <c r="L306" s="65"/>
      <c r="M306" s="65"/>
      <c r="N306" s="65"/>
      <c r="O306" s="65"/>
    </row>
    <row r="307" spans="1:15" ht="15">
      <c r="A307" s="78"/>
      <c r="B307" s="65"/>
      <c r="C307" s="65"/>
      <c r="D307" s="65"/>
      <c r="E307" s="65"/>
      <c r="F307" s="65"/>
      <c r="G307" s="65"/>
      <c r="H307" s="78"/>
      <c r="I307" s="134"/>
      <c r="J307" s="78"/>
      <c r="K307" s="78"/>
      <c r="L307" s="65"/>
      <c r="M307" s="65"/>
      <c r="N307" s="65"/>
      <c r="O307" s="65"/>
    </row>
    <row r="308" spans="1:15" ht="15">
      <c r="A308" s="78"/>
      <c r="B308" s="65"/>
      <c r="C308" s="65"/>
      <c r="D308" s="65"/>
      <c r="E308" s="65"/>
      <c r="F308" s="65"/>
      <c r="G308" s="65"/>
      <c r="H308" s="78"/>
      <c r="I308" s="134"/>
      <c r="J308" s="78"/>
      <c r="K308" s="78"/>
      <c r="L308" s="65"/>
      <c r="M308" s="65"/>
      <c r="N308" s="65"/>
      <c r="O308" s="65"/>
    </row>
    <row r="309" spans="1:15" ht="15">
      <c r="A309" s="78"/>
      <c r="B309" s="65"/>
      <c r="C309" s="65"/>
      <c r="D309" s="65"/>
      <c r="E309" s="65"/>
      <c r="F309" s="65"/>
      <c r="G309" s="65"/>
      <c r="H309" s="78"/>
      <c r="I309" s="134"/>
      <c r="J309" s="78"/>
      <c r="K309" s="78"/>
      <c r="L309" s="65"/>
      <c r="M309" s="65"/>
      <c r="N309" s="65"/>
      <c r="O309" s="65"/>
    </row>
    <row r="310" spans="1:15" ht="15">
      <c r="A310" s="78"/>
      <c r="B310" s="65"/>
      <c r="C310" s="65"/>
      <c r="D310" s="65"/>
      <c r="E310" s="65"/>
      <c r="F310" s="65"/>
      <c r="G310" s="65"/>
      <c r="H310" s="78"/>
      <c r="I310" s="134"/>
      <c r="J310" s="78"/>
      <c r="K310" s="78"/>
      <c r="L310" s="65"/>
      <c r="M310" s="65"/>
      <c r="N310" s="65"/>
      <c r="O310" s="65"/>
    </row>
    <row r="311" spans="1:15" ht="15">
      <c r="A311" s="78"/>
      <c r="B311" s="65"/>
      <c r="C311" s="65"/>
      <c r="D311" s="65"/>
      <c r="E311" s="65"/>
      <c r="F311" s="65"/>
      <c r="G311" s="65"/>
      <c r="H311" s="78"/>
      <c r="I311" s="134"/>
      <c r="J311" s="78"/>
      <c r="K311" s="78"/>
      <c r="L311" s="65"/>
      <c r="M311" s="65"/>
      <c r="N311" s="65"/>
      <c r="O311" s="65"/>
    </row>
    <row r="312" spans="1:15" ht="15">
      <c r="A312" s="78"/>
      <c r="B312" s="65"/>
      <c r="C312" s="65"/>
      <c r="D312" s="65"/>
      <c r="E312" s="65"/>
      <c r="F312" s="65"/>
      <c r="G312" s="65"/>
      <c r="H312" s="78"/>
      <c r="I312" s="134"/>
      <c r="J312" s="78"/>
      <c r="K312" s="78"/>
      <c r="L312" s="65"/>
      <c r="M312" s="65"/>
      <c r="N312" s="65"/>
      <c r="O312" s="65"/>
    </row>
    <row r="313" spans="1:15" ht="15">
      <c r="A313" s="78"/>
      <c r="B313" s="65"/>
      <c r="C313" s="65"/>
      <c r="D313" s="65"/>
      <c r="E313" s="65"/>
      <c r="F313" s="65"/>
      <c r="G313" s="65"/>
      <c r="H313" s="78"/>
      <c r="I313" s="134"/>
      <c r="J313" s="78"/>
      <c r="K313" s="78"/>
      <c r="L313" s="65"/>
      <c r="M313" s="65"/>
      <c r="N313" s="65"/>
      <c r="O313" s="65"/>
    </row>
    <row r="314" spans="1:15" ht="15">
      <c r="A314" s="78"/>
      <c r="B314" s="65"/>
      <c r="C314" s="65"/>
      <c r="D314" s="65"/>
      <c r="E314" s="65"/>
      <c r="F314" s="65"/>
      <c r="G314" s="65"/>
      <c r="H314" s="78"/>
      <c r="I314" s="134"/>
      <c r="J314" s="78"/>
      <c r="K314" s="78"/>
      <c r="L314" s="65"/>
      <c r="M314" s="65"/>
      <c r="N314" s="65"/>
      <c r="O314" s="65"/>
    </row>
    <row r="315" spans="1:15" ht="15">
      <c r="A315" s="78"/>
      <c r="B315" s="65"/>
      <c r="C315" s="65"/>
      <c r="D315" s="65"/>
      <c r="E315" s="65"/>
      <c r="F315" s="65"/>
      <c r="G315" s="65"/>
      <c r="H315" s="78"/>
      <c r="I315" s="134"/>
      <c r="J315" s="78"/>
      <c r="K315" s="78"/>
      <c r="L315" s="65"/>
      <c r="M315" s="65"/>
      <c r="N315" s="65"/>
      <c r="O315" s="65"/>
    </row>
    <row r="316" spans="1:15" ht="15">
      <c r="A316" s="78"/>
      <c r="B316" s="65"/>
      <c r="C316" s="65"/>
      <c r="D316" s="65"/>
      <c r="E316" s="65"/>
      <c r="F316" s="65"/>
      <c r="G316" s="65"/>
      <c r="H316" s="78"/>
      <c r="I316" s="134"/>
      <c r="J316" s="78"/>
      <c r="K316" s="78"/>
      <c r="L316" s="65"/>
      <c r="M316" s="65"/>
      <c r="N316" s="65"/>
      <c r="O316" s="65"/>
    </row>
    <row r="317" spans="1:15" ht="15">
      <c r="A317" s="78"/>
      <c r="B317" s="65"/>
      <c r="C317" s="65"/>
      <c r="D317" s="65"/>
      <c r="E317" s="65"/>
      <c r="F317" s="65"/>
      <c r="G317" s="65"/>
      <c r="H317" s="78"/>
      <c r="I317" s="134"/>
      <c r="J317" s="78"/>
      <c r="K317" s="78"/>
      <c r="L317" s="65"/>
      <c r="M317" s="65"/>
      <c r="N317" s="65"/>
      <c r="O317" s="65"/>
    </row>
    <row r="318" spans="1:15" ht="15">
      <c r="A318" s="78"/>
      <c r="B318" s="65"/>
      <c r="C318" s="65"/>
      <c r="D318" s="65"/>
      <c r="E318" s="65"/>
      <c r="F318" s="65"/>
      <c r="G318" s="65"/>
      <c r="H318" s="78"/>
      <c r="I318" s="134"/>
      <c r="J318" s="78"/>
      <c r="K318" s="78"/>
      <c r="L318" s="65"/>
      <c r="M318" s="65"/>
      <c r="N318" s="65"/>
      <c r="O318" s="65"/>
    </row>
    <row r="319" spans="1:15" ht="15">
      <c r="A319" s="78"/>
      <c r="B319" s="65"/>
      <c r="C319" s="65"/>
      <c r="D319" s="65"/>
      <c r="E319" s="65"/>
      <c r="F319" s="65"/>
      <c r="G319" s="65"/>
      <c r="H319" s="78"/>
      <c r="I319" s="134"/>
      <c r="J319" s="78"/>
      <c r="K319" s="78"/>
      <c r="L319" s="65"/>
      <c r="M319" s="65"/>
      <c r="N319" s="65"/>
      <c r="O319" s="65"/>
    </row>
    <row r="320" spans="1:15" ht="15">
      <c r="A320" s="78"/>
      <c r="B320" s="65"/>
      <c r="C320" s="65"/>
      <c r="D320" s="65"/>
      <c r="E320" s="65"/>
      <c r="F320" s="65"/>
      <c r="G320" s="65"/>
      <c r="H320" s="78"/>
      <c r="I320" s="134"/>
      <c r="J320" s="78"/>
      <c r="K320" s="78"/>
      <c r="L320" s="65"/>
      <c r="M320" s="65"/>
      <c r="N320" s="65"/>
      <c r="O320" s="65"/>
    </row>
    <row r="321" spans="1:15" ht="15">
      <c r="A321" s="78"/>
      <c r="B321" s="65"/>
      <c r="C321" s="65"/>
      <c r="D321" s="65"/>
      <c r="E321" s="65"/>
      <c r="F321" s="65"/>
      <c r="G321" s="65"/>
      <c r="H321" s="78"/>
      <c r="I321" s="134"/>
      <c r="J321" s="78"/>
      <c r="K321" s="78"/>
      <c r="L321" s="65"/>
      <c r="M321" s="65"/>
      <c r="N321" s="65"/>
      <c r="O321" s="65"/>
    </row>
    <row r="322" spans="1:15" ht="15">
      <c r="A322" s="78"/>
      <c r="B322" s="65"/>
      <c r="C322" s="65"/>
      <c r="D322" s="65"/>
      <c r="E322" s="65"/>
      <c r="F322" s="65"/>
      <c r="G322" s="65"/>
      <c r="H322" s="78"/>
      <c r="I322" s="134"/>
      <c r="J322" s="78"/>
      <c r="K322" s="78"/>
      <c r="L322" s="65"/>
      <c r="M322" s="65"/>
      <c r="N322" s="65"/>
      <c r="O322" s="65"/>
    </row>
    <row r="323" spans="1:15" ht="15">
      <c r="A323" s="78"/>
      <c r="B323" s="65"/>
      <c r="C323" s="65"/>
      <c r="D323" s="65"/>
      <c r="E323" s="65"/>
      <c r="F323" s="65"/>
      <c r="G323" s="65"/>
      <c r="H323" s="78"/>
      <c r="I323" s="134"/>
      <c r="J323" s="78"/>
      <c r="K323" s="78"/>
      <c r="L323" s="65"/>
      <c r="M323" s="65"/>
      <c r="N323" s="65"/>
      <c r="O323" s="65"/>
    </row>
    <row r="324" spans="1:15" ht="15">
      <c r="A324" s="78"/>
      <c r="B324" s="65"/>
      <c r="C324" s="65"/>
      <c r="D324" s="65"/>
      <c r="E324" s="65"/>
      <c r="F324" s="65"/>
      <c r="G324" s="65"/>
      <c r="H324" s="78"/>
      <c r="I324" s="134"/>
      <c r="J324" s="78"/>
      <c r="K324" s="78"/>
      <c r="L324" s="65"/>
      <c r="M324" s="65"/>
      <c r="N324" s="65"/>
      <c r="O324" s="65"/>
    </row>
    <row r="325" spans="1:15" ht="15">
      <c r="A325" s="78"/>
      <c r="B325" s="65"/>
      <c r="C325" s="65"/>
      <c r="D325" s="65"/>
      <c r="E325" s="65"/>
      <c r="F325" s="65"/>
      <c r="G325" s="65"/>
      <c r="H325" s="78"/>
      <c r="I325" s="134"/>
      <c r="J325" s="78"/>
      <c r="K325" s="78"/>
      <c r="L325" s="65"/>
      <c r="M325" s="65"/>
      <c r="N325" s="65"/>
      <c r="O325" s="65"/>
    </row>
    <row r="326" spans="1:15" ht="15">
      <c r="A326" s="78"/>
      <c r="B326" s="65"/>
      <c r="C326" s="65"/>
      <c r="D326" s="65"/>
      <c r="E326" s="65"/>
      <c r="F326" s="65"/>
      <c r="G326" s="65"/>
      <c r="H326" s="78"/>
      <c r="I326" s="134"/>
      <c r="J326" s="78"/>
      <c r="K326" s="78"/>
      <c r="L326" s="65"/>
      <c r="M326" s="65"/>
      <c r="N326" s="65"/>
      <c r="O326" s="65"/>
    </row>
    <row r="327" spans="1:15" ht="15">
      <c r="A327" s="78"/>
      <c r="B327" s="65"/>
      <c r="C327" s="65"/>
      <c r="D327" s="65"/>
      <c r="E327" s="65"/>
      <c r="F327" s="65"/>
      <c r="G327" s="65"/>
      <c r="H327" s="78"/>
      <c r="I327" s="134"/>
      <c r="J327" s="78"/>
      <c r="K327" s="78"/>
      <c r="L327" s="65"/>
      <c r="M327" s="65"/>
      <c r="N327" s="65"/>
      <c r="O327" s="65"/>
    </row>
    <row r="328" spans="1:15" ht="15">
      <c r="A328" s="78"/>
      <c r="B328" s="65"/>
      <c r="C328" s="65"/>
      <c r="D328" s="65"/>
      <c r="E328" s="65"/>
      <c r="F328" s="65"/>
      <c r="G328" s="65"/>
      <c r="H328" s="78"/>
      <c r="I328" s="134"/>
      <c r="J328" s="78"/>
      <c r="K328" s="78"/>
      <c r="L328" s="65"/>
      <c r="M328" s="65"/>
      <c r="N328" s="65"/>
      <c r="O328" s="65"/>
    </row>
    <row r="329" spans="1:15" ht="15">
      <c r="A329" s="78"/>
      <c r="B329" s="65"/>
      <c r="C329" s="65"/>
      <c r="D329" s="65"/>
      <c r="E329" s="65"/>
      <c r="F329" s="65"/>
      <c r="G329" s="65"/>
      <c r="H329" s="78"/>
      <c r="I329" s="134"/>
      <c r="J329" s="78"/>
      <c r="K329" s="78"/>
      <c r="L329" s="65"/>
      <c r="M329" s="65"/>
      <c r="N329" s="65"/>
      <c r="O329" s="65"/>
    </row>
    <row r="330" spans="1:15" ht="15">
      <c r="A330" s="78"/>
      <c r="B330" s="65"/>
      <c r="C330" s="65"/>
      <c r="D330" s="65"/>
      <c r="E330" s="65"/>
      <c r="F330" s="65"/>
      <c r="G330" s="65"/>
      <c r="H330" s="78"/>
      <c r="I330" s="134"/>
      <c r="J330" s="78"/>
      <c r="K330" s="78"/>
      <c r="L330" s="65"/>
      <c r="M330" s="65"/>
      <c r="N330" s="65"/>
      <c r="O330" s="65"/>
    </row>
    <row r="331" spans="1:15" ht="15">
      <c r="A331" s="78"/>
      <c r="B331" s="65"/>
      <c r="C331" s="65"/>
      <c r="D331" s="65"/>
      <c r="E331" s="65"/>
      <c r="F331" s="65"/>
      <c r="G331" s="65"/>
      <c r="H331" s="78"/>
      <c r="I331" s="134"/>
      <c r="J331" s="78"/>
      <c r="K331" s="78"/>
      <c r="L331" s="65"/>
      <c r="M331" s="65"/>
      <c r="N331" s="65"/>
      <c r="O331" s="65"/>
    </row>
    <row r="332" spans="1:15" ht="15">
      <c r="A332" s="78"/>
      <c r="B332" s="65"/>
      <c r="C332" s="65"/>
      <c r="D332" s="65"/>
      <c r="E332" s="65"/>
      <c r="F332" s="65"/>
      <c r="G332" s="65"/>
      <c r="H332" s="78"/>
      <c r="I332" s="134"/>
      <c r="J332" s="78"/>
      <c r="K332" s="78"/>
      <c r="L332" s="65"/>
      <c r="M332" s="65"/>
      <c r="N332" s="65"/>
      <c r="O332" s="65"/>
    </row>
    <row r="333" spans="1:15" ht="15">
      <c r="A333" s="78"/>
      <c r="B333" s="65"/>
      <c r="C333" s="65"/>
      <c r="D333" s="65"/>
      <c r="E333" s="65"/>
      <c r="F333" s="65"/>
      <c r="G333" s="65"/>
      <c r="H333" s="78"/>
      <c r="I333" s="134"/>
      <c r="J333" s="78"/>
      <c r="K333" s="78"/>
      <c r="L333" s="65"/>
      <c r="M333" s="65"/>
      <c r="N333" s="65"/>
      <c r="O333" s="65"/>
    </row>
    <row r="334" spans="1:15" ht="15">
      <c r="A334" s="78"/>
      <c r="B334" s="65"/>
      <c r="C334" s="65"/>
      <c r="D334" s="65"/>
      <c r="E334" s="65"/>
      <c r="F334" s="65"/>
      <c r="G334" s="65"/>
      <c r="H334" s="78"/>
      <c r="I334" s="134"/>
      <c r="J334" s="78"/>
      <c r="K334" s="78"/>
      <c r="L334" s="65"/>
      <c r="M334" s="65"/>
      <c r="N334" s="65"/>
      <c r="O334" s="65"/>
    </row>
    <row r="335" spans="1:15" ht="15">
      <c r="A335" s="78"/>
      <c r="B335" s="65"/>
      <c r="C335" s="65"/>
      <c r="D335" s="65"/>
      <c r="E335" s="65"/>
      <c r="F335" s="65"/>
      <c r="G335" s="65"/>
      <c r="H335" s="78"/>
      <c r="I335" s="134"/>
      <c r="J335" s="78"/>
      <c r="K335" s="78"/>
      <c r="L335" s="65"/>
      <c r="M335" s="65"/>
      <c r="N335" s="65"/>
      <c r="O335" s="65"/>
    </row>
    <row r="336" spans="1:15" ht="15">
      <c r="A336" s="78"/>
      <c r="B336" s="65"/>
      <c r="C336" s="65"/>
      <c r="D336" s="65"/>
      <c r="E336" s="65"/>
      <c r="F336" s="65"/>
      <c r="G336" s="65"/>
      <c r="H336" s="78"/>
      <c r="I336" s="134"/>
      <c r="J336" s="78"/>
      <c r="K336" s="78"/>
      <c r="L336" s="65"/>
      <c r="M336" s="65"/>
      <c r="N336" s="65"/>
      <c r="O336" s="65"/>
    </row>
    <row r="337" spans="1:15" ht="15">
      <c r="A337" s="78"/>
      <c r="B337" s="65"/>
      <c r="C337" s="65"/>
      <c r="D337" s="65"/>
      <c r="E337" s="65"/>
      <c r="F337" s="65"/>
      <c r="G337" s="65"/>
      <c r="H337" s="78"/>
      <c r="I337" s="134"/>
      <c r="J337" s="78"/>
      <c r="K337" s="78"/>
      <c r="L337" s="65"/>
      <c r="M337" s="65"/>
      <c r="N337" s="65"/>
      <c r="O337" s="65"/>
    </row>
    <row r="338" spans="1:15" ht="15">
      <c r="A338" s="78"/>
      <c r="B338" s="65"/>
      <c r="C338" s="65"/>
      <c r="D338" s="65"/>
      <c r="E338" s="65"/>
      <c r="F338" s="65"/>
      <c r="G338" s="65"/>
      <c r="H338" s="78"/>
      <c r="I338" s="134"/>
      <c r="J338" s="78"/>
      <c r="K338" s="78"/>
      <c r="L338" s="65"/>
      <c r="M338" s="65"/>
      <c r="N338" s="65"/>
      <c r="O338" s="65"/>
    </row>
    <row r="339" spans="1:15" ht="15">
      <c r="A339" s="78"/>
      <c r="B339" s="65"/>
      <c r="C339" s="65"/>
      <c r="D339" s="65"/>
      <c r="E339" s="65"/>
      <c r="F339" s="65"/>
      <c r="G339" s="65"/>
      <c r="H339" s="78"/>
      <c r="I339" s="134"/>
      <c r="J339" s="78"/>
      <c r="K339" s="78"/>
      <c r="L339" s="65"/>
      <c r="M339" s="65"/>
      <c r="N339" s="65"/>
      <c r="O339" s="65"/>
    </row>
    <row r="340" spans="1:15" ht="15">
      <c r="A340" s="78"/>
      <c r="B340" s="65"/>
      <c r="C340" s="65"/>
      <c r="D340" s="65"/>
      <c r="E340" s="65"/>
      <c r="F340" s="65"/>
      <c r="G340" s="65"/>
      <c r="H340" s="78"/>
      <c r="I340" s="134"/>
      <c r="J340" s="78"/>
      <c r="K340" s="78"/>
      <c r="L340" s="65"/>
      <c r="M340" s="65"/>
      <c r="N340" s="65"/>
      <c r="O340" s="65"/>
    </row>
    <row r="341" spans="1:15" ht="15">
      <c r="A341" s="78"/>
      <c r="B341" s="65"/>
      <c r="C341" s="65"/>
      <c r="D341" s="65"/>
      <c r="E341" s="65"/>
      <c r="F341" s="65"/>
      <c r="G341" s="65"/>
      <c r="H341" s="78"/>
      <c r="I341" s="134"/>
      <c r="J341" s="78"/>
      <c r="K341" s="78"/>
      <c r="L341" s="65"/>
      <c r="M341" s="65"/>
      <c r="N341" s="65"/>
      <c r="O341" s="65"/>
    </row>
    <row r="342" spans="1:15" ht="15">
      <c r="A342" s="78"/>
      <c r="B342" s="65"/>
      <c r="C342" s="65"/>
      <c r="D342" s="65"/>
      <c r="E342" s="65"/>
      <c r="F342" s="65"/>
      <c r="G342" s="65"/>
      <c r="H342" s="78"/>
      <c r="I342" s="134"/>
      <c r="J342" s="78"/>
      <c r="K342" s="78"/>
      <c r="L342" s="65"/>
      <c r="M342" s="65"/>
      <c r="N342" s="65"/>
      <c r="O342" s="65"/>
    </row>
    <row r="343" spans="1:15" ht="15">
      <c r="A343" s="78"/>
      <c r="B343" s="65"/>
      <c r="C343" s="65"/>
      <c r="D343" s="65"/>
      <c r="E343" s="65"/>
      <c r="F343" s="65"/>
      <c r="G343" s="65"/>
      <c r="H343" s="78"/>
      <c r="I343" s="134"/>
      <c r="J343" s="78"/>
      <c r="K343" s="78"/>
      <c r="L343" s="65"/>
      <c r="M343" s="65"/>
      <c r="N343" s="65"/>
      <c r="O343" s="65"/>
    </row>
    <row r="344" spans="1:15" ht="15">
      <c r="A344" s="78"/>
      <c r="B344" s="65"/>
      <c r="C344" s="65"/>
      <c r="D344" s="65"/>
      <c r="E344" s="65"/>
      <c r="F344" s="65"/>
      <c r="G344" s="65"/>
      <c r="H344" s="78"/>
      <c r="I344" s="134"/>
      <c r="J344" s="78"/>
      <c r="K344" s="78"/>
      <c r="L344" s="65"/>
      <c r="M344" s="65"/>
      <c r="N344" s="65"/>
      <c r="O344" s="65"/>
    </row>
    <row r="345" spans="1:15" ht="15">
      <c r="A345" s="78"/>
      <c r="B345" s="65"/>
      <c r="C345" s="65"/>
      <c r="D345" s="65"/>
      <c r="E345" s="65"/>
      <c r="F345" s="65"/>
      <c r="G345" s="65"/>
      <c r="H345" s="78"/>
      <c r="I345" s="134"/>
      <c r="J345" s="78"/>
      <c r="K345" s="78"/>
      <c r="L345" s="65"/>
      <c r="M345" s="65"/>
      <c r="N345" s="65"/>
      <c r="O345" s="65"/>
    </row>
    <row r="346" spans="1:15" ht="15">
      <c r="A346" s="78"/>
      <c r="B346" s="65"/>
      <c r="C346" s="65"/>
      <c r="D346" s="65"/>
      <c r="E346" s="65"/>
      <c r="F346" s="65"/>
      <c r="G346" s="65"/>
      <c r="H346" s="78"/>
      <c r="I346" s="134"/>
      <c r="J346" s="78"/>
      <c r="K346" s="78"/>
      <c r="L346" s="65"/>
      <c r="M346" s="65"/>
      <c r="N346" s="65"/>
      <c r="O346" s="65"/>
    </row>
    <row r="347" spans="1:15" ht="15">
      <c r="A347" s="78"/>
      <c r="B347" s="65"/>
      <c r="C347" s="65"/>
      <c r="D347" s="65"/>
      <c r="E347" s="65"/>
      <c r="F347" s="65"/>
      <c r="G347" s="65"/>
      <c r="H347" s="78"/>
      <c r="I347" s="134"/>
      <c r="J347" s="78"/>
      <c r="K347" s="78"/>
      <c r="L347" s="65"/>
      <c r="M347" s="65"/>
      <c r="N347" s="65"/>
      <c r="O347" s="65"/>
    </row>
    <row r="348" spans="1:15" ht="15">
      <c r="A348" s="78"/>
      <c r="B348" s="65"/>
      <c r="C348" s="65"/>
      <c r="D348" s="65"/>
      <c r="E348" s="65"/>
      <c r="F348" s="65"/>
      <c r="G348" s="65"/>
      <c r="H348" s="78"/>
      <c r="I348" s="134"/>
      <c r="J348" s="78"/>
      <c r="K348" s="78"/>
      <c r="L348" s="65"/>
      <c r="M348" s="65"/>
      <c r="N348" s="65"/>
      <c r="O348" s="65"/>
    </row>
    <row r="349" spans="1:15" ht="15">
      <c r="A349" s="78"/>
      <c r="B349" s="65"/>
      <c r="C349" s="65"/>
      <c r="D349" s="65"/>
      <c r="E349" s="65"/>
      <c r="F349" s="65"/>
      <c r="G349" s="65"/>
      <c r="H349" s="78"/>
      <c r="I349" s="134"/>
      <c r="J349" s="78"/>
      <c r="K349" s="78"/>
      <c r="L349" s="65"/>
      <c r="M349" s="65"/>
      <c r="N349" s="65"/>
      <c r="O349" s="65"/>
    </row>
    <row r="350" spans="1:15" ht="15">
      <c r="A350" s="78"/>
      <c r="B350" s="65"/>
      <c r="C350" s="65"/>
      <c r="D350" s="65"/>
      <c r="E350" s="65"/>
      <c r="F350" s="65"/>
      <c r="G350" s="65"/>
      <c r="H350" s="78"/>
      <c r="I350" s="134"/>
      <c r="J350" s="78"/>
      <c r="K350" s="78"/>
      <c r="L350" s="65"/>
      <c r="M350" s="65"/>
      <c r="N350" s="65"/>
      <c r="O350" s="65"/>
    </row>
    <row r="351" spans="1:15" ht="15">
      <c r="A351" s="78"/>
      <c r="B351" s="65"/>
      <c r="C351" s="65"/>
      <c r="D351" s="65"/>
      <c r="E351" s="65"/>
      <c r="F351" s="65"/>
      <c r="G351" s="65"/>
      <c r="H351" s="78"/>
      <c r="I351" s="134"/>
      <c r="J351" s="78"/>
      <c r="K351" s="78"/>
      <c r="L351" s="65"/>
      <c r="M351" s="65"/>
      <c r="N351" s="65"/>
      <c r="O351" s="65"/>
    </row>
    <row r="352" spans="1:15" ht="15">
      <c r="A352" s="78"/>
      <c r="B352" s="65"/>
      <c r="C352" s="65"/>
      <c r="D352" s="65"/>
      <c r="E352" s="65"/>
      <c r="F352" s="65"/>
      <c r="G352" s="65"/>
      <c r="H352" s="78"/>
      <c r="I352" s="134"/>
      <c r="J352" s="78"/>
      <c r="K352" s="78"/>
      <c r="L352" s="65"/>
      <c r="M352" s="65"/>
      <c r="N352" s="65"/>
      <c r="O352" s="65"/>
    </row>
    <row r="353" spans="1:15" ht="15">
      <c r="A353" s="78"/>
      <c r="B353" s="65"/>
      <c r="C353" s="65"/>
      <c r="D353" s="65"/>
      <c r="E353" s="65"/>
      <c r="F353" s="65"/>
      <c r="G353" s="65"/>
      <c r="H353" s="78"/>
      <c r="I353" s="134"/>
      <c r="J353" s="78"/>
      <c r="K353" s="78"/>
      <c r="L353" s="65"/>
      <c r="M353" s="65"/>
      <c r="N353" s="65"/>
      <c r="O353" s="65"/>
    </row>
    <row r="354" spans="1:15" ht="15">
      <c r="A354" s="78"/>
      <c r="B354" s="65"/>
      <c r="C354" s="65"/>
      <c r="D354" s="65"/>
      <c r="E354" s="65"/>
      <c r="F354" s="65"/>
      <c r="G354" s="65"/>
      <c r="H354" s="78"/>
      <c r="I354" s="134"/>
      <c r="J354" s="78"/>
      <c r="K354" s="78"/>
      <c r="L354" s="65"/>
      <c r="M354" s="65"/>
      <c r="N354" s="65"/>
      <c r="O354" s="65"/>
    </row>
    <row r="355" spans="1:15" ht="15">
      <c r="A355" s="78"/>
      <c r="B355" s="65"/>
      <c r="C355" s="65"/>
      <c r="D355" s="65"/>
      <c r="E355" s="65"/>
      <c r="F355" s="65"/>
      <c r="G355" s="65"/>
      <c r="H355" s="78"/>
      <c r="I355" s="134"/>
      <c r="J355" s="78"/>
      <c r="K355" s="78"/>
      <c r="L355" s="65"/>
      <c r="M355" s="65"/>
      <c r="N355" s="65"/>
      <c r="O355" s="65"/>
    </row>
    <row r="356" spans="1:15" ht="15">
      <c r="A356" s="78"/>
      <c r="B356" s="65"/>
      <c r="C356" s="65"/>
      <c r="D356" s="65"/>
      <c r="E356" s="65"/>
      <c r="F356" s="65"/>
      <c r="G356" s="65"/>
      <c r="H356" s="78"/>
      <c r="I356" s="134"/>
      <c r="J356" s="78"/>
      <c r="K356" s="78"/>
      <c r="L356" s="65"/>
      <c r="M356" s="65"/>
      <c r="N356" s="65"/>
      <c r="O356" s="65"/>
    </row>
    <row r="357" spans="1:15" ht="15">
      <c r="A357" s="78"/>
      <c r="B357" s="65"/>
      <c r="C357" s="65"/>
      <c r="D357" s="65"/>
      <c r="E357" s="65"/>
      <c r="F357" s="65"/>
      <c r="G357" s="65"/>
      <c r="H357" s="78"/>
      <c r="I357" s="134"/>
      <c r="J357" s="78"/>
      <c r="K357" s="78"/>
      <c r="L357" s="65"/>
      <c r="M357" s="65"/>
      <c r="N357" s="65"/>
      <c r="O357" s="65"/>
    </row>
    <row r="358" spans="1:15" ht="15">
      <c r="A358" s="78"/>
      <c r="B358" s="65"/>
      <c r="C358" s="65"/>
      <c r="D358" s="65"/>
      <c r="E358" s="65"/>
      <c r="F358" s="65"/>
      <c r="G358" s="65"/>
      <c r="H358" s="78"/>
      <c r="I358" s="134"/>
      <c r="J358" s="78"/>
      <c r="K358" s="78"/>
      <c r="L358" s="65"/>
      <c r="M358" s="65"/>
      <c r="N358" s="65"/>
      <c r="O358" s="65"/>
    </row>
    <row r="359" spans="1:15" ht="15">
      <c r="A359" s="78"/>
      <c r="B359" s="65"/>
      <c r="C359" s="65"/>
      <c r="D359" s="65"/>
      <c r="E359" s="65"/>
      <c r="F359" s="65"/>
      <c r="G359" s="65"/>
      <c r="H359" s="78"/>
      <c r="I359" s="134"/>
      <c r="J359" s="78"/>
      <c r="K359" s="78"/>
      <c r="L359" s="65"/>
      <c r="M359" s="65"/>
      <c r="N359" s="65"/>
      <c r="O359" s="65"/>
    </row>
    <row r="360" spans="1:15" ht="15">
      <c r="A360" s="78"/>
      <c r="B360" s="65"/>
      <c r="C360" s="65"/>
      <c r="D360" s="65"/>
      <c r="E360" s="65"/>
      <c r="F360" s="65"/>
      <c r="G360" s="65"/>
      <c r="H360" s="78"/>
      <c r="I360" s="134"/>
      <c r="J360" s="78"/>
      <c r="K360" s="78"/>
      <c r="L360" s="65"/>
      <c r="M360" s="65"/>
      <c r="N360" s="65"/>
      <c r="O360" s="65"/>
    </row>
    <row r="361" spans="1:15" ht="15">
      <c r="A361" s="78"/>
      <c r="B361" s="65"/>
      <c r="C361" s="65"/>
      <c r="D361" s="65"/>
      <c r="E361" s="65"/>
      <c r="F361" s="65"/>
      <c r="G361" s="65"/>
      <c r="H361" s="78"/>
      <c r="I361" s="134"/>
      <c r="J361" s="78"/>
      <c r="K361" s="78"/>
      <c r="L361" s="65"/>
      <c r="M361" s="65"/>
      <c r="N361" s="65"/>
      <c r="O361" s="65"/>
    </row>
    <row r="362" spans="1:15" ht="15">
      <c r="A362" s="78"/>
      <c r="B362" s="65"/>
      <c r="C362" s="65"/>
      <c r="D362" s="65"/>
      <c r="E362" s="65"/>
      <c r="F362" s="65"/>
      <c r="G362" s="65"/>
      <c r="H362" s="78"/>
      <c r="I362" s="134"/>
      <c r="J362" s="78"/>
      <c r="K362" s="78"/>
      <c r="L362" s="65"/>
      <c r="M362" s="65"/>
      <c r="N362" s="65"/>
      <c r="O362" s="65"/>
    </row>
    <row r="363" spans="1:15" ht="15">
      <c r="A363" s="78"/>
      <c r="B363" s="65"/>
      <c r="C363" s="65"/>
      <c r="D363" s="65"/>
      <c r="E363" s="65"/>
      <c r="F363" s="65"/>
      <c r="G363" s="65"/>
      <c r="H363" s="78"/>
      <c r="I363" s="134"/>
      <c r="J363" s="78"/>
      <c r="K363" s="78"/>
      <c r="L363" s="65"/>
      <c r="M363" s="65"/>
      <c r="N363" s="65"/>
      <c r="O363" s="65"/>
    </row>
    <row r="364" spans="1:15" ht="15">
      <c r="A364" s="78"/>
      <c r="B364" s="65"/>
      <c r="C364" s="65"/>
      <c r="D364" s="65"/>
      <c r="E364" s="65"/>
      <c r="F364" s="65"/>
      <c r="G364" s="65"/>
      <c r="H364" s="78"/>
      <c r="I364" s="134"/>
      <c r="J364" s="78"/>
      <c r="K364" s="78"/>
      <c r="L364" s="65"/>
      <c r="M364" s="65"/>
      <c r="N364" s="65"/>
      <c r="O364" s="65"/>
    </row>
    <row r="365" spans="1:15" ht="15">
      <c r="A365" s="78"/>
      <c r="B365" s="65"/>
      <c r="C365" s="65"/>
      <c r="D365" s="65"/>
      <c r="E365" s="65"/>
      <c r="F365" s="65"/>
      <c r="G365" s="65"/>
      <c r="H365" s="78"/>
      <c r="I365" s="134"/>
      <c r="J365" s="78"/>
      <c r="K365" s="78"/>
      <c r="L365" s="65"/>
      <c r="M365" s="65"/>
      <c r="N365" s="65"/>
      <c r="O365" s="65"/>
    </row>
    <row r="366" spans="1:15" ht="15">
      <c r="A366" s="78"/>
      <c r="B366" s="65"/>
      <c r="C366" s="65"/>
      <c r="D366" s="65"/>
      <c r="E366" s="65"/>
      <c r="F366" s="65"/>
      <c r="G366" s="65"/>
      <c r="H366" s="78"/>
      <c r="I366" s="134"/>
      <c r="J366" s="78"/>
      <c r="K366" s="78"/>
      <c r="L366" s="65"/>
      <c r="M366" s="65"/>
      <c r="N366" s="65"/>
      <c r="O366" s="65"/>
    </row>
    <row r="367" spans="1:15" ht="15">
      <c r="A367" s="78"/>
      <c r="B367" s="65"/>
      <c r="C367" s="65"/>
      <c r="D367" s="65"/>
      <c r="E367" s="65"/>
      <c r="F367" s="65"/>
      <c r="G367" s="65"/>
      <c r="H367" s="78"/>
      <c r="I367" s="134"/>
      <c r="J367" s="78"/>
      <c r="K367" s="78"/>
      <c r="L367" s="65"/>
      <c r="M367" s="65"/>
      <c r="N367" s="65"/>
      <c r="O367" s="65"/>
    </row>
    <row r="368" spans="1:15" ht="15">
      <c r="A368" s="78"/>
      <c r="B368" s="65"/>
      <c r="C368" s="65"/>
      <c r="D368" s="65"/>
      <c r="E368" s="65"/>
      <c r="F368" s="65"/>
      <c r="G368" s="65"/>
      <c r="H368" s="78"/>
      <c r="I368" s="134"/>
      <c r="J368" s="78"/>
      <c r="K368" s="78"/>
      <c r="L368" s="65"/>
      <c r="M368" s="65"/>
      <c r="N368" s="65"/>
      <c r="O368" s="65"/>
    </row>
    <row r="369" spans="1:15" ht="15">
      <c r="A369" s="78"/>
      <c r="B369" s="65"/>
      <c r="C369" s="65"/>
      <c r="D369" s="65"/>
      <c r="E369" s="65"/>
      <c r="F369" s="65"/>
      <c r="G369" s="65"/>
      <c r="H369" s="78"/>
      <c r="I369" s="134"/>
      <c r="J369" s="78"/>
      <c r="K369" s="78"/>
      <c r="L369" s="65"/>
      <c r="M369" s="65"/>
      <c r="N369" s="65"/>
      <c r="O369" s="65"/>
    </row>
    <row r="370" spans="1:15" ht="15">
      <c r="A370" s="78"/>
      <c r="B370" s="65"/>
      <c r="C370" s="65"/>
      <c r="D370" s="65"/>
      <c r="E370" s="65"/>
      <c r="F370" s="65"/>
      <c r="G370" s="65"/>
      <c r="H370" s="78"/>
      <c r="I370" s="134"/>
      <c r="J370" s="78"/>
      <c r="K370" s="78"/>
      <c r="L370" s="65"/>
      <c r="M370" s="65"/>
      <c r="N370" s="65"/>
      <c r="O370" s="65"/>
    </row>
    <row r="371" spans="1:15" ht="15">
      <c r="A371" s="78"/>
      <c r="B371" s="65"/>
      <c r="C371" s="65"/>
      <c r="D371" s="65"/>
      <c r="E371" s="65"/>
      <c r="F371" s="65"/>
      <c r="G371" s="65"/>
      <c r="H371" s="78"/>
      <c r="I371" s="134"/>
      <c r="J371" s="78"/>
      <c r="K371" s="78"/>
      <c r="L371" s="65"/>
      <c r="M371" s="65"/>
      <c r="N371" s="65"/>
      <c r="O371" s="65"/>
    </row>
    <row r="372" spans="1:15" ht="15">
      <c r="A372" s="78"/>
      <c r="B372" s="65"/>
      <c r="C372" s="65"/>
      <c r="D372" s="65"/>
      <c r="E372" s="65"/>
      <c r="F372" s="65"/>
      <c r="G372" s="65"/>
      <c r="H372" s="78"/>
      <c r="I372" s="134"/>
      <c r="J372" s="78"/>
      <c r="K372" s="78"/>
      <c r="L372" s="65"/>
      <c r="M372" s="65"/>
      <c r="N372" s="65"/>
      <c r="O372" s="65"/>
    </row>
    <row r="373" spans="1:15" ht="15">
      <c r="A373" s="78"/>
      <c r="B373" s="65"/>
      <c r="C373" s="65"/>
      <c r="D373" s="65"/>
      <c r="E373" s="65"/>
      <c r="F373" s="65"/>
      <c r="G373" s="65"/>
      <c r="H373" s="78"/>
      <c r="I373" s="134"/>
      <c r="J373" s="78"/>
      <c r="K373" s="78"/>
      <c r="L373" s="65"/>
      <c r="M373" s="65"/>
      <c r="N373" s="65"/>
      <c r="O373" s="65"/>
    </row>
    <row r="374" spans="1:15" ht="15">
      <c r="A374" s="78"/>
      <c r="B374" s="65"/>
      <c r="C374" s="65"/>
      <c r="D374" s="65"/>
      <c r="E374" s="65"/>
      <c r="F374" s="65"/>
      <c r="G374" s="65"/>
      <c r="H374" s="78"/>
      <c r="I374" s="134"/>
      <c r="J374" s="78"/>
      <c r="K374" s="78"/>
      <c r="L374" s="65"/>
      <c r="M374" s="65"/>
      <c r="N374" s="65"/>
      <c r="O374" s="65"/>
    </row>
    <row r="375" spans="1:15" ht="15">
      <c r="A375" s="78"/>
      <c r="B375" s="65"/>
      <c r="C375" s="65"/>
      <c r="D375" s="65"/>
      <c r="E375" s="65"/>
      <c r="F375" s="65"/>
      <c r="G375" s="65"/>
      <c r="H375" s="78"/>
      <c r="I375" s="134"/>
      <c r="J375" s="78"/>
      <c r="K375" s="78"/>
      <c r="L375" s="65"/>
      <c r="M375" s="65"/>
      <c r="N375" s="65"/>
      <c r="O375" s="65"/>
    </row>
    <row r="376" spans="1:15" ht="15">
      <c r="A376" s="78"/>
      <c r="B376" s="65"/>
      <c r="C376" s="65"/>
      <c r="D376" s="65"/>
      <c r="E376" s="65"/>
      <c r="F376" s="65"/>
      <c r="G376" s="65"/>
      <c r="H376" s="78"/>
      <c r="I376" s="134"/>
      <c r="J376" s="78"/>
      <c r="K376" s="78"/>
      <c r="L376" s="65"/>
      <c r="M376" s="65"/>
      <c r="N376" s="65"/>
      <c r="O376" s="65"/>
    </row>
    <row r="377" spans="1:15" ht="15">
      <c r="A377" s="78"/>
      <c r="B377" s="65"/>
      <c r="C377" s="65"/>
      <c r="D377" s="65"/>
      <c r="E377" s="65"/>
      <c r="F377" s="65"/>
      <c r="G377" s="65"/>
      <c r="H377" s="78"/>
      <c r="I377" s="134"/>
      <c r="J377" s="78"/>
      <c r="K377" s="78"/>
      <c r="L377" s="65"/>
      <c r="M377" s="65"/>
      <c r="N377" s="65"/>
      <c r="O377" s="65"/>
    </row>
    <row r="378" spans="1:15" ht="15">
      <c r="A378" s="78"/>
      <c r="B378" s="65"/>
      <c r="C378" s="65"/>
      <c r="D378" s="65"/>
      <c r="E378" s="65"/>
      <c r="F378" s="65"/>
      <c r="G378" s="65"/>
      <c r="H378" s="78"/>
      <c r="I378" s="134"/>
      <c r="J378" s="78"/>
      <c r="K378" s="78"/>
      <c r="L378" s="65"/>
      <c r="M378" s="65"/>
      <c r="N378" s="65"/>
      <c r="O378" s="65"/>
    </row>
    <row r="379" spans="1:15" ht="15">
      <c r="A379" s="78"/>
      <c r="B379" s="65"/>
      <c r="C379" s="65"/>
      <c r="D379" s="65"/>
      <c r="E379" s="65"/>
      <c r="F379" s="65"/>
      <c r="G379" s="65"/>
      <c r="H379" s="78"/>
      <c r="I379" s="134"/>
      <c r="J379" s="78"/>
      <c r="K379" s="78"/>
      <c r="L379" s="65"/>
      <c r="M379" s="65"/>
      <c r="N379" s="65"/>
      <c r="O379" s="65"/>
    </row>
    <row r="380" spans="1:15" ht="15">
      <c r="A380" s="78"/>
      <c r="B380" s="65"/>
      <c r="C380" s="65"/>
      <c r="D380" s="65"/>
      <c r="E380" s="65"/>
      <c r="F380" s="65"/>
      <c r="G380" s="65"/>
      <c r="H380" s="78"/>
      <c r="I380" s="134"/>
      <c r="J380" s="78"/>
      <c r="K380" s="78"/>
      <c r="L380" s="65"/>
      <c r="M380" s="65"/>
      <c r="N380" s="65"/>
      <c r="O380" s="65"/>
    </row>
    <row r="381" spans="1:15" ht="15">
      <c r="A381" s="78"/>
      <c r="B381" s="65"/>
      <c r="C381" s="65"/>
      <c r="D381" s="65"/>
      <c r="E381" s="65"/>
      <c r="F381" s="65"/>
      <c r="G381" s="65"/>
      <c r="H381" s="78"/>
      <c r="I381" s="134"/>
      <c r="J381" s="78"/>
      <c r="K381" s="78"/>
      <c r="L381" s="65"/>
      <c r="M381" s="65"/>
      <c r="N381" s="65"/>
      <c r="O381" s="65"/>
    </row>
    <row r="382" spans="1:15" ht="15">
      <c r="A382" s="78"/>
      <c r="B382" s="65"/>
      <c r="C382" s="65"/>
      <c r="D382" s="65"/>
      <c r="E382" s="65"/>
      <c r="F382" s="65"/>
      <c r="G382" s="65"/>
      <c r="H382" s="78"/>
      <c r="I382" s="134"/>
      <c r="J382" s="78"/>
      <c r="K382" s="78"/>
      <c r="L382" s="65"/>
      <c r="M382" s="65"/>
      <c r="N382" s="65"/>
      <c r="O382" s="65"/>
    </row>
    <row r="383" spans="1:15" ht="15">
      <c r="A383" s="78"/>
      <c r="B383" s="65"/>
      <c r="C383" s="65"/>
      <c r="D383" s="65"/>
      <c r="E383" s="65"/>
      <c r="F383" s="65"/>
      <c r="G383" s="65"/>
      <c r="H383" s="78"/>
      <c r="I383" s="134"/>
      <c r="J383" s="78"/>
      <c r="K383" s="78"/>
      <c r="L383" s="65"/>
      <c r="M383" s="65"/>
      <c r="N383" s="65"/>
      <c r="O383" s="65"/>
    </row>
    <row r="384" spans="1:15" ht="15">
      <c r="A384" s="78"/>
      <c r="B384" s="65"/>
      <c r="C384" s="65"/>
      <c r="D384" s="65"/>
      <c r="E384" s="65"/>
      <c r="F384" s="65"/>
      <c r="G384" s="65"/>
      <c r="H384" s="78"/>
      <c r="I384" s="134"/>
      <c r="J384" s="78"/>
      <c r="K384" s="78"/>
      <c r="L384" s="65"/>
      <c r="M384" s="65"/>
      <c r="N384" s="65"/>
      <c r="O384" s="65"/>
    </row>
    <row r="385" spans="1:15" ht="15">
      <c r="A385" s="78"/>
      <c r="B385" s="65"/>
      <c r="C385" s="65"/>
      <c r="D385" s="65"/>
      <c r="E385" s="65"/>
      <c r="F385" s="65"/>
      <c r="G385" s="65"/>
      <c r="H385" s="78"/>
      <c r="I385" s="134"/>
      <c r="J385" s="78"/>
      <c r="K385" s="78"/>
      <c r="L385" s="65"/>
      <c r="M385" s="65"/>
      <c r="N385" s="65"/>
      <c r="O385" s="65"/>
    </row>
    <row r="386" spans="1:15" ht="15">
      <c r="A386" s="78"/>
      <c r="B386" s="65"/>
      <c r="C386" s="65"/>
      <c r="D386" s="65"/>
      <c r="E386" s="65"/>
      <c r="F386" s="65"/>
      <c r="G386" s="65"/>
      <c r="H386" s="78"/>
      <c r="I386" s="134"/>
      <c r="J386" s="78"/>
      <c r="K386" s="78"/>
      <c r="L386" s="65"/>
      <c r="M386" s="65"/>
      <c r="N386" s="65"/>
      <c r="O386" s="65"/>
    </row>
    <row r="387" spans="1:15" ht="15">
      <c r="A387" s="78"/>
      <c r="B387" s="65"/>
      <c r="C387" s="65"/>
      <c r="D387" s="65"/>
      <c r="E387" s="65"/>
      <c r="F387" s="65"/>
      <c r="G387" s="65"/>
      <c r="H387" s="78"/>
      <c r="I387" s="134"/>
      <c r="J387" s="78"/>
      <c r="K387" s="78"/>
      <c r="L387" s="65"/>
      <c r="M387" s="65"/>
      <c r="N387" s="65"/>
      <c r="O387" s="65"/>
    </row>
    <row r="388" spans="1:15" ht="15">
      <c r="A388" s="78"/>
      <c r="B388" s="65"/>
      <c r="C388" s="65"/>
      <c r="D388" s="65"/>
      <c r="E388" s="65"/>
      <c r="F388" s="65"/>
      <c r="G388" s="65"/>
      <c r="H388" s="78"/>
      <c r="I388" s="134"/>
      <c r="J388" s="78"/>
      <c r="K388" s="78"/>
      <c r="L388" s="65"/>
      <c r="M388" s="65"/>
      <c r="N388" s="65"/>
      <c r="O388" s="65"/>
    </row>
    <row r="389" spans="1:15" ht="15">
      <c r="A389" s="78"/>
      <c r="B389" s="65"/>
      <c r="C389" s="65"/>
      <c r="D389" s="65"/>
      <c r="E389" s="65"/>
      <c r="F389" s="65"/>
      <c r="G389" s="65"/>
      <c r="H389" s="78"/>
      <c r="I389" s="134"/>
      <c r="J389" s="78"/>
      <c r="K389" s="78"/>
      <c r="L389" s="65"/>
      <c r="M389" s="65"/>
      <c r="N389" s="65"/>
      <c r="O389" s="65"/>
    </row>
    <row r="390" spans="1:15" ht="15">
      <c r="A390" s="78"/>
      <c r="B390" s="65"/>
      <c r="C390" s="65"/>
      <c r="D390" s="65"/>
      <c r="E390" s="65"/>
      <c r="F390" s="65"/>
      <c r="G390" s="65"/>
      <c r="H390" s="78"/>
      <c r="I390" s="134"/>
      <c r="J390" s="78"/>
      <c r="K390" s="78"/>
      <c r="L390" s="65"/>
      <c r="M390" s="65"/>
      <c r="N390" s="65"/>
      <c r="O390" s="65"/>
    </row>
    <row r="391" spans="1:15" ht="15">
      <c r="A391" s="78"/>
      <c r="B391" s="65"/>
      <c r="C391" s="65"/>
      <c r="D391" s="65"/>
      <c r="E391" s="65"/>
      <c r="F391" s="65"/>
      <c r="G391" s="65"/>
      <c r="H391" s="78"/>
      <c r="I391" s="134"/>
      <c r="J391" s="78"/>
      <c r="K391" s="78"/>
      <c r="L391" s="65"/>
      <c r="M391" s="65"/>
      <c r="N391" s="65"/>
      <c r="O391" s="65"/>
    </row>
    <row r="392" spans="1:15" ht="15">
      <c r="A392" s="78"/>
      <c r="B392" s="65"/>
      <c r="C392" s="65"/>
      <c r="D392" s="65"/>
      <c r="E392" s="65"/>
      <c r="F392" s="65"/>
      <c r="G392" s="65"/>
      <c r="H392" s="78"/>
      <c r="I392" s="134"/>
      <c r="J392" s="78"/>
      <c r="K392" s="78"/>
      <c r="L392" s="65"/>
      <c r="M392" s="65"/>
      <c r="N392" s="65"/>
      <c r="O392" s="65"/>
    </row>
    <row r="393" spans="1:15" ht="15">
      <c r="A393" s="78"/>
      <c r="B393" s="65"/>
      <c r="C393" s="65"/>
      <c r="D393" s="65"/>
      <c r="E393" s="65"/>
      <c r="F393" s="65"/>
      <c r="G393" s="65"/>
      <c r="H393" s="78"/>
      <c r="I393" s="134"/>
      <c r="J393" s="78"/>
      <c r="K393" s="78"/>
      <c r="L393" s="65"/>
      <c r="M393" s="65"/>
      <c r="N393" s="65"/>
      <c r="O393" s="65"/>
    </row>
    <row r="394" spans="1:15" ht="15">
      <c r="A394" s="78"/>
      <c r="B394" s="65"/>
      <c r="C394" s="65"/>
      <c r="D394" s="65"/>
      <c r="E394" s="65"/>
      <c r="F394" s="65"/>
      <c r="G394" s="65"/>
      <c r="H394" s="78"/>
      <c r="I394" s="134"/>
      <c r="J394" s="78"/>
      <c r="K394" s="78"/>
      <c r="L394" s="65"/>
      <c r="M394" s="65"/>
      <c r="N394" s="65"/>
      <c r="O394" s="65"/>
    </row>
    <row r="395" spans="1:15" ht="15">
      <c r="A395" s="78"/>
      <c r="B395" s="65"/>
      <c r="C395" s="65"/>
      <c r="D395" s="65"/>
      <c r="E395" s="65"/>
      <c r="F395" s="65"/>
      <c r="G395" s="65"/>
      <c r="H395" s="78"/>
      <c r="I395" s="134"/>
      <c r="J395" s="78"/>
      <c r="K395" s="78"/>
      <c r="L395" s="65"/>
      <c r="M395" s="65"/>
      <c r="N395" s="65"/>
      <c r="O395" s="65"/>
    </row>
    <row r="396" spans="1:15" ht="15">
      <c r="A396" s="78"/>
      <c r="B396" s="65"/>
      <c r="C396" s="65"/>
      <c r="D396" s="65"/>
      <c r="E396" s="65"/>
      <c r="F396" s="65"/>
      <c r="G396" s="65"/>
      <c r="H396" s="78"/>
      <c r="I396" s="134"/>
      <c r="J396" s="78"/>
      <c r="K396" s="78"/>
      <c r="L396" s="65"/>
      <c r="M396" s="65"/>
      <c r="N396" s="65"/>
      <c r="O396" s="65"/>
    </row>
    <row r="397" spans="1:15" ht="15">
      <c r="A397" s="78"/>
      <c r="B397" s="65"/>
      <c r="C397" s="65"/>
      <c r="D397" s="65"/>
      <c r="E397" s="65"/>
      <c r="F397" s="65"/>
      <c r="G397" s="65"/>
      <c r="H397" s="78"/>
      <c r="I397" s="134"/>
      <c r="J397" s="78"/>
      <c r="K397" s="78"/>
      <c r="L397" s="65"/>
      <c r="M397" s="65"/>
      <c r="N397" s="65"/>
      <c r="O397" s="65"/>
    </row>
    <row r="398" spans="1:15" ht="15">
      <c r="A398" s="78"/>
      <c r="B398" s="65"/>
      <c r="C398" s="65"/>
      <c r="D398" s="65"/>
      <c r="E398" s="65"/>
      <c r="F398" s="65"/>
      <c r="G398" s="65"/>
      <c r="H398" s="78"/>
      <c r="I398" s="134"/>
      <c r="J398" s="78"/>
      <c r="K398" s="78"/>
      <c r="L398" s="65"/>
      <c r="M398" s="65"/>
      <c r="N398" s="65"/>
      <c r="O398" s="65"/>
    </row>
    <row r="399" spans="1:15" ht="15">
      <c r="A399" s="78"/>
      <c r="B399" s="65"/>
      <c r="C399" s="65"/>
      <c r="D399" s="65"/>
      <c r="E399" s="65"/>
      <c r="F399" s="65"/>
      <c r="G399" s="65"/>
      <c r="H399" s="78"/>
      <c r="I399" s="134"/>
      <c r="J399" s="78"/>
      <c r="K399" s="78"/>
      <c r="L399" s="65"/>
      <c r="M399" s="65"/>
      <c r="N399" s="65"/>
      <c r="O399" s="65"/>
    </row>
    <row r="400" spans="1:15" ht="15">
      <c r="A400" s="78"/>
      <c r="B400" s="65"/>
      <c r="C400" s="65"/>
      <c r="D400" s="65"/>
      <c r="E400" s="65"/>
      <c r="F400" s="65"/>
      <c r="G400" s="65"/>
      <c r="H400" s="78"/>
      <c r="I400" s="134"/>
      <c r="J400" s="78"/>
      <c r="K400" s="78"/>
      <c r="L400" s="65"/>
      <c r="M400" s="65"/>
      <c r="N400" s="65"/>
      <c r="O400" s="65"/>
    </row>
    <row r="401" spans="1:15" ht="15">
      <c r="A401" s="78"/>
      <c r="B401" s="65"/>
      <c r="C401" s="65"/>
      <c r="D401" s="65"/>
      <c r="E401" s="65"/>
      <c r="F401" s="65"/>
      <c r="G401" s="65"/>
      <c r="H401" s="78"/>
      <c r="I401" s="134"/>
      <c r="J401" s="78"/>
      <c r="K401" s="78"/>
      <c r="L401" s="65"/>
      <c r="M401" s="65"/>
      <c r="N401" s="65"/>
      <c r="O401" s="65"/>
    </row>
    <row r="402" spans="1:15" ht="15">
      <c r="A402" s="78"/>
      <c r="B402" s="65"/>
      <c r="C402" s="65"/>
      <c r="D402" s="65"/>
      <c r="E402" s="65"/>
      <c r="F402" s="65"/>
      <c r="G402" s="65"/>
      <c r="H402" s="78"/>
      <c r="I402" s="134"/>
      <c r="J402" s="78"/>
      <c r="K402" s="78"/>
      <c r="L402" s="65"/>
      <c r="M402" s="65"/>
      <c r="N402" s="65"/>
      <c r="O402" s="65"/>
    </row>
    <row r="403" spans="1:15" ht="15">
      <c r="A403" s="78"/>
      <c r="B403" s="65"/>
      <c r="C403" s="65"/>
      <c r="D403" s="65"/>
      <c r="E403" s="65"/>
      <c r="F403" s="65"/>
      <c r="G403" s="65"/>
      <c r="H403" s="78"/>
      <c r="I403" s="134"/>
      <c r="J403" s="78"/>
      <c r="K403" s="78"/>
      <c r="L403" s="65"/>
      <c r="M403" s="65"/>
      <c r="N403" s="65"/>
      <c r="O403" s="65"/>
    </row>
    <row r="404" spans="1:15" ht="15">
      <c r="A404" s="78"/>
      <c r="B404" s="65"/>
      <c r="C404" s="65"/>
      <c r="D404" s="65"/>
      <c r="E404" s="65"/>
      <c r="F404" s="65"/>
      <c r="G404" s="65"/>
      <c r="H404" s="78"/>
      <c r="I404" s="134"/>
      <c r="J404" s="78"/>
      <c r="K404" s="78"/>
      <c r="L404" s="65"/>
      <c r="M404" s="65"/>
      <c r="N404" s="65"/>
      <c r="O404" s="65"/>
    </row>
    <row r="405" spans="1:15" ht="15">
      <c r="A405" s="78"/>
      <c r="B405" s="65"/>
      <c r="C405" s="65"/>
      <c r="D405" s="65"/>
      <c r="E405" s="65"/>
      <c r="F405" s="65"/>
      <c r="G405" s="65"/>
      <c r="H405" s="78"/>
      <c r="I405" s="134"/>
      <c r="J405" s="78"/>
      <c r="K405" s="78"/>
      <c r="L405" s="65"/>
      <c r="M405" s="65"/>
      <c r="N405" s="65"/>
      <c r="O405" s="65"/>
    </row>
    <row r="406" spans="1:15" ht="15">
      <c r="A406" s="78"/>
      <c r="B406" s="65"/>
      <c r="C406" s="65"/>
      <c r="D406" s="65"/>
      <c r="E406" s="65"/>
      <c r="F406" s="65"/>
      <c r="G406" s="65"/>
      <c r="H406" s="78"/>
      <c r="I406" s="134"/>
      <c r="J406" s="78"/>
      <c r="K406" s="78"/>
      <c r="L406" s="65"/>
      <c r="M406" s="65"/>
      <c r="N406" s="65"/>
      <c r="O406" s="65"/>
    </row>
    <row r="407" spans="1:15" ht="15">
      <c r="A407" s="78"/>
      <c r="B407" s="65"/>
      <c r="C407" s="65"/>
      <c r="D407" s="65"/>
      <c r="E407" s="65"/>
      <c r="F407" s="65"/>
      <c r="G407" s="65"/>
      <c r="H407" s="78"/>
      <c r="I407" s="134"/>
      <c r="J407" s="78"/>
      <c r="K407" s="78"/>
      <c r="L407" s="65"/>
      <c r="M407" s="65"/>
      <c r="N407" s="65"/>
      <c r="O407" s="65"/>
    </row>
    <row r="408" spans="1:15" ht="15">
      <c r="A408" s="78"/>
      <c r="B408" s="65"/>
      <c r="C408" s="65"/>
      <c r="D408" s="65"/>
      <c r="E408" s="65"/>
      <c r="F408" s="65"/>
      <c r="G408" s="65"/>
      <c r="H408" s="78"/>
      <c r="I408" s="134"/>
      <c r="J408" s="78"/>
      <c r="K408" s="78"/>
      <c r="L408" s="65"/>
      <c r="M408" s="65"/>
      <c r="N408" s="65"/>
      <c r="O408" s="65"/>
    </row>
    <row r="409" spans="1:15" ht="15">
      <c r="A409" s="78"/>
      <c r="B409" s="65"/>
      <c r="C409" s="65"/>
      <c r="D409" s="65"/>
      <c r="E409" s="65"/>
      <c r="F409" s="65"/>
      <c r="G409" s="65"/>
      <c r="H409" s="78"/>
      <c r="I409" s="134"/>
      <c r="J409" s="78"/>
      <c r="K409" s="78"/>
      <c r="L409" s="65"/>
      <c r="M409" s="65"/>
      <c r="N409" s="65"/>
      <c r="O409" s="65"/>
    </row>
    <row r="410" spans="1:15" ht="15">
      <c r="A410" s="78"/>
      <c r="B410" s="65"/>
      <c r="C410" s="65"/>
      <c r="D410" s="65"/>
      <c r="E410" s="65"/>
      <c r="F410" s="65"/>
      <c r="G410" s="65"/>
      <c r="H410" s="78"/>
      <c r="I410" s="134"/>
      <c r="J410" s="78"/>
      <c r="K410" s="78"/>
      <c r="L410" s="65"/>
      <c r="M410" s="65"/>
      <c r="N410" s="65"/>
      <c r="O410" s="65"/>
    </row>
    <row r="411" spans="1:15" ht="15">
      <c r="A411" s="78"/>
      <c r="B411" s="65"/>
      <c r="C411" s="65"/>
      <c r="D411" s="65"/>
      <c r="E411" s="65"/>
      <c r="F411" s="65"/>
      <c r="G411" s="65"/>
      <c r="H411" s="78"/>
      <c r="I411" s="134"/>
      <c r="J411" s="78"/>
      <c r="K411" s="78"/>
      <c r="L411" s="65"/>
      <c r="M411" s="65"/>
      <c r="N411" s="65"/>
      <c r="O411" s="65"/>
    </row>
    <row r="412" spans="1:15" ht="15">
      <c r="A412" s="78"/>
      <c r="B412" s="65"/>
      <c r="C412" s="65"/>
      <c r="D412" s="65"/>
      <c r="E412" s="65"/>
      <c r="F412" s="65"/>
      <c r="G412" s="65"/>
      <c r="H412" s="78"/>
      <c r="I412" s="134"/>
      <c r="J412" s="78"/>
      <c r="K412" s="78"/>
      <c r="L412" s="65"/>
      <c r="M412" s="65"/>
      <c r="N412" s="65"/>
      <c r="O412" s="65"/>
    </row>
    <row r="413" spans="1:15" ht="15">
      <c r="A413" s="78"/>
      <c r="B413" s="65"/>
      <c r="C413" s="65"/>
      <c r="D413" s="65"/>
      <c r="E413" s="65"/>
      <c r="F413" s="65"/>
      <c r="G413" s="65"/>
      <c r="H413" s="78"/>
      <c r="I413" s="134"/>
      <c r="J413" s="78"/>
      <c r="K413" s="78"/>
      <c r="L413" s="65"/>
      <c r="M413" s="65"/>
      <c r="N413" s="65"/>
      <c r="O413" s="65"/>
    </row>
    <row r="414" spans="1:15" ht="15">
      <c r="A414" s="78"/>
      <c r="B414" s="65"/>
      <c r="C414" s="65"/>
      <c r="D414" s="65"/>
      <c r="E414" s="65"/>
      <c r="F414" s="65"/>
      <c r="G414" s="65"/>
      <c r="H414" s="78"/>
      <c r="I414" s="134"/>
      <c r="J414" s="78"/>
      <c r="K414" s="78"/>
      <c r="L414" s="65"/>
      <c r="M414" s="65"/>
      <c r="N414" s="65"/>
      <c r="O414" s="65"/>
    </row>
    <row r="415" spans="1:15" ht="15">
      <c r="A415" s="78"/>
      <c r="B415" s="65"/>
      <c r="C415" s="65"/>
      <c r="D415" s="65"/>
      <c r="E415" s="65"/>
      <c r="F415" s="65"/>
      <c r="G415" s="65"/>
      <c r="H415" s="78"/>
      <c r="I415" s="134"/>
      <c r="J415" s="78"/>
      <c r="K415" s="78"/>
      <c r="L415" s="65"/>
      <c r="M415" s="65"/>
      <c r="N415" s="65"/>
      <c r="O415" s="65"/>
    </row>
    <row r="416" spans="1:15" ht="15">
      <c r="A416" s="78"/>
      <c r="B416" s="65"/>
      <c r="C416" s="65"/>
      <c r="D416" s="65"/>
      <c r="E416" s="65"/>
      <c r="F416" s="65"/>
      <c r="G416" s="65"/>
      <c r="H416" s="78"/>
      <c r="I416" s="134"/>
      <c r="J416" s="78"/>
      <c r="K416" s="78"/>
      <c r="L416" s="65"/>
      <c r="M416" s="65"/>
      <c r="N416" s="65"/>
      <c r="O416" s="65"/>
    </row>
    <row r="417" spans="1:15" ht="15">
      <c r="A417" s="78"/>
      <c r="B417" s="65"/>
      <c r="C417" s="65"/>
      <c r="D417" s="65"/>
      <c r="E417" s="65"/>
      <c r="F417" s="65"/>
      <c r="G417" s="65"/>
      <c r="H417" s="78"/>
      <c r="I417" s="134"/>
      <c r="J417" s="78"/>
      <c r="K417" s="78"/>
      <c r="L417" s="65"/>
      <c r="M417" s="65"/>
      <c r="N417" s="65"/>
      <c r="O417" s="65"/>
    </row>
    <row r="418" spans="1:15" ht="15">
      <c r="A418" s="78"/>
      <c r="B418" s="65"/>
      <c r="C418" s="65"/>
      <c r="D418" s="65"/>
      <c r="E418" s="65"/>
      <c r="F418" s="65"/>
      <c r="G418" s="65"/>
      <c r="H418" s="78"/>
      <c r="I418" s="134"/>
      <c r="J418" s="78"/>
      <c r="K418" s="78"/>
      <c r="L418" s="65"/>
      <c r="M418" s="65"/>
      <c r="N418" s="65"/>
      <c r="O418" s="65"/>
    </row>
    <row r="419" spans="1:15" ht="15">
      <c r="A419" s="78"/>
      <c r="B419" s="65"/>
      <c r="C419" s="65"/>
      <c r="D419" s="65"/>
      <c r="E419" s="65"/>
      <c r="F419" s="65"/>
      <c r="G419" s="65"/>
      <c r="H419" s="78"/>
      <c r="I419" s="134"/>
      <c r="J419" s="78"/>
      <c r="K419" s="78"/>
      <c r="L419" s="65"/>
      <c r="M419" s="65"/>
      <c r="N419" s="65"/>
      <c r="O419" s="65"/>
    </row>
    <row r="420" spans="1:15" ht="15">
      <c r="A420" s="78"/>
      <c r="B420" s="65"/>
      <c r="C420" s="65"/>
      <c r="D420" s="65"/>
      <c r="E420" s="65"/>
      <c r="F420" s="65"/>
      <c r="G420" s="65"/>
      <c r="H420" s="78"/>
      <c r="I420" s="134"/>
      <c r="J420" s="78"/>
      <c r="K420" s="78"/>
      <c r="L420" s="65"/>
      <c r="M420" s="65"/>
      <c r="N420" s="65"/>
      <c r="O420" s="65"/>
    </row>
    <row r="421" spans="1:15" ht="15">
      <c r="A421" s="78"/>
      <c r="B421" s="65"/>
      <c r="C421" s="65"/>
      <c r="D421" s="65"/>
      <c r="E421" s="65"/>
      <c r="F421" s="65"/>
      <c r="G421" s="65"/>
      <c r="H421" s="78"/>
      <c r="I421" s="134"/>
      <c r="J421" s="78"/>
      <c r="K421" s="78"/>
      <c r="L421" s="65"/>
      <c r="M421" s="65"/>
      <c r="N421" s="65"/>
      <c r="O421" s="65"/>
    </row>
    <row r="422" spans="1:15" ht="15">
      <c r="A422" s="78"/>
      <c r="B422" s="65"/>
      <c r="C422" s="65"/>
      <c r="D422" s="65"/>
      <c r="E422" s="65"/>
      <c r="F422" s="65"/>
      <c r="G422" s="65"/>
      <c r="H422" s="78"/>
      <c r="I422" s="134"/>
      <c r="J422" s="78"/>
      <c r="K422" s="78"/>
      <c r="L422" s="65"/>
      <c r="M422" s="65"/>
      <c r="N422" s="65"/>
      <c r="O422" s="65"/>
    </row>
    <row r="423" spans="1:15" ht="15">
      <c r="A423" s="78"/>
      <c r="B423" s="65"/>
      <c r="C423" s="65"/>
      <c r="D423" s="65"/>
      <c r="E423" s="65"/>
      <c r="F423" s="65"/>
      <c r="G423" s="65"/>
      <c r="H423" s="78"/>
      <c r="I423" s="134"/>
      <c r="J423" s="78"/>
      <c r="K423" s="78"/>
      <c r="L423" s="65"/>
      <c r="M423" s="65"/>
      <c r="N423" s="65"/>
      <c r="O423" s="65"/>
    </row>
    <row r="424" spans="1:15" ht="15">
      <c r="A424" s="78"/>
      <c r="B424" s="65"/>
      <c r="C424" s="65"/>
      <c r="D424" s="65"/>
      <c r="E424" s="65"/>
      <c r="F424" s="65"/>
      <c r="G424" s="65"/>
      <c r="H424" s="78"/>
      <c r="I424" s="134"/>
      <c r="J424" s="78"/>
      <c r="K424" s="78"/>
      <c r="L424" s="65"/>
      <c r="M424" s="65"/>
      <c r="N424" s="65"/>
      <c r="O424" s="65"/>
    </row>
    <row r="425" spans="1:15" ht="15">
      <c r="A425" s="78"/>
      <c r="B425" s="65"/>
      <c r="C425" s="65"/>
      <c r="D425" s="65"/>
      <c r="E425" s="65"/>
      <c r="F425" s="65"/>
      <c r="G425" s="65"/>
      <c r="H425" s="78"/>
      <c r="I425" s="134"/>
      <c r="J425" s="78"/>
      <c r="K425" s="78"/>
      <c r="L425" s="65"/>
      <c r="M425" s="65"/>
      <c r="N425" s="65"/>
      <c r="O425" s="65"/>
    </row>
    <row r="426" spans="1:15" ht="15">
      <c r="A426" s="78"/>
      <c r="B426" s="65"/>
      <c r="C426" s="65"/>
      <c r="D426" s="65"/>
      <c r="E426" s="65"/>
      <c r="F426" s="65"/>
      <c r="G426" s="65"/>
      <c r="H426" s="78"/>
      <c r="I426" s="134"/>
      <c r="J426" s="78"/>
      <c r="K426" s="78"/>
      <c r="L426" s="65"/>
      <c r="M426" s="65"/>
      <c r="N426" s="65"/>
      <c r="O426" s="65"/>
    </row>
    <row r="427" spans="1:15" ht="15">
      <c r="A427" s="78"/>
      <c r="B427" s="65"/>
      <c r="C427" s="65"/>
      <c r="D427" s="65"/>
      <c r="E427" s="65"/>
      <c r="F427" s="65"/>
      <c r="G427" s="65"/>
      <c r="H427" s="78"/>
      <c r="I427" s="134"/>
      <c r="J427" s="78"/>
      <c r="K427" s="78"/>
      <c r="L427" s="65"/>
      <c r="M427" s="65"/>
      <c r="N427" s="65"/>
      <c r="O427" s="65"/>
    </row>
    <row r="428" spans="1:15" ht="15">
      <c r="A428" s="78"/>
      <c r="B428" s="65"/>
      <c r="C428" s="65"/>
      <c r="D428" s="65"/>
      <c r="E428" s="65"/>
      <c r="F428" s="65"/>
      <c r="G428" s="65"/>
      <c r="H428" s="78"/>
      <c r="I428" s="134"/>
      <c r="J428" s="78"/>
      <c r="K428" s="78"/>
      <c r="L428" s="65"/>
      <c r="M428" s="65"/>
      <c r="N428" s="65"/>
      <c r="O428" s="65"/>
    </row>
    <row r="429" spans="1:15" ht="15">
      <c r="A429" s="78"/>
      <c r="B429" s="65"/>
      <c r="C429" s="65"/>
      <c r="D429" s="65"/>
      <c r="E429" s="65"/>
      <c r="F429" s="65"/>
      <c r="G429" s="65"/>
      <c r="H429" s="78"/>
      <c r="I429" s="134"/>
      <c r="J429" s="78"/>
      <c r="K429" s="78"/>
      <c r="L429" s="65"/>
      <c r="M429" s="65"/>
      <c r="N429" s="65"/>
      <c r="O429" s="65"/>
    </row>
    <row r="430" spans="1:15" ht="15">
      <c r="A430" s="78"/>
      <c r="B430" s="65"/>
      <c r="C430" s="65"/>
      <c r="D430" s="65"/>
      <c r="E430" s="65"/>
      <c r="F430" s="65"/>
      <c r="G430" s="65"/>
      <c r="H430" s="78"/>
      <c r="I430" s="134"/>
      <c r="J430" s="78"/>
      <c r="K430" s="78"/>
      <c r="L430" s="65"/>
      <c r="M430" s="65"/>
      <c r="N430" s="65"/>
      <c r="O430" s="65"/>
    </row>
    <row r="431" spans="1:15" ht="15">
      <c r="A431" s="78"/>
      <c r="B431" s="65"/>
      <c r="C431" s="65"/>
      <c r="D431" s="65"/>
      <c r="E431" s="65"/>
      <c r="F431" s="65"/>
      <c r="G431" s="65"/>
      <c r="H431" s="78"/>
      <c r="I431" s="134"/>
      <c r="J431" s="78"/>
      <c r="K431" s="78"/>
      <c r="L431" s="65"/>
      <c r="M431" s="65"/>
      <c r="N431" s="65"/>
      <c r="O431" s="65"/>
    </row>
    <row r="432" spans="1:15" ht="15">
      <c r="A432" s="78"/>
      <c r="B432" s="65"/>
      <c r="C432" s="65"/>
      <c r="D432" s="65"/>
      <c r="E432" s="65"/>
      <c r="F432" s="65"/>
      <c r="G432" s="65"/>
      <c r="H432" s="78"/>
      <c r="I432" s="134"/>
      <c r="J432" s="78"/>
      <c r="K432" s="78"/>
      <c r="L432" s="65"/>
      <c r="M432" s="65"/>
      <c r="N432" s="65"/>
      <c r="O432" s="65"/>
    </row>
    <row r="433" spans="1:15" ht="15">
      <c r="A433" s="78"/>
      <c r="B433" s="65"/>
      <c r="C433" s="65"/>
      <c r="D433" s="65"/>
      <c r="E433" s="65"/>
      <c r="F433" s="65"/>
      <c r="G433" s="65"/>
      <c r="H433" s="78"/>
      <c r="I433" s="134"/>
      <c r="J433" s="78"/>
      <c r="K433" s="78"/>
      <c r="L433" s="65"/>
      <c r="M433" s="65"/>
      <c r="N433" s="65"/>
      <c r="O433" s="65"/>
    </row>
    <row r="434" spans="1:15" ht="15">
      <c r="A434" s="78"/>
      <c r="B434" s="65"/>
      <c r="C434" s="65"/>
      <c r="D434" s="65"/>
      <c r="E434" s="65"/>
      <c r="F434" s="65"/>
      <c r="G434" s="65"/>
      <c r="H434" s="78"/>
      <c r="I434" s="134"/>
      <c r="J434" s="78"/>
      <c r="K434" s="78"/>
      <c r="L434" s="65"/>
      <c r="M434" s="65"/>
      <c r="N434" s="65"/>
      <c r="O434" s="65"/>
    </row>
    <row r="435" spans="1:15" ht="15">
      <c r="A435" s="78"/>
      <c r="B435" s="65"/>
      <c r="C435" s="65"/>
      <c r="D435" s="65"/>
      <c r="E435" s="65"/>
      <c r="F435" s="65"/>
      <c r="G435" s="65"/>
      <c r="H435" s="78"/>
      <c r="I435" s="134"/>
      <c r="J435" s="78"/>
      <c r="K435" s="78"/>
      <c r="L435" s="65"/>
      <c r="M435" s="65"/>
      <c r="N435" s="65"/>
      <c r="O435" s="65"/>
    </row>
    <row r="436" spans="1:15" ht="15">
      <c r="A436" s="78"/>
      <c r="B436" s="65"/>
      <c r="C436" s="65"/>
      <c r="D436" s="65"/>
      <c r="E436" s="65"/>
      <c r="F436" s="65"/>
      <c r="G436" s="65"/>
      <c r="H436" s="78"/>
      <c r="I436" s="134"/>
      <c r="J436" s="78"/>
      <c r="K436" s="78"/>
      <c r="L436" s="65"/>
      <c r="M436" s="65"/>
      <c r="N436" s="65"/>
      <c r="O436" s="65"/>
    </row>
    <row r="437" spans="1:15" ht="15">
      <c r="A437" s="78"/>
      <c r="B437" s="65"/>
      <c r="C437" s="65"/>
      <c r="D437" s="65"/>
      <c r="E437" s="65"/>
      <c r="F437" s="65"/>
      <c r="G437" s="65"/>
      <c r="H437" s="78"/>
      <c r="I437" s="134"/>
      <c r="J437" s="78"/>
      <c r="K437" s="78"/>
      <c r="L437" s="65"/>
      <c r="M437" s="65"/>
      <c r="N437" s="65"/>
      <c r="O437" s="65"/>
    </row>
    <row r="438" spans="1:15" ht="15">
      <c r="A438" s="78"/>
      <c r="B438" s="65"/>
      <c r="C438" s="65"/>
      <c r="D438" s="65"/>
      <c r="E438" s="65"/>
      <c r="F438" s="65"/>
      <c r="G438" s="65"/>
      <c r="H438" s="78"/>
      <c r="I438" s="134"/>
      <c r="J438" s="78"/>
      <c r="K438" s="78"/>
      <c r="L438" s="65"/>
      <c r="M438" s="65"/>
      <c r="N438" s="65"/>
      <c r="O438" s="65"/>
    </row>
    <row r="439" spans="1:15" ht="15">
      <c r="A439" s="78"/>
      <c r="B439" s="65"/>
      <c r="C439" s="65"/>
      <c r="D439" s="65"/>
      <c r="E439" s="65"/>
      <c r="F439" s="65"/>
      <c r="G439" s="65"/>
      <c r="H439" s="78"/>
      <c r="I439" s="134"/>
      <c r="J439" s="78"/>
      <c r="K439" s="78"/>
      <c r="L439" s="65"/>
      <c r="M439" s="65"/>
      <c r="N439" s="65"/>
      <c r="O439" s="65"/>
    </row>
    <row r="440" spans="1:15" ht="15">
      <c r="A440" s="78"/>
      <c r="B440" s="65"/>
      <c r="C440" s="65"/>
      <c r="D440" s="65"/>
      <c r="E440" s="65"/>
      <c r="F440" s="65"/>
      <c r="G440" s="65"/>
      <c r="H440" s="78"/>
      <c r="I440" s="134"/>
      <c r="J440" s="78"/>
      <c r="K440" s="78"/>
      <c r="L440" s="65"/>
      <c r="M440" s="65"/>
      <c r="N440" s="65"/>
      <c r="O440" s="65"/>
    </row>
    <row r="441" spans="1:15" ht="15">
      <c r="A441" s="78"/>
      <c r="B441" s="65"/>
      <c r="C441" s="65"/>
      <c r="D441" s="65"/>
      <c r="E441" s="65"/>
      <c r="F441" s="65"/>
      <c r="G441" s="65"/>
      <c r="H441" s="78"/>
      <c r="I441" s="134"/>
      <c r="J441" s="78"/>
      <c r="K441" s="78"/>
      <c r="L441" s="65"/>
      <c r="M441" s="65"/>
      <c r="N441" s="65"/>
      <c r="O441" s="65"/>
    </row>
    <row r="442" spans="1:15" ht="15">
      <c r="A442" s="78"/>
      <c r="B442" s="65"/>
      <c r="C442" s="65"/>
      <c r="D442" s="65"/>
      <c r="E442" s="65"/>
      <c r="F442" s="65"/>
      <c r="G442" s="65"/>
      <c r="H442" s="78"/>
      <c r="I442" s="134"/>
      <c r="J442" s="78"/>
      <c r="K442" s="78"/>
      <c r="L442" s="65"/>
      <c r="M442" s="65"/>
      <c r="N442" s="65"/>
      <c r="O442" s="65"/>
    </row>
    <row r="443" spans="1:15" ht="15">
      <c r="A443" s="78"/>
      <c r="B443" s="65"/>
      <c r="C443" s="65"/>
      <c r="D443" s="65"/>
      <c r="E443" s="65"/>
      <c r="F443" s="65"/>
      <c r="G443" s="65"/>
      <c r="H443" s="78"/>
      <c r="I443" s="134"/>
      <c r="J443" s="78"/>
      <c r="K443" s="78"/>
      <c r="L443" s="65"/>
      <c r="M443" s="65"/>
      <c r="N443" s="65"/>
      <c r="O443" s="65"/>
    </row>
    <row r="444" spans="1:15" ht="15">
      <c r="A444" s="78"/>
      <c r="B444" s="65"/>
      <c r="C444" s="65"/>
      <c r="D444" s="65"/>
      <c r="E444" s="65"/>
      <c r="F444" s="65"/>
      <c r="G444" s="65"/>
      <c r="H444" s="78"/>
      <c r="I444" s="134"/>
      <c r="J444" s="78"/>
      <c r="K444" s="78"/>
      <c r="L444" s="65"/>
      <c r="M444" s="65"/>
      <c r="N444" s="65"/>
      <c r="O444" s="65"/>
    </row>
    <row r="445" spans="1:15" ht="15">
      <c r="A445" s="78"/>
      <c r="B445" s="65"/>
      <c r="C445" s="65"/>
      <c r="D445" s="65"/>
      <c r="E445" s="65"/>
      <c r="F445" s="65"/>
      <c r="G445" s="65"/>
      <c r="H445" s="78"/>
      <c r="I445" s="134"/>
      <c r="J445" s="78"/>
      <c r="K445" s="78"/>
      <c r="L445" s="65"/>
      <c r="M445" s="65"/>
      <c r="N445" s="65"/>
      <c r="O445" s="65"/>
    </row>
    <row r="446" spans="1:15" ht="15">
      <c r="A446" s="78"/>
      <c r="B446" s="65"/>
      <c r="C446" s="65"/>
      <c r="D446" s="65"/>
      <c r="E446" s="65"/>
      <c r="F446" s="65"/>
      <c r="G446" s="65"/>
      <c r="H446" s="78"/>
      <c r="I446" s="134"/>
      <c r="J446" s="78"/>
      <c r="K446" s="78"/>
      <c r="L446" s="65"/>
      <c r="M446" s="65"/>
      <c r="N446" s="65"/>
      <c r="O446" s="65"/>
    </row>
    <row r="447" spans="1:15" ht="15">
      <c r="A447" s="78"/>
      <c r="B447" s="65"/>
      <c r="C447" s="65"/>
      <c r="D447" s="65"/>
      <c r="E447" s="65"/>
      <c r="F447" s="65"/>
      <c r="G447" s="65"/>
      <c r="H447" s="78"/>
      <c r="I447" s="134"/>
      <c r="J447" s="78"/>
      <c r="K447" s="78"/>
      <c r="L447" s="65"/>
      <c r="M447" s="65"/>
      <c r="N447" s="65"/>
      <c r="O447" s="65"/>
    </row>
    <row r="448" spans="1:15" ht="15">
      <c r="A448" s="78"/>
      <c r="B448" s="65"/>
      <c r="C448" s="65"/>
      <c r="D448" s="65"/>
      <c r="E448" s="65"/>
      <c r="F448" s="65"/>
      <c r="G448" s="65"/>
      <c r="H448" s="78"/>
      <c r="I448" s="134"/>
      <c r="J448" s="78"/>
      <c r="K448" s="78"/>
      <c r="L448" s="65"/>
      <c r="M448" s="65"/>
      <c r="N448" s="65"/>
      <c r="O448" s="65"/>
    </row>
    <row r="449" spans="1:15" ht="15">
      <c r="A449" s="78"/>
      <c r="B449" s="65"/>
      <c r="C449" s="65"/>
      <c r="D449" s="65"/>
      <c r="E449" s="65"/>
      <c r="F449" s="65"/>
      <c r="G449" s="65"/>
      <c r="H449" s="78"/>
      <c r="I449" s="134"/>
      <c r="J449" s="78"/>
      <c r="K449" s="78"/>
      <c r="L449" s="65"/>
      <c r="M449" s="65"/>
      <c r="N449" s="65"/>
      <c r="O449" s="65"/>
    </row>
    <row r="450" spans="1:15" ht="15">
      <c r="A450" s="78"/>
      <c r="B450" s="65"/>
      <c r="C450" s="65"/>
      <c r="D450" s="65"/>
      <c r="E450" s="65"/>
      <c r="F450" s="65"/>
      <c r="G450" s="65"/>
      <c r="H450" s="78"/>
      <c r="I450" s="134"/>
      <c r="J450" s="78"/>
      <c r="K450" s="78"/>
      <c r="L450" s="65"/>
      <c r="M450" s="65"/>
      <c r="N450" s="65"/>
      <c r="O450" s="65"/>
    </row>
    <row r="451" spans="1:15" ht="15">
      <c r="A451" s="78"/>
      <c r="B451" s="65"/>
      <c r="C451" s="65"/>
      <c r="D451" s="65"/>
      <c r="E451" s="65"/>
      <c r="F451" s="65"/>
      <c r="G451" s="65"/>
      <c r="H451" s="78"/>
      <c r="I451" s="134"/>
      <c r="J451" s="78"/>
      <c r="K451" s="78"/>
      <c r="L451" s="65"/>
      <c r="M451" s="65"/>
      <c r="N451" s="65"/>
      <c r="O451" s="65"/>
    </row>
    <row r="452" spans="1:15" ht="15">
      <c r="A452" s="78"/>
      <c r="B452" s="65"/>
      <c r="C452" s="65"/>
      <c r="D452" s="65"/>
      <c r="E452" s="65"/>
      <c r="F452" s="65"/>
      <c r="G452" s="65"/>
      <c r="H452" s="78"/>
      <c r="I452" s="134"/>
      <c r="J452" s="78"/>
      <c r="K452" s="78"/>
      <c r="L452" s="65"/>
      <c r="M452" s="65"/>
      <c r="N452" s="65"/>
      <c r="O452" s="65"/>
    </row>
    <row r="453" spans="1:15" ht="15">
      <c r="A453" s="78"/>
      <c r="B453" s="65"/>
      <c r="C453" s="65"/>
      <c r="D453" s="65"/>
      <c r="E453" s="65"/>
      <c r="F453" s="65"/>
      <c r="G453" s="65"/>
      <c r="H453" s="78"/>
      <c r="I453" s="134"/>
      <c r="J453" s="78"/>
      <c r="K453" s="78"/>
      <c r="L453" s="65"/>
      <c r="M453" s="65"/>
      <c r="N453" s="65"/>
      <c r="O453" s="65"/>
    </row>
    <row r="454" spans="1:15" ht="15">
      <c r="A454" s="78"/>
      <c r="B454" s="65"/>
      <c r="C454" s="65"/>
      <c r="D454" s="65"/>
      <c r="E454" s="65"/>
      <c r="F454" s="65"/>
      <c r="G454" s="65"/>
      <c r="H454" s="78"/>
      <c r="I454" s="134"/>
      <c r="J454" s="78"/>
      <c r="K454" s="78"/>
      <c r="L454" s="65"/>
      <c r="M454" s="65"/>
      <c r="N454" s="65"/>
      <c r="O454" s="65"/>
    </row>
    <row r="455" spans="1:15" ht="15">
      <c r="A455" s="78"/>
      <c r="B455" s="65"/>
      <c r="C455" s="65"/>
      <c r="D455" s="65"/>
      <c r="E455" s="65"/>
      <c r="F455" s="65"/>
      <c r="G455" s="65"/>
      <c r="H455" s="78"/>
      <c r="I455" s="134"/>
      <c r="J455" s="78"/>
      <c r="K455" s="78"/>
      <c r="L455" s="65"/>
      <c r="M455" s="65"/>
      <c r="N455" s="65"/>
      <c r="O455" s="65"/>
    </row>
    <row r="456" spans="1:15" ht="15">
      <c r="A456" s="78"/>
      <c r="B456" s="65"/>
      <c r="C456" s="65"/>
      <c r="D456" s="65"/>
      <c r="E456" s="65"/>
      <c r="F456" s="65"/>
      <c r="G456" s="65"/>
      <c r="H456" s="78"/>
      <c r="I456" s="134"/>
      <c r="J456" s="78"/>
      <c r="K456" s="78"/>
      <c r="L456" s="65"/>
      <c r="M456" s="65"/>
      <c r="N456" s="65"/>
      <c r="O456" s="65"/>
    </row>
    <row r="457" spans="1:15" ht="15">
      <c r="A457" s="78"/>
      <c r="B457" s="65"/>
      <c r="C457" s="65"/>
      <c r="D457" s="65"/>
      <c r="E457" s="65"/>
      <c r="F457" s="65"/>
      <c r="G457" s="65"/>
      <c r="H457" s="78"/>
      <c r="I457" s="134"/>
      <c r="J457" s="78"/>
      <c r="K457" s="78"/>
      <c r="L457" s="65"/>
      <c r="M457" s="65"/>
      <c r="N457" s="65"/>
      <c r="O457" s="65"/>
    </row>
    <row r="458" spans="1:15" ht="15">
      <c r="A458" s="78"/>
      <c r="B458" s="65"/>
      <c r="C458" s="65"/>
      <c r="D458" s="65"/>
      <c r="E458" s="65"/>
      <c r="F458" s="65"/>
      <c r="G458" s="65"/>
      <c r="H458" s="78"/>
      <c r="I458" s="134"/>
      <c r="J458" s="78"/>
      <c r="K458" s="78"/>
      <c r="L458" s="65"/>
      <c r="M458" s="65"/>
      <c r="N458" s="65"/>
      <c r="O458" s="65"/>
    </row>
    <row r="459" spans="1:15" ht="15">
      <c r="A459" s="78"/>
      <c r="B459" s="65"/>
      <c r="C459" s="65"/>
      <c r="D459" s="65"/>
      <c r="E459" s="65"/>
      <c r="F459" s="65"/>
      <c r="G459" s="65"/>
      <c r="H459" s="78"/>
      <c r="I459" s="134"/>
      <c r="J459" s="78"/>
      <c r="K459" s="78"/>
      <c r="L459" s="65"/>
      <c r="M459" s="65"/>
      <c r="N459" s="65"/>
      <c r="O459" s="65"/>
    </row>
    <row r="460" spans="1:15" ht="15">
      <c r="A460" s="78"/>
      <c r="B460" s="65"/>
      <c r="C460" s="65"/>
      <c r="D460" s="65"/>
      <c r="E460" s="65"/>
      <c r="F460" s="65"/>
      <c r="G460" s="65"/>
      <c r="H460" s="78"/>
      <c r="I460" s="134"/>
      <c r="J460" s="78"/>
      <c r="K460" s="78"/>
      <c r="L460" s="65"/>
      <c r="M460" s="65"/>
      <c r="N460" s="65"/>
      <c r="O460" s="65"/>
    </row>
    <row r="461" spans="1:15" ht="15">
      <c r="A461" s="78"/>
      <c r="B461" s="65"/>
      <c r="C461" s="65"/>
      <c r="D461" s="65"/>
      <c r="E461" s="65"/>
      <c r="F461" s="65"/>
      <c r="G461" s="65"/>
      <c r="H461" s="78"/>
      <c r="I461" s="134"/>
      <c r="J461" s="78"/>
      <c r="K461" s="78"/>
      <c r="L461" s="65"/>
      <c r="M461" s="65"/>
      <c r="N461" s="65"/>
      <c r="O461" s="65"/>
    </row>
    <row r="462" spans="1:15" ht="15">
      <c r="A462" s="78"/>
      <c r="B462" s="65"/>
      <c r="C462" s="65"/>
      <c r="D462" s="65"/>
      <c r="E462" s="65"/>
      <c r="F462" s="65"/>
      <c r="G462" s="65"/>
      <c r="H462" s="78"/>
      <c r="I462" s="134"/>
      <c r="J462" s="78"/>
      <c r="K462" s="78"/>
      <c r="L462" s="65"/>
      <c r="M462" s="65"/>
      <c r="N462" s="65"/>
      <c r="O462" s="65"/>
    </row>
    <row r="463" spans="1:15" ht="15">
      <c r="A463" s="78"/>
      <c r="B463" s="65"/>
      <c r="C463" s="65"/>
      <c r="D463" s="65"/>
      <c r="E463" s="65"/>
      <c r="F463" s="65"/>
      <c r="G463" s="65"/>
      <c r="H463" s="78"/>
      <c r="I463" s="134"/>
      <c r="J463" s="78"/>
      <c r="K463" s="78"/>
      <c r="L463" s="65"/>
      <c r="M463" s="65"/>
      <c r="N463" s="65"/>
      <c r="O463" s="65"/>
    </row>
    <row r="464" spans="1:15" ht="15">
      <c r="A464" s="78"/>
      <c r="B464" s="65"/>
      <c r="C464" s="65"/>
      <c r="D464" s="65"/>
      <c r="E464" s="65"/>
      <c r="F464" s="65"/>
      <c r="G464" s="65"/>
      <c r="H464" s="78"/>
      <c r="I464" s="134"/>
      <c r="J464" s="78"/>
      <c r="K464" s="78"/>
      <c r="L464" s="65"/>
      <c r="M464" s="65"/>
      <c r="N464" s="65"/>
      <c r="O464" s="65"/>
    </row>
    <row r="465" spans="1:15" ht="15">
      <c r="A465" s="78"/>
      <c r="B465" s="65"/>
      <c r="C465" s="65"/>
      <c r="D465" s="65"/>
      <c r="E465" s="65"/>
      <c r="F465" s="65"/>
      <c r="G465" s="65"/>
      <c r="H465" s="78"/>
      <c r="I465" s="134"/>
      <c r="J465" s="78"/>
      <c r="K465" s="78"/>
      <c r="L465" s="65"/>
      <c r="M465" s="65"/>
      <c r="N465" s="65"/>
      <c r="O465" s="65"/>
    </row>
    <row r="466" spans="1:15" ht="15">
      <c r="A466" s="78"/>
      <c r="B466" s="65"/>
      <c r="C466" s="65"/>
      <c r="D466" s="65"/>
      <c r="E466" s="65"/>
      <c r="F466" s="65"/>
      <c r="G466" s="65"/>
      <c r="H466" s="78"/>
      <c r="I466" s="134"/>
      <c r="J466" s="78"/>
      <c r="K466" s="78"/>
      <c r="L466" s="65"/>
      <c r="M466" s="65"/>
      <c r="N466" s="65"/>
      <c r="O466" s="65"/>
    </row>
    <row r="467" spans="1:15" ht="15">
      <c r="A467" s="78"/>
      <c r="B467" s="65"/>
      <c r="C467" s="65"/>
      <c r="D467" s="65"/>
      <c r="E467" s="65"/>
      <c r="F467" s="65"/>
      <c r="G467" s="65"/>
      <c r="H467" s="78"/>
      <c r="I467" s="134"/>
      <c r="J467" s="78"/>
      <c r="K467" s="78"/>
      <c r="L467" s="65"/>
      <c r="M467" s="65"/>
      <c r="N467" s="65"/>
      <c r="O467" s="65"/>
    </row>
    <row r="468" spans="1:15" ht="15">
      <c r="A468" s="78"/>
      <c r="B468" s="65"/>
      <c r="C468" s="65"/>
      <c r="D468" s="65"/>
      <c r="E468" s="65"/>
      <c r="F468" s="65"/>
      <c r="G468" s="65"/>
      <c r="H468" s="78"/>
      <c r="I468" s="134"/>
      <c r="J468" s="78"/>
      <c r="K468" s="78"/>
      <c r="L468" s="65"/>
      <c r="M468" s="65"/>
      <c r="N468" s="65"/>
      <c r="O468" s="65"/>
    </row>
    <row r="469" spans="1:15" ht="15">
      <c r="A469" s="78"/>
      <c r="B469" s="65"/>
      <c r="C469" s="65"/>
      <c r="D469" s="65"/>
      <c r="E469" s="65"/>
      <c r="F469" s="65"/>
      <c r="G469" s="65"/>
      <c r="H469" s="78"/>
      <c r="I469" s="134"/>
      <c r="J469" s="78"/>
      <c r="K469" s="78"/>
      <c r="L469" s="65"/>
      <c r="M469" s="65"/>
      <c r="N469" s="65"/>
      <c r="O469" s="65"/>
    </row>
    <row r="470" spans="1:15" ht="15">
      <c r="A470" s="78"/>
      <c r="B470" s="65"/>
      <c r="C470" s="65"/>
      <c r="D470" s="65"/>
      <c r="E470" s="65"/>
      <c r="F470" s="65"/>
      <c r="G470" s="65"/>
      <c r="H470" s="78"/>
      <c r="I470" s="134"/>
      <c r="J470" s="78"/>
      <c r="K470" s="78"/>
      <c r="L470" s="65"/>
      <c r="M470" s="65"/>
      <c r="N470" s="65"/>
      <c r="O470" s="65"/>
    </row>
    <row r="471" spans="1:15" ht="15">
      <c r="A471" s="78"/>
      <c r="B471" s="65"/>
      <c r="C471" s="65"/>
      <c r="D471" s="65"/>
      <c r="E471" s="65"/>
      <c r="F471" s="65"/>
      <c r="G471" s="65"/>
      <c r="H471" s="78"/>
      <c r="I471" s="134"/>
      <c r="J471" s="78"/>
      <c r="K471" s="78"/>
      <c r="L471" s="65"/>
      <c r="M471" s="65"/>
      <c r="N471" s="65"/>
      <c r="O471" s="65"/>
    </row>
    <row r="472" spans="1:15" ht="15">
      <c r="A472" s="78"/>
      <c r="B472" s="65"/>
      <c r="C472" s="65"/>
      <c r="D472" s="65"/>
      <c r="E472" s="65"/>
      <c r="F472" s="65"/>
      <c r="G472" s="65"/>
      <c r="H472" s="78"/>
      <c r="I472" s="134"/>
      <c r="J472" s="78"/>
      <c r="K472" s="78"/>
      <c r="L472" s="65"/>
      <c r="M472" s="65"/>
      <c r="N472" s="65"/>
      <c r="O472" s="65"/>
    </row>
    <row r="473" spans="1:15" ht="15">
      <c r="A473" s="78"/>
      <c r="B473" s="65"/>
      <c r="C473" s="65"/>
      <c r="D473" s="65"/>
      <c r="E473" s="65"/>
      <c r="F473" s="65"/>
      <c r="G473" s="65"/>
      <c r="H473" s="78"/>
      <c r="I473" s="134"/>
      <c r="J473" s="78"/>
      <c r="K473" s="78"/>
      <c r="L473" s="65"/>
      <c r="M473" s="65"/>
      <c r="N473" s="65"/>
      <c r="O473" s="65"/>
    </row>
    <row r="474" spans="1:15" ht="15">
      <c r="A474" s="78"/>
      <c r="B474" s="65"/>
      <c r="C474" s="65"/>
      <c r="D474" s="65"/>
      <c r="E474" s="65"/>
      <c r="F474" s="65"/>
      <c r="G474" s="65"/>
      <c r="H474" s="78"/>
      <c r="I474" s="134"/>
      <c r="J474" s="78"/>
      <c r="K474" s="78"/>
      <c r="L474" s="65"/>
      <c r="M474" s="65"/>
      <c r="N474" s="65"/>
      <c r="O474" s="65"/>
    </row>
    <row r="475" spans="1:15" ht="15">
      <c r="A475" s="78"/>
      <c r="B475" s="65"/>
      <c r="C475" s="65"/>
      <c r="D475" s="65"/>
      <c r="E475" s="65"/>
      <c r="F475" s="65"/>
      <c r="G475" s="65"/>
      <c r="H475" s="78"/>
      <c r="I475" s="134"/>
      <c r="J475" s="78"/>
      <c r="K475" s="78"/>
      <c r="L475" s="65"/>
      <c r="M475" s="65"/>
      <c r="N475" s="65"/>
      <c r="O475" s="65"/>
    </row>
    <row r="476" spans="1:15" ht="15">
      <c r="A476" s="78"/>
      <c r="B476" s="65"/>
      <c r="C476" s="65"/>
      <c r="D476" s="65"/>
      <c r="E476" s="65"/>
      <c r="F476" s="65"/>
      <c r="G476" s="65"/>
      <c r="H476" s="78"/>
      <c r="I476" s="134"/>
      <c r="J476" s="78"/>
      <c r="K476" s="78"/>
      <c r="L476" s="65"/>
      <c r="M476" s="65"/>
      <c r="N476" s="65"/>
      <c r="O476" s="65"/>
    </row>
    <row r="477" spans="1:15" ht="15">
      <c r="A477" s="78"/>
      <c r="B477" s="65"/>
      <c r="C477" s="65"/>
      <c r="D477" s="65"/>
      <c r="E477" s="65"/>
      <c r="F477" s="65"/>
      <c r="G477" s="65"/>
      <c r="H477" s="78"/>
      <c r="I477" s="134"/>
      <c r="J477" s="78"/>
      <c r="K477" s="78"/>
      <c r="L477" s="65"/>
      <c r="M477" s="65"/>
      <c r="N477" s="65"/>
      <c r="O477" s="65"/>
    </row>
    <row r="478" spans="1:15" ht="15">
      <c r="A478" s="78"/>
      <c r="B478" s="65"/>
      <c r="C478" s="65"/>
      <c r="D478" s="65"/>
      <c r="E478" s="65"/>
      <c r="F478" s="65"/>
      <c r="G478" s="65"/>
      <c r="H478" s="78"/>
      <c r="I478" s="134"/>
      <c r="J478" s="78"/>
      <c r="K478" s="78"/>
      <c r="L478" s="65"/>
      <c r="M478" s="65"/>
      <c r="N478" s="65"/>
      <c r="O478" s="65"/>
    </row>
    <row r="479" spans="1:15" ht="15">
      <c r="A479" s="78"/>
      <c r="B479" s="65"/>
      <c r="C479" s="65"/>
      <c r="D479" s="65"/>
      <c r="E479" s="65"/>
      <c r="F479" s="65"/>
      <c r="G479" s="65"/>
      <c r="H479" s="78"/>
      <c r="I479" s="134"/>
      <c r="J479" s="78"/>
      <c r="K479" s="78"/>
      <c r="L479" s="65"/>
      <c r="M479" s="65"/>
      <c r="N479" s="65"/>
      <c r="O479" s="65"/>
    </row>
    <row r="480" spans="1:15" ht="15">
      <c r="A480" s="78"/>
      <c r="B480" s="65"/>
      <c r="C480" s="65"/>
      <c r="D480" s="65"/>
      <c r="E480" s="65"/>
      <c r="F480" s="65"/>
      <c r="G480" s="65"/>
      <c r="H480" s="78"/>
      <c r="I480" s="134"/>
      <c r="J480" s="78"/>
      <c r="K480" s="78"/>
      <c r="L480" s="65"/>
      <c r="M480" s="65"/>
      <c r="N480" s="65"/>
      <c r="O480" s="65"/>
    </row>
    <row r="481" spans="1:15" ht="15">
      <c r="A481" s="78"/>
      <c r="B481" s="65"/>
      <c r="C481" s="65"/>
      <c r="D481" s="65"/>
      <c r="E481" s="65"/>
      <c r="F481" s="65"/>
      <c r="G481" s="65"/>
      <c r="H481" s="78"/>
      <c r="I481" s="134"/>
      <c r="J481" s="78"/>
      <c r="K481" s="78"/>
      <c r="L481" s="65"/>
      <c r="M481" s="65"/>
      <c r="N481" s="65"/>
      <c r="O481" s="65"/>
    </row>
    <row r="482" spans="1:15" ht="15">
      <c r="A482" s="78"/>
      <c r="B482" s="65"/>
      <c r="C482" s="65"/>
      <c r="D482" s="65"/>
      <c r="E482" s="65"/>
      <c r="F482" s="65"/>
      <c r="G482" s="65"/>
      <c r="H482" s="78"/>
      <c r="I482" s="134"/>
      <c r="J482" s="78"/>
      <c r="K482" s="78"/>
      <c r="L482" s="65"/>
      <c r="M482" s="65"/>
      <c r="N482" s="65"/>
      <c r="O482" s="65"/>
    </row>
    <row r="483" spans="1:15" ht="15">
      <c r="A483" s="78"/>
      <c r="B483" s="65"/>
      <c r="C483" s="65"/>
      <c r="D483" s="65"/>
      <c r="E483" s="65"/>
      <c r="F483" s="65"/>
      <c r="G483" s="65"/>
      <c r="H483" s="78"/>
      <c r="I483" s="134"/>
      <c r="J483" s="78"/>
      <c r="K483" s="78"/>
      <c r="L483" s="65"/>
      <c r="M483" s="65"/>
      <c r="N483" s="65"/>
      <c r="O483" s="65"/>
    </row>
    <row r="484" spans="1:15" ht="15">
      <c r="A484" s="78"/>
      <c r="B484" s="65"/>
      <c r="C484" s="65"/>
      <c r="D484" s="65"/>
      <c r="E484" s="65"/>
      <c r="F484" s="65"/>
      <c r="G484" s="65"/>
      <c r="H484" s="78"/>
      <c r="I484" s="134"/>
      <c r="J484" s="78"/>
      <c r="K484" s="78"/>
      <c r="L484" s="65"/>
      <c r="M484" s="65"/>
      <c r="N484" s="65"/>
      <c r="O484" s="65"/>
    </row>
    <row r="485" spans="1:15" ht="15">
      <c r="A485" s="78"/>
      <c r="B485" s="65"/>
      <c r="C485" s="65"/>
      <c r="D485" s="65"/>
      <c r="E485" s="65"/>
      <c r="F485" s="65"/>
      <c r="G485" s="65"/>
      <c r="H485" s="78"/>
      <c r="I485" s="134"/>
      <c r="J485" s="78"/>
      <c r="K485" s="78"/>
      <c r="L485" s="65"/>
      <c r="M485" s="65"/>
      <c r="N485" s="65"/>
      <c r="O485" s="65"/>
    </row>
    <row r="486" spans="1:15" ht="15">
      <c r="A486" s="78"/>
      <c r="B486" s="65"/>
      <c r="C486" s="65"/>
      <c r="D486" s="65"/>
      <c r="E486" s="65"/>
      <c r="F486" s="65"/>
      <c r="G486" s="65"/>
      <c r="H486" s="78"/>
      <c r="I486" s="134"/>
      <c r="J486" s="78"/>
      <c r="K486" s="78"/>
      <c r="L486" s="65"/>
      <c r="M486" s="65"/>
      <c r="N486" s="65"/>
      <c r="O486" s="65"/>
    </row>
    <row r="487" spans="1:15" ht="15">
      <c r="A487" s="78"/>
      <c r="B487" s="65"/>
      <c r="C487" s="65"/>
      <c r="D487" s="65"/>
      <c r="E487" s="65"/>
      <c r="F487" s="65"/>
      <c r="G487" s="65"/>
      <c r="H487" s="78"/>
      <c r="I487" s="134"/>
      <c r="J487" s="78"/>
      <c r="K487" s="78"/>
      <c r="L487" s="65"/>
      <c r="M487" s="65"/>
      <c r="N487" s="65"/>
      <c r="O487" s="65"/>
    </row>
    <row r="488" spans="1:15" ht="15">
      <c r="A488" s="78"/>
      <c r="B488" s="65"/>
      <c r="C488" s="65"/>
      <c r="D488" s="65"/>
      <c r="E488" s="65"/>
      <c r="F488" s="65"/>
      <c r="G488" s="65"/>
      <c r="H488" s="78"/>
      <c r="I488" s="134"/>
      <c r="J488" s="78"/>
      <c r="K488" s="78"/>
      <c r="L488" s="65"/>
      <c r="M488" s="65"/>
      <c r="N488" s="65"/>
      <c r="O488" s="65"/>
    </row>
    <row r="489" spans="1:15" ht="15">
      <c r="A489" s="78"/>
      <c r="B489" s="65"/>
      <c r="C489" s="65"/>
      <c r="D489" s="65"/>
      <c r="E489" s="65"/>
      <c r="F489" s="65"/>
      <c r="G489" s="65"/>
      <c r="H489" s="78"/>
      <c r="I489" s="134"/>
      <c r="J489" s="78"/>
      <c r="K489" s="78"/>
      <c r="L489" s="65"/>
      <c r="M489" s="65"/>
      <c r="N489" s="65"/>
      <c r="O489" s="65"/>
    </row>
    <row r="490" spans="1:15" ht="15">
      <c r="A490" s="78"/>
      <c r="B490" s="65"/>
      <c r="C490" s="65"/>
      <c r="D490" s="65"/>
      <c r="E490" s="65"/>
      <c r="F490" s="65"/>
      <c r="G490" s="65"/>
      <c r="H490" s="78"/>
      <c r="I490" s="134"/>
      <c r="J490" s="78"/>
      <c r="K490" s="78"/>
      <c r="L490" s="65"/>
      <c r="M490" s="65"/>
      <c r="N490" s="65"/>
      <c r="O490" s="65"/>
    </row>
    <row r="491" spans="1:15" ht="15">
      <c r="A491" s="78"/>
      <c r="B491" s="65"/>
      <c r="C491" s="65"/>
      <c r="D491" s="65"/>
      <c r="E491" s="65"/>
      <c r="F491" s="65"/>
      <c r="G491" s="65"/>
      <c r="H491" s="78"/>
      <c r="I491" s="134"/>
      <c r="J491" s="78"/>
      <c r="K491" s="78"/>
      <c r="L491" s="65"/>
      <c r="M491" s="65"/>
      <c r="N491" s="65"/>
      <c r="O491" s="65"/>
    </row>
    <row r="492" spans="1:15" ht="15">
      <c r="A492" s="78"/>
      <c r="B492" s="65"/>
      <c r="C492" s="65"/>
      <c r="D492" s="65"/>
      <c r="E492" s="65"/>
      <c r="F492" s="65"/>
      <c r="G492" s="65"/>
      <c r="H492" s="78"/>
      <c r="I492" s="134"/>
      <c r="J492" s="78"/>
      <c r="K492" s="78"/>
      <c r="L492" s="65"/>
      <c r="M492" s="65"/>
      <c r="N492" s="65"/>
      <c r="O492" s="65"/>
    </row>
    <row r="493" spans="1:15" ht="15">
      <c r="A493" s="78"/>
      <c r="B493" s="65"/>
      <c r="C493" s="65"/>
      <c r="D493" s="65"/>
      <c r="E493" s="65"/>
      <c r="F493" s="65"/>
      <c r="G493" s="65"/>
      <c r="H493" s="78"/>
      <c r="I493" s="134"/>
      <c r="J493" s="78"/>
      <c r="K493" s="78"/>
      <c r="L493" s="65"/>
      <c r="M493" s="65"/>
      <c r="N493" s="65"/>
      <c r="O493" s="65"/>
    </row>
    <row r="494" spans="1:15" ht="15">
      <c r="A494" s="78"/>
      <c r="B494" s="65"/>
      <c r="C494" s="65"/>
      <c r="D494" s="65"/>
      <c r="E494" s="65"/>
      <c r="F494" s="65"/>
      <c r="G494" s="65"/>
      <c r="H494" s="78"/>
      <c r="I494" s="134"/>
      <c r="J494" s="78"/>
      <c r="K494" s="78"/>
      <c r="L494" s="65"/>
      <c r="M494" s="65"/>
      <c r="N494" s="65"/>
      <c r="O494" s="65"/>
    </row>
    <row r="495" spans="1:15" ht="15">
      <c r="A495" s="78"/>
      <c r="B495" s="65"/>
      <c r="C495" s="65"/>
      <c r="D495" s="65"/>
      <c r="E495" s="65"/>
      <c r="F495" s="65"/>
      <c r="G495" s="65"/>
      <c r="H495" s="78"/>
      <c r="I495" s="134"/>
      <c r="J495" s="78"/>
      <c r="K495" s="78"/>
      <c r="L495" s="65"/>
      <c r="M495" s="65"/>
      <c r="N495" s="65"/>
      <c r="O495" s="65"/>
    </row>
    <row r="496" spans="1:15" ht="15">
      <c r="A496" s="78"/>
      <c r="B496" s="65"/>
      <c r="C496" s="65"/>
      <c r="D496" s="65"/>
      <c r="E496" s="65"/>
      <c r="F496" s="65"/>
      <c r="G496" s="65"/>
      <c r="H496" s="78"/>
      <c r="I496" s="134"/>
      <c r="J496" s="78"/>
      <c r="K496" s="78"/>
      <c r="L496" s="65"/>
      <c r="M496" s="65"/>
      <c r="N496" s="65"/>
      <c r="O496" s="65"/>
    </row>
    <row r="497" spans="1:15" ht="15">
      <c r="A497" s="78"/>
      <c r="B497" s="65"/>
      <c r="C497" s="65"/>
      <c r="D497" s="65"/>
      <c r="E497" s="65"/>
      <c r="F497" s="65"/>
      <c r="G497" s="65"/>
      <c r="H497" s="78"/>
      <c r="I497" s="134"/>
      <c r="J497" s="78"/>
      <c r="K497" s="78"/>
      <c r="L497" s="65"/>
      <c r="M497" s="65"/>
      <c r="N497" s="65"/>
      <c r="O497" s="65"/>
    </row>
    <row r="498" spans="1:15" ht="15">
      <c r="A498" s="78"/>
      <c r="B498" s="65"/>
      <c r="C498" s="65"/>
      <c r="D498" s="65"/>
      <c r="E498" s="65"/>
      <c r="F498" s="65"/>
      <c r="G498" s="65"/>
      <c r="H498" s="78"/>
      <c r="I498" s="134"/>
      <c r="J498" s="78"/>
      <c r="K498" s="78"/>
      <c r="L498" s="65"/>
      <c r="M498" s="65"/>
      <c r="N498" s="65"/>
      <c r="O498" s="65"/>
    </row>
    <row r="499" spans="1:15" ht="15">
      <c r="A499" s="78"/>
      <c r="B499" s="65"/>
      <c r="C499" s="65"/>
      <c r="D499" s="65"/>
      <c r="E499" s="65"/>
      <c r="F499" s="65"/>
      <c r="G499" s="65"/>
      <c r="H499" s="78"/>
      <c r="I499" s="134"/>
      <c r="J499" s="78"/>
      <c r="K499" s="78"/>
      <c r="L499" s="65"/>
      <c r="M499" s="65"/>
      <c r="N499" s="65"/>
      <c r="O499" s="65"/>
    </row>
    <row r="500" spans="1:15" ht="15">
      <c r="A500" s="78"/>
      <c r="B500" s="65"/>
      <c r="C500" s="65"/>
      <c r="D500" s="65"/>
      <c r="E500" s="65"/>
      <c r="F500" s="65"/>
      <c r="G500" s="65"/>
      <c r="H500" s="78"/>
      <c r="I500" s="134"/>
      <c r="J500" s="78"/>
      <c r="K500" s="78"/>
      <c r="L500" s="65"/>
      <c r="M500" s="65"/>
      <c r="N500" s="65"/>
      <c r="O500" s="65"/>
    </row>
    <row r="501" spans="1:15" ht="15">
      <c r="A501" s="78"/>
      <c r="B501" s="65"/>
      <c r="C501" s="65"/>
      <c r="D501" s="65"/>
      <c r="E501" s="65"/>
      <c r="F501" s="65"/>
      <c r="G501" s="65"/>
      <c r="H501" s="78"/>
      <c r="I501" s="134"/>
      <c r="J501" s="78"/>
      <c r="K501" s="78"/>
      <c r="L501" s="65"/>
      <c r="M501" s="65"/>
      <c r="N501" s="65"/>
      <c r="O501" s="65"/>
    </row>
    <row r="502" spans="1:15" ht="15">
      <c r="A502" s="78"/>
      <c r="B502" s="65"/>
      <c r="C502" s="65"/>
      <c r="D502" s="65"/>
      <c r="E502" s="65"/>
      <c r="F502" s="65"/>
      <c r="G502" s="65"/>
      <c r="H502" s="78"/>
      <c r="I502" s="134"/>
      <c r="J502" s="78"/>
      <c r="K502" s="78"/>
      <c r="L502" s="65"/>
      <c r="M502" s="65"/>
      <c r="N502" s="65"/>
      <c r="O502" s="65"/>
    </row>
    <row r="503" spans="1:15" ht="15">
      <c r="A503" s="78"/>
      <c r="B503" s="65"/>
      <c r="C503" s="65"/>
      <c r="D503" s="65"/>
      <c r="E503" s="65"/>
      <c r="F503" s="65"/>
      <c r="G503" s="65"/>
      <c r="H503" s="78"/>
      <c r="I503" s="134"/>
      <c r="J503" s="78"/>
      <c r="K503" s="78"/>
      <c r="L503" s="65"/>
      <c r="M503" s="65"/>
      <c r="N503" s="65"/>
      <c r="O503" s="65"/>
    </row>
    <row r="504" spans="1:15" ht="15">
      <c r="A504" s="78"/>
      <c r="B504" s="65"/>
      <c r="C504" s="65"/>
      <c r="D504" s="65"/>
      <c r="E504" s="65"/>
      <c r="F504" s="65"/>
      <c r="G504" s="65"/>
      <c r="H504" s="78"/>
      <c r="I504" s="134"/>
      <c r="J504" s="78"/>
      <c r="K504" s="78"/>
      <c r="L504" s="65"/>
      <c r="M504" s="65"/>
      <c r="N504" s="65"/>
      <c r="O504" s="65"/>
    </row>
    <row r="505" spans="1:15" ht="15">
      <c r="A505" s="78"/>
      <c r="B505" s="65"/>
      <c r="C505" s="65"/>
      <c r="D505" s="65"/>
      <c r="E505" s="65"/>
      <c r="F505" s="65"/>
      <c r="G505" s="65"/>
      <c r="H505" s="78"/>
      <c r="I505" s="134"/>
      <c r="J505" s="78"/>
      <c r="K505" s="78"/>
      <c r="L505" s="65"/>
      <c r="M505" s="65"/>
      <c r="N505" s="65"/>
      <c r="O505" s="65"/>
    </row>
    <row r="506" spans="1:15" ht="15">
      <c r="A506" s="78"/>
      <c r="B506" s="65"/>
      <c r="C506" s="65"/>
      <c r="D506" s="65"/>
      <c r="E506" s="65"/>
      <c r="F506" s="65"/>
      <c r="G506" s="65"/>
      <c r="H506" s="78"/>
      <c r="I506" s="134"/>
      <c r="J506" s="78"/>
      <c r="K506" s="78"/>
      <c r="L506" s="65"/>
      <c r="M506" s="65"/>
      <c r="N506" s="65"/>
      <c r="O506" s="65"/>
    </row>
    <row r="507" spans="1:15" ht="15">
      <c r="A507" s="78"/>
      <c r="B507" s="65"/>
      <c r="C507" s="65"/>
      <c r="D507" s="65"/>
      <c r="E507" s="65"/>
      <c r="F507" s="65"/>
      <c r="G507" s="65"/>
      <c r="H507" s="78"/>
      <c r="I507" s="134"/>
      <c r="J507" s="78"/>
      <c r="K507" s="78"/>
      <c r="L507" s="65"/>
      <c r="M507" s="65"/>
      <c r="N507" s="65"/>
      <c r="O507" s="65"/>
    </row>
    <row r="508" spans="1:15" ht="15">
      <c r="A508" s="78"/>
      <c r="B508" s="65"/>
      <c r="C508" s="65"/>
      <c r="D508" s="65"/>
      <c r="E508" s="65"/>
      <c r="F508" s="65"/>
      <c r="G508" s="65"/>
      <c r="H508" s="78"/>
      <c r="I508" s="134"/>
      <c r="J508" s="78"/>
      <c r="K508" s="78"/>
      <c r="L508" s="65"/>
      <c r="M508" s="65"/>
      <c r="N508" s="65"/>
      <c r="O508" s="65"/>
    </row>
    <row r="509" spans="1:15" ht="15">
      <c r="A509" s="78"/>
      <c r="B509" s="65"/>
      <c r="C509" s="65"/>
      <c r="D509" s="65"/>
      <c r="E509" s="65"/>
      <c r="F509" s="65"/>
      <c r="G509" s="65"/>
      <c r="H509" s="78"/>
      <c r="I509" s="134"/>
      <c r="J509" s="78"/>
      <c r="K509" s="78"/>
      <c r="L509" s="65"/>
      <c r="M509" s="65"/>
      <c r="N509" s="65"/>
      <c r="O509" s="65"/>
    </row>
    <row r="510" spans="1:15" ht="15">
      <c r="A510" s="78"/>
      <c r="B510" s="65"/>
      <c r="C510" s="65"/>
      <c r="D510" s="65"/>
      <c r="E510" s="65"/>
      <c r="F510" s="65"/>
      <c r="G510" s="65"/>
      <c r="H510" s="78"/>
      <c r="I510" s="134"/>
      <c r="J510" s="78"/>
      <c r="K510" s="78"/>
      <c r="L510" s="65"/>
      <c r="M510" s="65"/>
      <c r="N510" s="65"/>
      <c r="O510" s="65"/>
    </row>
    <row r="511" spans="1:15" ht="15">
      <c r="A511" s="78"/>
      <c r="B511" s="65"/>
      <c r="C511" s="65"/>
      <c r="D511" s="65"/>
      <c r="E511" s="65"/>
      <c r="F511" s="65"/>
      <c r="G511" s="65"/>
      <c r="H511" s="78"/>
      <c r="I511" s="134"/>
      <c r="J511" s="78"/>
      <c r="K511" s="78"/>
      <c r="L511" s="65"/>
      <c r="M511" s="65"/>
      <c r="N511" s="65"/>
      <c r="O511" s="65"/>
    </row>
    <row r="512" spans="1:15" ht="15">
      <c r="A512" s="78"/>
      <c r="B512" s="65"/>
      <c r="C512" s="65"/>
      <c r="D512" s="65"/>
      <c r="E512" s="65"/>
      <c r="F512" s="65"/>
      <c r="G512" s="65"/>
      <c r="H512" s="78"/>
      <c r="I512" s="134"/>
      <c r="J512" s="78"/>
      <c r="K512" s="78"/>
      <c r="L512" s="65"/>
      <c r="M512" s="65"/>
      <c r="N512" s="65"/>
      <c r="O512" s="65"/>
    </row>
    <row r="513" spans="1:15" ht="15">
      <c r="A513" s="78"/>
      <c r="B513" s="65"/>
      <c r="C513" s="65"/>
      <c r="D513" s="65"/>
      <c r="E513" s="65"/>
      <c r="F513" s="65"/>
      <c r="G513" s="65"/>
      <c r="H513" s="78"/>
      <c r="I513" s="134"/>
      <c r="J513" s="78"/>
      <c r="K513" s="78"/>
      <c r="L513" s="65"/>
      <c r="M513" s="65"/>
      <c r="N513" s="65"/>
      <c r="O513" s="65"/>
    </row>
    <row r="514" spans="1:15" ht="15">
      <c r="A514" s="78"/>
      <c r="B514" s="65"/>
      <c r="C514" s="65"/>
      <c r="D514" s="65"/>
      <c r="E514" s="65"/>
      <c r="F514" s="65"/>
      <c r="G514" s="65"/>
      <c r="H514" s="78"/>
      <c r="I514" s="134"/>
      <c r="J514" s="78"/>
      <c r="K514" s="78"/>
      <c r="L514" s="65"/>
      <c r="M514" s="65"/>
      <c r="N514" s="65"/>
      <c r="O514" s="65"/>
    </row>
    <row r="515" spans="1:15" ht="15">
      <c r="A515" s="78"/>
      <c r="B515" s="65"/>
      <c r="C515" s="65"/>
      <c r="D515" s="65"/>
      <c r="E515" s="65"/>
      <c r="F515" s="65"/>
      <c r="G515" s="65"/>
      <c r="H515" s="78"/>
      <c r="I515" s="134"/>
      <c r="J515" s="78"/>
      <c r="K515" s="78"/>
      <c r="L515" s="65"/>
      <c r="M515" s="65"/>
      <c r="N515" s="65"/>
      <c r="O515" s="65"/>
    </row>
    <row r="516" spans="1:15" ht="15">
      <c r="A516" s="78"/>
      <c r="B516" s="65"/>
      <c r="C516" s="65"/>
      <c r="D516" s="65"/>
      <c r="E516" s="65"/>
      <c r="F516" s="65"/>
      <c r="G516" s="65"/>
      <c r="H516" s="78"/>
      <c r="I516" s="134"/>
      <c r="J516" s="78"/>
      <c r="K516" s="78"/>
      <c r="L516" s="65"/>
      <c r="M516" s="65"/>
      <c r="N516" s="65"/>
      <c r="O516" s="65"/>
    </row>
    <row r="517" spans="1:15" ht="15">
      <c r="A517" s="78"/>
      <c r="B517" s="65"/>
      <c r="C517" s="65"/>
      <c r="D517" s="65"/>
      <c r="E517" s="65"/>
      <c r="F517" s="65"/>
      <c r="G517" s="65"/>
      <c r="H517" s="78"/>
      <c r="I517" s="134"/>
      <c r="J517" s="78"/>
      <c r="K517" s="78"/>
      <c r="L517" s="65"/>
      <c r="M517" s="65"/>
      <c r="N517" s="65"/>
      <c r="O517" s="65"/>
    </row>
    <row r="518" spans="1:15" ht="15">
      <c r="A518" s="78"/>
      <c r="B518" s="65"/>
      <c r="C518" s="65"/>
      <c r="D518" s="65"/>
      <c r="E518" s="65"/>
      <c r="F518" s="65"/>
      <c r="G518" s="65"/>
      <c r="H518" s="78"/>
      <c r="I518" s="134"/>
      <c r="J518" s="78"/>
      <c r="K518" s="78"/>
      <c r="L518" s="65"/>
      <c r="M518" s="65"/>
      <c r="N518" s="65"/>
      <c r="O518" s="65"/>
    </row>
    <row r="519" spans="1:15" ht="15">
      <c r="A519" s="78"/>
      <c r="B519" s="65"/>
      <c r="C519" s="65"/>
      <c r="D519" s="65"/>
      <c r="E519" s="65"/>
      <c r="F519" s="65"/>
      <c r="G519" s="65"/>
      <c r="H519" s="78"/>
      <c r="I519" s="134"/>
      <c r="J519" s="78"/>
      <c r="K519" s="78"/>
      <c r="L519" s="65"/>
      <c r="M519" s="65"/>
      <c r="N519" s="65"/>
      <c r="O519" s="65"/>
    </row>
    <row r="520" spans="1:15" ht="15">
      <c r="A520" s="78"/>
      <c r="B520" s="65"/>
      <c r="C520" s="65"/>
      <c r="D520" s="65"/>
      <c r="E520" s="65"/>
      <c r="F520" s="65"/>
      <c r="G520" s="65"/>
      <c r="H520" s="78"/>
      <c r="I520" s="134"/>
      <c r="J520" s="78"/>
      <c r="K520" s="78"/>
      <c r="L520" s="65"/>
      <c r="M520" s="65"/>
      <c r="N520" s="65"/>
      <c r="O520" s="65"/>
    </row>
    <row r="521" spans="1:15" ht="15">
      <c r="A521" s="78"/>
      <c r="B521" s="65"/>
      <c r="C521" s="65"/>
      <c r="D521" s="65"/>
      <c r="E521" s="65"/>
      <c r="F521" s="65"/>
      <c r="G521" s="65"/>
      <c r="H521" s="78"/>
      <c r="I521" s="134"/>
      <c r="J521" s="78"/>
      <c r="K521" s="78"/>
      <c r="L521" s="65"/>
      <c r="M521" s="65"/>
      <c r="N521" s="65"/>
      <c r="O521" s="65"/>
    </row>
    <row r="522" spans="1:15" ht="15">
      <c r="A522" s="78"/>
      <c r="B522" s="65"/>
      <c r="C522" s="65"/>
      <c r="D522" s="65"/>
      <c r="E522" s="65"/>
      <c r="F522" s="65"/>
      <c r="G522" s="65"/>
      <c r="H522" s="78"/>
      <c r="I522" s="134"/>
      <c r="J522" s="78"/>
      <c r="K522" s="78"/>
      <c r="L522" s="65"/>
      <c r="M522" s="65"/>
      <c r="N522" s="65"/>
      <c r="O522" s="65"/>
    </row>
    <row r="523" spans="1:15" ht="15">
      <c r="A523" s="78"/>
      <c r="B523" s="65"/>
      <c r="C523" s="65"/>
      <c r="D523" s="65"/>
      <c r="E523" s="65"/>
      <c r="F523" s="65"/>
      <c r="G523" s="65"/>
      <c r="H523" s="78"/>
      <c r="I523" s="134"/>
      <c r="J523" s="78"/>
      <c r="K523" s="78"/>
      <c r="L523" s="65"/>
      <c r="M523" s="65"/>
      <c r="N523" s="65"/>
      <c r="O523" s="65"/>
    </row>
    <row r="524" spans="1:15" ht="15">
      <c r="A524" s="78"/>
      <c r="B524" s="65"/>
      <c r="C524" s="65"/>
      <c r="D524" s="65"/>
      <c r="E524" s="65"/>
      <c r="F524" s="65"/>
      <c r="G524" s="65"/>
      <c r="H524" s="78"/>
      <c r="I524" s="134"/>
      <c r="J524" s="78"/>
      <c r="K524" s="78"/>
      <c r="L524" s="65"/>
      <c r="M524" s="65"/>
      <c r="N524" s="65"/>
      <c r="O524" s="65"/>
    </row>
    <row r="525" spans="1:15" ht="15">
      <c r="A525" s="78"/>
      <c r="B525" s="65"/>
      <c r="C525" s="65"/>
      <c r="D525" s="65"/>
      <c r="E525" s="65"/>
      <c r="F525" s="65"/>
      <c r="G525" s="65"/>
      <c r="H525" s="78"/>
      <c r="I525" s="134"/>
      <c r="J525" s="78"/>
      <c r="K525" s="78"/>
      <c r="L525" s="65"/>
      <c r="M525" s="65"/>
      <c r="N525" s="65"/>
      <c r="O525" s="65"/>
    </row>
    <row r="526" spans="1:15" ht="15">
      <c r="A526" s="78"/>
      <c r="B526" s="65"/>
      <c r="C526" s="65"/>
      <c r="D526" s="65"/>
      <c r="E526" s="65"/>
      <c r="F526" s="65"/>
      <c r="G526" s="65"/>
      <c r="H526" s="78"/>
      <c r="I526" s="134"/>
      <c r="J526" s="78"/>
      <c r="K526" s="78"/>
      <c r="L526" s="65"/>
      <c r="M526" s="65"/>
      <c r="N526" s="65"/>
      <c r="O526" s="65"/>
    </row>
    <row r="527" spans="1:15" ht="15">
      <c r="A527" s="78"/>
      <c r="B527" s="65"/>
      <c r="C527" s="65"/>
      <c r="D527" s="65"/>
      <c r="E527" s="65"/>
      <c r="F527" s="65"/>
      <c r="G527" s="65"/>
      <c r="H527" s="78"/>
      <c r="I527" s="134"/>
      <c r="J527" s="78"/>
      <c r="K527" s="78"/>
      <c r="L527" s="65"/>
      <c r="M527" s="65"/>
      <c r="N527" s="65"/>
      <c r="O527" s="65"/>
    </row>
    <row r="528" spans="1:15" ht="15">
      <c r="A528" s="78"/>
      <c r="B528" s="65"/>
      <c r="C528" s="65"/>
      <c r="D528" s="65"/>
      <c r="E528" s="65"/>
      <c r="F528" s="65"/>
      <c r="G528" s="65"/>
      <c r="H528" s="78"/>
      <c r="I528" s="134"/>
      <c r="J528" s="78"/>
      <c r="K528" s="78"/>
      <c r="L528" s="65"/>
      <c r="M528" s="65"/>
      <c r="N528" s="65"/>
      <c r="O528" s="65"/>
    </row>
    <row r="529" spans="1:15" ht="15">
      <c r="A529" s="78"/>
      <c r="B529" s="65"/>
      <c r="C529" s="65"/>
      <c r="D529" s="65"/>
      <c r="E529" s="65"/>
      <c r="F529" s="65"/>
      <c r="G529" s="65"/>
      <c r="H529" s="78"/>
      <c r="I529" s="134"/>
      <c r="J529" s="78"/>
      <c r="K529" s="78"/>
      <c r="L529" s="65"/>
      <c r="M529" s="65"/>
      <c r="N529" s="65"/>
      <c r="O529" s="65"/>
    </row>
    <row r="530" spans="1:15" ht="15">
      <c r="A530" s="78"/>
      <c r="B530" s="65"/>
      <c r="C530" s="65"/>
      <c r="D530" s="65"/>
      <c r="E530" s="65"/>
      <c r="F530" s="65"/>
      <c r="G530" s="65"/>
      <c r="H530" s="78"/>
      <c r="I530" s="134"/>
      <c r="J530" s="78"/>
      <c r="K530" s="78"/>
      <c r="L530" s="65"/>
      <c r="M530" s="65"/>
      <c r="N530" s="65"/>
      <c r="O530" s="65"/>
    </row>
    <row r="531" spans="1:15" ht="15">
      <c r="A531" s="78"/>
      <c r="B531" s="65"/>
      <c r="C531" s="65"/>
      <c r="D531" s="65"/>
      <c r="E531" s="65"/>
      <c r="F531" s="65"/>
      <c r="G531" s="65"/>
      <c r="H531" s="78"/>
      <c r="I531" s="134"/>
      <c r="J531" s="78"/>
      <c r="K531" s="78"/>
      <c r="L531" s="65"/>
      <c r="M531" s="65"/>
      <c r="N531" s="65"/>
      <c r="O531" s="65"/>
    </row>
    <row r="532" spans="1:15" ht="15">
      <c r="A532" s="78"/>
      <c r="B532" s="65"/>
      <c r="C532" s="65"/>
      <c r="D532" s="65"/>
      <c r="E532" s="65"/>
      <c r="F532" s="65"/>
      <c r="G532" s="65"/>
      <c r="H532" s="78"/>
      <c r="I532" s="134"/>
      <c r="J532" s="78"/>
      <c r="K532" s="78"/>
      <c r="L532" s="65"/>
      <c r="M532" s="65"/>
      <c r="N532" s="65"/>
      <c r="O532" s="65"/>
    </row>
    <row r="533" spans="1:15" ht="15">
      <c r="A533" s="78"/>
      <c r="B533" s="65"/>
      <c r="C533" s="65"/>
      <c r="D533" s="65"/>
      <c r="E533" s="65"/>
      <c r="F533" s="65"/>
      <c r="G533" s="65"/>
      <c r="H533" s="78"/>
      <c r="I533" s="134"/>
      <c r="J533" s="78"/>
      <c r="K533" s="78"/>
      <c r="L533" s="65"/>
      <c r="M533" s="65"/>
      <c r="N533" s="65"/>
      <c r="O533" s="65"/>
    </row>
    <row r="534" spans="1:15" ht="15">
      <c r="A534" s="78"/>
      <c r="B534" s="65"/>
      <c r="C534" s="65"/>
      <c r="D534" s="65"/>
      <c r="E534" s="65"/>
      <c r="F534" s="65"/>
      <c r="G534" s="65"/>
      <c r="H534" s="78"/>
      <c r="I534" s="134"/>
      <c r="J534" s="78"/>
      <c r="K534" s="78"/>
      <c r="L534" s="65"/>
      <c r="M534" s="65"/>
      <c r="N534" s="65"/>
      <c r="O534" s="65"/>
    </row>
    <row r="535" spans="1:15" ht="15">
      <c r="A535" s="78"/>
      <c r="B535" s="65"/>
      <c r="C535" s="65"/>
      <c r="D535" s="65"/>
      <c r="E535" s="65"/>
      <c r="F535" s="65"/>
      <c r="G535" s="65"/>
      <c r="H535" s="78"/>
      <c r="I535" s="134"/>
      <c r="J535" s="78"/>
      <c r="K535" s="78"/>
      <c r="L535" s="65"/>
      <c r="M535" s="65"/>
      <c r="N535" s="65"/>
      <c r="O535" s="65"/>
    </row>
    <row r="536" spans="1:15" ht="15">
      <c r="A536" s="78"/>
      <c r="B536" s="65"/>
      <c r="C536" s="65"/>
      <c r="D536" s="65"/>
      <c r="E536" s="65"/>
      <c r="F536" s="65"/>
      <c r="G536" s="65"/>
      <c r="H536" s="78"/>
      <c r="I536" s="134"/>
      <c r="J536" s="78"/>
      <c r="K536" s="78"/>
      <c r="L536" s="65"/>
      <c r="M536" s="65"/>
      <c r="N536" s="65"/>
      <c r="O536" s="65"/>
    </row>
    <row r="537" spans="1:15" ht="15">
      <c r="A537" s="78"/>
      <c r="B537" s="65"/>
      <c r="C537" s="65"/>
      <c r="D537" s="65"/>
      <c r="E537" s="65"/>
      <c r="F537" s="65"/>
      <c r="G537" s="65"/>
      <c r="H537" s="78"/>
      <c r="I537" s="134"/>
      <c r="J537" s="78"/>
      <c r="K537" s="78"/>
      <c r="L537" s="65"/>
      <c r="M537" s="65"/>
      <c r="N537" s="65"/>
      <c r="O537" s="65"/>
    </row>
    <row r="538" spans="1:15" ht="15">
      <c r="A538" s="78"/>
      <c r="B538" s="65"/>
      <c r="C538" s="65"/>
      <c r="D538" s="65"/>
      <c r="E538" s="65"/>
      <c r="F538" s="65"/>
      <c r="G538" s="65"/>
      <c r="H538" s="78"/>
      <c r="I538" s="134"/>
      <c r="J538" s="78"/>
      <c r="K538" s="78"/>
      <c r="L538" s="65"/>
      <c r="M538" s="65"/>
      <c r="N538" s="65"/>
      <c r="O538" s="65"/>
    </row>
    <row r="539" spans="1:15" ht="15">
      <c r="A539" s="78"/>
      <c r="B539" s="65"/>
      <c r="C539" s="65"/>
      <c r="D539" s="65"/>
      <c r="E539" s="65"/>
      <c r="F539" s="65"/>
      <c r="G539" s="65"/>
      <c r="H539" s="78"/>
      <c r="I539" s="134"/>
      <c r="J539" s="78"/>
      <c r="K539" s="78"/>
      <c r="L539" s="65"/>
      <c r="M539" s="65"/>
      <c r="N539" s="65"/>
      <c r="O539" s="65"/>
    </row>
    <row r="540" spans="1:15" ht="15">
      <c r="A540" s="78"/>
      <c r="B540" s="65"/>
      <c r="C540" s="65"/>
      <c r="D540" s="65"/>
      <c r="E540" s="65"/>
      <c r="F540" s="65"/>
      <c r="G540" s="65"/>
      <c r="H540" s="78"/>
      <c r="I540" s="134"/>
      <c r="J540" s="78"/>
      <c r="K540" s="78"/>
      <c r="L540" s="65"/>
      <c r="M540" s="65"/>
      <c r="N540" s="65"/>
      <c r="O540" s="65"/>
    </row>
    <row r="541" spans="1:15" ht="15">
      <c r="A541" s="78"/>
      <c r="B541" s="65"/>
      <c r="C541" s="65"/>
      <c r="D541" s="65"/>
      <c r="E541" s="65"/>
      <c r="F541" s="65"/>
      <c r="G541" s="65"/>
      <c r="H541" s="78"/>
      <c r="I541" s="134"/>
      <c r="J541" s="78"/>
      <c r="K541" s="78"/>
      <c r="L541" s="65"/>
      <c r="M541" s="65"/>
      <c r="N541" s="65"/>
      <c r="O541" s="65"/>
    </row>
    <row r="542" spans="1:15" ht="15">
      <c r="A542" s="78"/>
      <c r="B542" s="65"/>
      <c r="C542" s="65"/>
      <c r="D542" s="65"/>
      <c r="E542" s="65"/>
      <c r="F542" s="65"/>
      <c r="G542" s="65"/>
      <c r="H542" s="78"/>
      <c r="I542" s="134"/>
      <c r="J542" s="78"/>
      <c r="K542" s="78"/>
      <c r="L542" s="65"/>
      <c r="M542" s="65"/>
      <c r="N542" s="65"/>
      <c r="O542" s="65"/>
    </row>
    <row r="543" spans="1:15" ht="15">
      <c r="A543" s="78"/>
      <c r="B543" s="65"/>
      <c r="C543" s="65"/>
      <c r="D543" s="65"/>
      <c r="E543" s="65"/>
      <c r="F543" s="65"/>
      <c r="G543" s="65"/>
      <c r="H543" s="78"/>
      <c r="I543" s="134"/>
      <c r="J543" s="78"/>
      <c r="K543" s="78"/>
      <c r="L543" s="65"/>
      <c r="M543" s="65"/>
      <c r="N543" s="65"/>
      <c r="O543" s="65"/>
    </row>
    <row r="544" spans="1:15" ht="15">
      <c r="A544" s="78"/>
      <c r="B544" s="65"/>
      <c r="C544" s="65"/>
      <c r="D544" s="65"/>
      <c r="E544" s="65"/>
      <c r="F544" s="65"/>
      <c r="G544" s="65"/>
      <c r="H544" s="78"/>
      <c r="I544" s="134"/>
      <c r="J544" s="78"/>
      <c r="K544" s="78"/>
      <c r="L544" s="65"/>
      <c r="M544" s="65"/>
      <c r="N544" s="65"/>
      <c r="O544" s="65"/>
    </row>
    <row r="545" spans="1:15" ht="15">
      <c r="A545" s="78"/>
      <c r="B545" s="65"/>
      <c r="C545" s="65"/>
      <c r="D545" s="65"/>
      <c r="E545" s="65"/>
      <c r="F545" s="65"/>
      <c r="G545" s="65"/>
      <c r="H545" s="78"/>
      <c r="I545" s="134"/>
      <c r="J545" s="78"/>
      <c r="K545" s="78"/>
      <c r="L545" s="65"/>
      <c r="M545" s="65"/>
      <c r="N545" s="65"/>
      <c r="O545" s="65"/>
    </row>
    <row r="546" spans="1:15" ht="15">
      <c r="A546" s="78"/>
      <c r="B546" s="65"/>
      <c r="C546" s="65"/>
      <c r="D546" s="65"/>
      <c r="E546" s="65"/>
      <c r="F546" s="65"/>
      <c r="G546" s="65"/>
      <c r="H546" s="78"/>
      <c r="I546" s="134"/>
      <c r="J546" s="78"/>
      <c r="K546" s="78"/>
      <c r="L546" s="65"/>
      <c r="M546" s="65"/>
      <c r="N546" s="65"/>
      <c r="O546" s="65"/>
    </row>
    <row r="547" spans="1:15" ht="15">
      <c r="A547" s="78"/>
      <c r="B547" s="65"/>
      <c r="C547" s="65"/>
      <c r="D547" s="65"/>
      <c r="E547" s="65"/>
      <c r="F547" s="65"/>
      <c r="G547" s="65"/>
      <c r="H547" s="78"/>
      <c r="I547" s="134"/>
      <c r="J547" s="78"/>
      <c r="K547" s="78"/>
      <c r="L547" s="65"/>
      <c r="M547" s="65"/>
      <c r="N547" s="65"/>
      <c r="O547" s="65"/>
    </row>
    <row r="548" spans="1:15" ht="15">
      <c r="A548" s="78"/>
      <c r="B548" s="65"/>
      <c r="C548" s="65"/>
      <c r="D548" s="65"/>
      <c r="E548" s="65"/>
      <c r="F548" s="65"/>
      <c r="G548" s="65"/>
      <c r="H548" s="78"/>
      <c r="I548" s="134"/>
      <c r="J548" s="78"/>
      <c r="K548" s="78"/>
      <c r="L548" s="65"/>
      <c r="M548" s="65"/>
      <c r="N548" s="65"/>
      <c r="O548" s="65"/>
    </row>
    <row r="549" spans="1:15" ht="15">
      <c r="A549" s="78"/>
      <c r="B549" s="65"/>
      <c r="C549" s="65"/>
      <c r="D549" s="65"/>
      <c r="E549" s="65"/>
      <c r="F549" s="65"/>
      <c r="G549" s="65"/>
      <c r="H549" s="78"/>
      <c r="I549" s="134"/>
      <c r="J549" s="78"/>
      <c r="K549" s="78"/>
      <c r="L549" s="65"/>
      <c r="M549" s="65"/>
      <c r="N549" s="65"/>
      <c r="O549" s="65"/>
    </row>
    <row r="550" spans="1:15" ht="15">
      <c r="A550" s="78"/>
      <c r="B550" s="65"/>
      <c r="C550" s="65"/>
      <c r="D550" s="65"/>
      <c r="E550" s="65"/>
      <c r="F550" s="65"/>
      <c r="G550" s="65"/>
      <c r="H550" s="78"/>
      <c r="I550" s="134"/>
      <c r="J550" s="78"/>
      <c r="K550" s="78"/>
      <c r="L550" s="65"/>
      <c r="M550" s="65"/>
      <c r="N550" s="65"/>
      <c r="O550" s="65"/>
    </row>
    <row r="551" spans="1:15" ht="15">
      <c r="A551" s="78"/>
      <c r="B551" s="65"/>
      <c r="C551" s="65"/>
      <c r="D551" s="65"/>
      <c r="E551" s="65"/>
      <c r="F551" s="65"/>
      <c r="G551" s="65"/>
      <c r="H551" s="78"/>
      <c r="I551" s="134"/>
      <c r="J551" s="78"/>
      <c r="K551" s="78"/>
      <c r="L551" s="65"/>
      <c r="M551" s="65"/>
      <c r="N551" s="65"/>
      <c r="O551" s="65"/>
    </row>
    <row r="552" spans="1:15" ht="15">
      <c r="A552" s="78"/>
      <c r="B552" s="65"/>
      <c r="C552" s="65"/>
      <c r="D552" s="65"/>
      <c r="E552" s="65"/>
      <c r="F552" s="65"/>
      <c r="G552" s="65"/>
      <c r="H552" s="78"/>
      <c r="I552" s="134"/>
      <c r="J552" s="78"/>
      <c r="K552" s="78"/>
      <c r="L552" s="65"/>
      <c r="M552" s="65"/>
      <c r="N552" s="65"/>
      <c r="O552" s="65"/>
    </row>
    <row r="553" spans="1:15" ht="15">
      <c r="A553" s="78"/>
      <c r="B553" s="65"/>
      <c r="C553" s="65"/>
      <c r="D553" s="65"/>
      <c r="E553" s="65"/>
      <c r="F553" s="65"/>
      <c r="G553" s="65"/>
      <c r="H553" s="78"/>
      <c r="I553" s="134"/>
      <c r="J553" s="78"/>
      <c r="K553" s="78"/>
      <c r="L553" s="65"/>
      <c r="M553" s="65"/>
      <c r="N553" s="65"/>
      <c r="O553" s="65"/>
    </row>
    <row r="554" spans="1:15" ht="15">
      <c r="A554" s="78"/>
      <c r="B554" s="65"/>
      <c r="C554" s="65"/>
      <c r="D554" s="65"/>
      <c r="E554" s="65"/>
      <c r="F554" s="65"/>
      <c r="G554" s="65"/>
      <c r="H554" s="78"/>
      <c r="I554" s="134"/>
      <c r="J554" s="78"/>
      <c r="K554" s="78"/>
      <c r="L554" s="65"/>
      <c r="M554" s="65"/>
      <c r="N554" s="65"/>
      <c r="O554" s="65"/>
    </row>
    <row r="555" spans="1:15" ht="15">
      <c r="A555" s="78"/>
      <c r="B555" s="65"/>
      <c r="C555" s="65"/>
      <c r="D555" s="65"/>
      <c r="E555" s="65"/>
      <c r="F555" s="65"/>
      <c r="G555" s="65"/>
      <c r="H555" s="78"/>
      <c r="I555" s="134"/>
      <c r="J555" s="78"/>
      <c r="K555" s="78"/>
      <c r="L555" s="65"/>
      <c r="M555" s="65"/>
      <c r="N555" s="65"/>
      <c r="O555" s="65"/>
    </row>
    <row r="556" spans="1:15" ht="15">
      <c r="A556" s="78"/>
      <c r="B556" s="65"/>
      <c r="C556" s="65"/>
      <c r="D556" s="65"/>
      <c r="E556" s="65"/>
      <c r="F556" s="65"/>
      <c r="G556" s="65"/>
      <c r="H556" s="78"/>
      <c r="I556" s="134"/>
      <c r="J556" s="78"/>
      <c r="K556" s="78"/>
      <c r="L556" s="65"/>
      <c r="M556" s="65"/>
      <c r="N556" s="65"/>
      <c r="O556" s="65"/>
    </row>
    <row r="557" spans="1:15" ht="15">
      <c r="A557" s="78"/>
      <c r="B557" s="65"/>
      <c r="C557" s="65"/>
      <c r="D557" s="65"/>
      <c r="E557" s="65"/>
      <c r="F557" s="65"/>
      <c r="G557" s="65"/>
      <c r="H557" s="78"/>
      <c r="I557" s="134"/>
      <c r="J557" s="78"/>
      <c r="K557" s="78"/>
      <c r="L557" s="65"/>
      <c r="M557" s="65"/>
      <c r="N557" s="65"/>
      <c r="O557" s="65"/>
    </row>
    <row r="558" spans="1:15" ht="15">
      <c r="A558" s="78"/>
      <c r="B558" s="65"/>
      <c r="C558" s="65"/>
      <c r="D558" s="65"/>
      <c r="E558" s="65"/>
      <c r="F558" s="65"/>
      <c r="G558" s="65"/>
      <c r="H558" s="78"/>
      <c r="I558" s="134"/>
      <c r="J558" s="78"/>
      <c r="K558" s="78"/>
      <c r="L558" s="65"/>
      <c r="M558" s="65"/>
      <c r="N558" s="65"/>
      <c r="O558" s="65"/>
    </row>
    <row r="559" spans="1:15" ht="15">
      <c r="A559" s="78"/>
      <c r="B559" s="65"/>
      <c r="C559" s="65"/>
      <c r="D559" s="65"/>
      <c r="E559" s="65"/>
      <c r="F559" s="65"/>
      <c r="G559" s="65"/>
      <c r="H559" s="78"/>
      <c r="I559" s="134"/>
      <c r="J559" s="78"/>
      <c r="K559" s="78"/>
      <c r="L559" s="65"/>
      <c r="M559" s="65"/>
      <c r="N559" s="65"/>
      <c r="O559" s="65"/>
    </row>
    <row r="560" spans="1:15" ht="15">
      <c r="A560" s="78"/>
      <c r="B560" s="65"/>
      <c r="C560" s="65"/>
      <c r="D560" s="65"/>
      <c r="E560" s="65"/>
      <c r="F560" s="65"/>
      <c r="G560" s="65"/>
      <c r="H560" s="78"/>
      <c r="I560" s="134"/>
      <c r="J560" s="78"/>
      <c r="K560" s="78"/>
      <c r="L560" s="65"/>
      <c r="M560" s="65"/>
      <c r="N560" s="65"/>
      <c r="O560" s="65"/>
    </row>
    <row r="561" spans="1:15" ht="15">
      <c r="A561" s="78"/>
      <c r="B561" s="65"/>
      <c r="C561" s="65"/>
      <c r="D561" s="65"/>
      <c r="E561" s="65"/>
      <c r="F561" s="65"/>
      <c r="G561" s="65"/>
      <c r="H561" s="78"/>
      <c r="I561" s="134"/>
      <c r="J561" s="78"/>
      <c r="K561" s="78"/>
      <c r="L561" s="65"/>
      <c r="M561" s="65"/>
      <c r="N561" s="65"/>
      <c r="O561" s="65"/>
    </row>
    <row r="562" spans="1:15" ht="15">
      <c r="A562" s="78"/>
      <c r="B562" s="65"/>
      <c r="C562" s="65"/>
      <c r="D562" s="65"/>
      <c r="E562" s="65"/>
      <c r="F562" s="65"/>
      <c r="G562" s="65"/>
      <c r="H562" s="78"/>
      <c r="I562" s="134"/>
      <c r="J562" s="78"/>
      <c r="K562" s="78"/>
      <c r="L562" s="65"/>
      <c r="M562" s="65"/>
      <c r="N562" s="65"/>
      <c r="O562" s="65"/>
    </row>
    <row r="563" spans="1:15" ht="15">
      <c r="A563" s="78"/>
      <c r="B563" s="65"/>
      <c r="C563" s="65"/>
      <c r="D563" s="65"/>
      <c r="E563" s="65"/>
      <c r="F563" s="65"/>
      <c r="G563" s="65"/>
      <c r="H563" s="78"/>
      <c r="I563" s="134"/>
      <c r="J563" s="78"/>
      <c r="K563" s="78"/>
      <c r="L563" s="65"/>
      <c r="M563" s="65"/>
      <c r="N563" s="65"/>
      <c r="O563" s="65"/>
    </row>
    <row r="564" spans="1:15" ht="15">
      <c r="A564" s="78"/>
      <c r="B564" s="65"/>
      <c r="C564" s="65"/>
      <c r="D564" s="65"/>
      <c r="E564" s="65"/>
      <c r="F564" s="65"/>
      <c r="G564" s="65"/>
      <c r="H564" s="78"/>
      <c r="I564" s="134"/>
      <c r="J564" s="78"/>
      <c r="K564" s="78"/>
      <c r="L564" s="65"/>
      <c r="M564" s="65"/>
      <c r="N564" s="65"/>
      <c r="O564" s="65"/>
    </row>
    <row r="565" spans="1:15" ht="15">
      <c r="A565" s="78"/>
      <c r="B565" s="65"/>
      <c r="C565" s="65"/>
      <c r="D565" s="65"/>
      <c r="E565" s="65"/>
      <c r="F565" s="65"/>
      <c r="G565" s="65"/>
      <c r="H565" s="78"/>
      <c r="I565" s="134"/>
      <c r="J565" s="78"/>
      <c r="K565" s="78"/>
      <c r="L565" s="65"/>
      <c r="M565" s="65"/>
      <c r="N565" s="65"/>
      <c r="O565" s="65"/>
    </row>
    <row r="566" spans="1:15" ht="15">
      <c r="A566" s="78"/>
      <c r="B566" s="65"/>
      <c r="C566" s="65"/>
      <c r="D566" s="65"/>
      <c r="E566" s="65"/>
      <c r="F566" s="65"/>
      <c r="G566" s="65"/>
      <c r="H566" s="78"/>
      <c r="I566" s="134"/>
      <c r="J566" s="78"/>
      <c r="K566" s="78"/>
      <c r="L566" s="65"/>
      <c r="M566" s="65"/>
      <c r="N566" s="65"/>
      <c r="O566" s="65"/>
    </row>
    <row r="567" spans="1:15" ht="15">
      <c r="A567" s="78"/>
      <c r="B567" s="65"/>
      <c r="C567" s="65"/>
      <c r="D567" s="65"/>
      <c r="E567" s="65"/>
      <c r="F567" s="65"/>
      <c r="G567" s="65"/>
      <c r="H567" s="78"/>
      <c r="I567" s="134"/>
      <c r="J567" s="78"/>
      <c r="K567" s="78"/>
      <c r="L567" s="65"/>
      <c r="M567" s="65"/>
      <c r="N567" s="65"/>
      <c r="O567" s="65"/>
    </row>
    <row r="568" spans="1:15" ht="15">
      <c r="A568" s="78"/>
      <c r="B568" s="65"/>
      <c r="C568" s="65"/>
      <c r="D568" s="65"/>
      <c r="E568" s="65"/>
      <c r="F568" s="65"/>
      <c r="G568" s="65"/>
      <c r="H568" s="78"/>
      <c r="I568" s="134"/>
      <c r="J568" s="78"/>
      <c r="K568" s="78"/>
      <c r="L568" s="65"/>
      <c r="M568" s="65"/>
      <c r="N568" s="65"/>
      <c r="O568" s="65"/>
    </row>
    <row r="569" spans="1:15" ht="15">
      <c r="A569" s="78"/>
      <c r="B569" s="65"/>
      <c r="C569" s="65"/>
      <c r="D569" s="65"/>
      <c r="E569" s="65"/>
      <c r="F569" s="65"/>
      <c r="G569" s="65"/>
      <c r="H569" s="78"/>
      <c r="I569" s="134"/>
      <c r="J569" s="78"/>
      <c r="K569" s="78"/>
      <c r="L569" s="65"/>
      <c r="M569" s="65"/>
      <c r="N569" s="65"/>
      <c r="O569" s="65"/>
    </row>
    <row r="570" spans="1:15" ht="15">
      <c r="A570" s="78"/>
      <c r="B570" s="65"/>
      <c r="C570" s="65"/>
      <c r="D570" s="65"/>
      <c r="E570" s="65"/>
      <c r="F570" s="65"/>
      <c r="G570" s="65"/>
      <c r="H570" s="78"/>
      <c r="I570" s="134"/>
      <c r="J570" s="78"/>
      <c r="K570" s="78"/>
      <c r="L570" s="65"/>
      <c r="M570" s="65"/>
      <c r="N570" s="65"/>
      <c r="O570" s="65"/>
    </row>
    <row r="571" spans="1:15" ht="15">
      <c r="A571" s="78"/>
      <c r="B571" s="65"/>
      <c r="C571" s="65"/>
      <c r="D571" s="65"/>
      <c r="E571" s="65"/>
      <c r="F571" s="65"/>
      <c r="G571" s="65"/>
      <c r="H571" s="78"/>
      <c r="I571" s="134"/>
      <c r="J571" s="78"/>
      <c r="K571" s="78"/>
      <c r="L571" s="65"/>
      <c r="M571" s="65"/>
      <c r="N571" s="65"/>
      <c r="O571" s="65"/>
    </row>
    <row r="572" spans="1:15" ht="15">
      <c r="A572" s="78"/>
      <c r="B572" s="65"/>
      <c r="C572" s="65"/>
      <c r="D572" s="65"/>
      <c r="E572" s="65"/>
      <c r="F572" s="65"/>
      <c r="G572" s="65"/>
      <c r="H572" s="78"/>
      <c r="I572" s="134"/>
      <c r="J572" s="78"/>
      <c r="K572" s="78"/>
      <c r="L572" s="65"/>
      <c r="M572" s="65"/>
      <c r="N572" s="65"/>
      <c r="O572" s="65"/>
    </row>
    <row r="573" spans="1:15" ht="15">
      <c r="A573" s="78"/>
      <c r="B573" s="65"/>
      <c r="C573" s="65"/>
      <c r="D573" s="65"/>
      <c r="E573" s="65"/>
      <c r="F573" s="65"/>
      <c r="G573" s="65"/>
      <c r="H573" s="78"/>
      <c r="I573" s="134"/>
      <c r="J573" s="78"/>
      <c r="K573" s="78"/>
      <c r="L573" s="65"/>
      <c r="M573" s="65"/>
      <c r="N573" s="65"/>
      <c r="O573" s="65"/>
    </row>
    <row r="574" spans="1:15" ht="15">
      <c r="A574" s="78"/>
      <c r="B574" s="65"/>
      <c r="C574" s="65"/>
      <c r="D574" s="65"/>
      <c r="E574" s="65"/>
      <c r="F574" s="65"/>
      <c r="G574" s="65"/>
      <c r="H574" s="78"/>
      <c r="I574" s="134"/>
      <c r="J574" s="78"/>
      <c r="K574" s="78"/>
      <c r="L574" s="65"/>
      <c r="M574" s="65"/>
      <c r="N574" s="65"/>
      <c r="O574" s="65"/>
    </row>
    <row r="575" spans="1:15" ht="15">
      <c r="A575" s="78"/>
      <c r="B575" s="65"/>
      <c r="C575" s="65"/>
      <c r="D575" s="65"/>
      <c r="E575" s="65"/>
      <c r="F575" s="65"/>
      <c r="G575" s="65"/>
      <c r="H575" s="78"/>
      <c r="I575" s="134"/>
      <c r="J575" s="78"/>
      <c r="K575" s="78"/>
      <c r="L575" s="65"/>
      <c r="M575" s="65"/>
      <c r="N575" s="65"/>
      <c r="O575" s="65"/>
    </row>
    <row r="576" spans="1:15" ht="15">
      <c r="A576" s="78"/>
      <c r="B576" s="65"/>
      <c r="C576" s="65"/>
      <c r="D576" s="65"/>
      <c r="E576" s="65"/>
      <c r="F576" s="65"/>
      <c r="G576" s="65"/>
      <c r="H576" s="78"/>
      <c r="I576" s="134"/>
      <c r="J576" s="78"/>
      <c r="K576" s="78"/>
      <c r="L576" s="65"/>
      <c r="M576" s="65"/>
      <c r="N576" s="65"/>
      <c r="O576" s="65"/>
    </row>
    <row r="577" spans="1:15" ht="15">
      <c r="A577" s="78"/>
      <c r="B577" s="65"/>
      <c r="C577" s="65"/>
      <c r="D577" s="65"/>
      <c r="E577" s="65"/>
      <c r="F577" s="65"/>
      <c r="G577" s="65"/>
      <c r="H577" s="78"/>
      <c r="I577" s="134"/>
      <c r="J577" s="78"/>
      <c r="K577" s="78"/>
      <c r="L577" s="65"/>
      <c r="M577" s="65"/>
      <c r="N577" s="65"/>
      <c r="O577" s="65"/>
    </row>
    <row r="578" spans="1:15" ht="15">
      <c r="A578" s="78"/>
      <c r="B578" s="65"/>
      <c r="C578" s="65"/>
      <c r="D578" s="65"/>
      <c r="E578" s="65"/>
      <c r="F578" s="65"/>
      <c r="G578" s="65"/>
      <c r="H578" s="78"/>
      <c r="I578" s="134"/>
      <c r="J578" s="78"/>
      <c r="K578" s="78"/>
      <c r="L578" s="65"/>
      <c r="M578" s="65"/>
      <c r="N578" s="65"/>
      <c r="O578" s="65"/>
    </row>
    <row r="579" spans="1:15" ht="15">
      <c r="A579" s="78"/>
      <c r="B579" s="65"/>
      <c r="C579" s="65"/>
      <c r="D579" s="65"/>
      <c r="E579" s="65"/>
      <c r="F579" s="65"/>
      <c r="G579" s="65"/>
      <c r="H579" s="78"/>
      <c r="I579" s="134"/>
      <c r="J579" s="78"/>
      <c r="K579" s="78"/>
      <c r="L579" s="65"/>
      <c r="M579" s="65"/>
      <c r="N579" s="65"/>
      <c r="O579" s="65"/>
    </row>
    <row r="580" spans="1:15" ht="15">
      <c r="A580" s="78"/>
      <c r="B580" s="65"/>
      <c r="C580" s="65"/>
      <c r="D580" s="65"/>
      <c r="E580" s="65"/>
      <c r="F580" s="65"/>
      <c r="G580" s="65"/>
      <c r="H580" s="78"/>
      <c r="I580" s="134"/>
      <c r="J580" s="78"/>
      <c r="K580" s="78"/>
      <c r="L580" s="65"/>
      <c r="M580" s="65"/>
      <c r="N580" s="65"/>
      <c r="O580" s="65"/>
    </row>
    <row r="581" spans="1:15" ht="15">
      <c r="A581" s="78"/>
      <c r="B581" s="65"/>
      <c r="C581" s="65"/>
      <c r="D581" s="65"/>
      <c r="E581" s="65"/>
      <c r="F581" s="65"/>
      <c r="G581" s="65"/>
      <c r="H581" s="78"/>
      <c r="I581" s="134"/>
      <c r="J581" s="78"/>
      <c r="K581" s="78"/>
      <c r="L581" s="65"/>
      <c r="M581" s="65"/>
      <c r="N581" s="65"/>
      <c r="O581" s="65"/>
    </row>
    <row r="582" spans="1:15" ht="15">
      <c r="A582" s="78"/>
      <c r="B582" s="65"/>
      <c r="C582" s="65"/>
      <c r="D582" s="65"/>
      <c r="E582" s="65"/>
      <c r="F582" s="65"/>
      <c r="G582" s="65"/>
      <c r="H582" s="78"/>
      <c r="I582" s="134"/>
      <c r="J582" s="78"/>
      <c r="K582" s="78"/>
      <c r="L582" s="65"/>
      <c r="M582" s="65"/>
      <c r="N582" s="65"/>
      <c r="O582" s="65"/>
    </row>
    <row r="583" spans="1:15" ht="15">
      <c r="A583" s="78"/>
      <c r="B583" s="65"/>
      <c r="C583" s="65"/>
      <c r="D583" s="65"/>
      <c r="E583" s="65"/>
      <c r="F583" s="65"/>
      <c r="G583" s="65"/>
      <c r="H583" s="78"/>
      <c r="I583" s="134"/>
      <c r="J583" s="78"/>
      <c r="K583" s="78"/>
      <c r="L583" s="65"/>
      <c r="M583" s="65"/>
      <c r="N583" s="65"/>
      <c r="O583" s="65"/>
    </row>
    <row r="584" spans="1:15" ht="15">
      <c r="A584" s="78"/>
      <c r="B584" s="65"/>
      <c r="C584" s="65"/>
      <c r="D584" s="65"/>
      <c r="E584" s="65"/>
      <c r="F584" s="65"/>
      <c r="G584" s="65"/>
      <c r="H584" s="78"/>
      <c r="I584" s="134"/>
      <c r="J584" s="78"/>
      <c r="K584" s="78"/>
      <c r="L584" s="65"/>
      <c r="M584" s="65"/>
      <c r="N584" s="65"/>
      <c r="O584" s="65"/>
    </row>
    <row r="585" spans="1:15" ht="15">
      <c r="A585" s="78"/>
      <c r="B585" s="65"/>
      <c r="C585" s="65"/>
      <c r="D585" s="65"/>
      <c r="E585" s="65"/>
      <c r="F585" s="65"/>
      <c r="G585" s="65"/>
      <c r="H585" s="78"/>
      <c r="I585" s="134"/>
      <c r="J585" s="78"/>
      <c r="K585" s="78"/>
      <c r="L585" s="65"/>
      <c r="M585" s="65"/>
      <c r="N585" s="65"/>
      <c r="O585" s="65"/>
    </row>
    <row r="586" spans="1:15" ht="15">
      <c r="A586" s="78"/>
      <c r="B586" s="65"/>
      <c r="C586" s="65"/>
      <c r="D586" s="65"/>
      <c r="E586" s="65"/>
      <c r="F586" s="65"/>
      <c r="G586" s="65"/>
      <c r="H586" s="78"/>
      <c r="I586" s="134"/>
      <c r="J586" s="78"/>
      <c r="K586" s="78"/>
      <c r="L586" s="65"/>
      <c r="M586" s="65"/>
      <c r="N586" s="65"/>
      <c r="O586" s="65"/>
    </row>
    <row r="587" spans="1:15" ht="15">
      <c r="A587" s="78"/>
      <c r="B587" s="65"/>
      <c r="C587" s="65"/>
      <c r="D587" s="65"/>
      <c r="E587" s="65"/>
      <c r="F587" s="65"/>
      <c r="G587" s="65"/>
      <c r="H587" s="78"/>
      <c r="I587" s="134"/>
      <c r="J587" s="78"/>
      <c r="K587" s="78"/>
      <c r="L587" s="65"/>
      <c r="M587" s="65"/>
      <c r="N587" s="65"/>
      <c r="O587" s="65"/>
    </row>
    <row r="588" spans="1:15" ht="15">
      <c r="A588" s="78"/>
      <c r="B588" s="65"/>
      <c r="C588" s="65"/>
      <c r="D588" s="65"/>
      <c r="E588" s="65"/>
      <c r="F588" s="65"/>
      <c r="G588" s="65"/>
      <c r="H588" s="78"/>
      <c r="I588" s="134"/>
      <c r="J588" s="78"/>
      <c r="K588" s="78"/>
      <c r="L588" s="65"/>
      <c r="M588" s="65"/>
      <c r="N588" s="65"/>
      <c r="O588" s="65"/>
    </row>
    <row r="589" spans="1:15" ht="15">
      <c r="A589" s="78"/>
      <c r="B589" s="65"/>
      <c r="C589" s="65"/>
      <c r="D589" s="65"/>
      <c r="E589" s="65"/>
      <c r="F589" s="65"/>
      <c r="G589" s="65"/>
      <c r="H589" s="78"/>
      <c r="I589" s="134"/>
      <c r="J589" s="78"/>
      <c r="K589" s="78"/>
      <c r="L589" s="65"/>
      <c r="M589" s="65"/>
      <c r="N589" s="65"/>
      <c r="O589" s="65"/>
    </row>
    <row r="590" spans="1:15" ht="15">
      <c r="A590" s="78"/>
      <c r="B590" s="65"/>
      <c r="C590" s="65"/>
      <c r="D590" s="65"/>
      <c r="E590" s="65"/>
      <c r="F590" s="65"/>
      <c r="G590" s="65"/>
      <c r="H590" s="78"/>
      <c r="I590" s="134"/>
      <c r="J590" s="78"/>
      <c r="K590" s="78"/>
      <c r="L590" s="65"/>
      <c r="M590" s="65"/>
      <c r="N590" s="65"/>
      <c r="O590" s="65"/>
    </row>
    <row r="591" spans="1:15" ht="15">
      <c r="A591" s="78"/>
      <c r="B591" s="65"/>
      <c r="C591" s="65"/>
      <c r="D591" s="65"/>
      <c r="E591" s="65"/>
      <c r="F591" s="65"/>
      <c r="G591" s="65"/>
      <c r="H591" s="78"/>
      <c r="I591" s="134"/>
      <c r="J591" s="78"/>
      <c r="K591" s="78"/>
      <c r="L591" s="65"/>
      <c r="M591" s="65"/>
      <c r="N591" s="65"/>
      <c r="O591" s="65"/>
    </row>
    <row r="592" spans="1:15" ht="15">
      <c r="A592" s="78"/>
      <c r="B592" s="65"/>
      <c r="C592" s="65"/>
      <c r="D592" s="65"/>
      <c r="E592" s="65"/>
      <c r="F592" s="65"/>
      <c r="G592" s="65"/>
      <c r="H592" s="78"/>
      <c r="I592" s="134"/>
      <c r="J592" s="78"/>
      <c r="K592" s="78"/>
      <c r="L592" s="65"/>
      <c r="M592" s="65"/>
      <c r="N592" s="65"/>
      <c r="O592" s="65"/>
    </row>
    <row r="593" spans="1:15" ht="15">
      <c r="A593" s="78"/>
      <c r="B593" s="65"/>
      <c r="C593" s="65"/>
      <c r="D593" s="65"/>
      <c r="E593" s="65"/>
      <c r="F593" s="65"/>
      <c r="G593" s="65"/>
      <c r="H593" s="78"/>
      <c r="I593" s="134"/>
      <c r="J593" s="78"/>
      <c r="K593" s="78"/>
      <c r="L593" s="65"/>
      <c r="M593" s="65"/>
      <c r="N593" s="65"/>
      <c r="O593" s="65"/>
    </row>
    <row r="594" spans="1:15" ht="15">
      <c r="A594" s="78"/>
      <c r="B594" s="65"/>
      <c r="C594" s="65"/>
      <c r="D594" s="65"/>
      <c r="E594" s="65"/>
      <c r="F594" s="65"/>
      <c r="G594" s="65"/>
      <c r="H594" s="78"/>
      <c r="I594" s="134"/>
      <c r="J594" s="78"/>
      <c r="K594" s="78"/>
      <c r="L594" s="65"/>
      <c r="M594" s="65"/>
      <c r="N594" s="65"/>
      <c r="O594" s="65"/>
    </row>
    <row r="595" spans="1:15" ht="15">
      <c r="A595" s="78"/>
      <c r="B595" s="65"/>
      <c r="C595" s="65"/>
      <c r="D595" s="65"/>
      <c r="E595" s="65"/>
      <c r="F595" s="65"/>
      <c r="G595" s="65"/>
      <c r="H595" s="78"/>
      <c r="I595" s="134"/>
      <c r="J595" s="78"/>
      <c r="K595" s="78"/>
      <c r="L595" s="65"/>
      <c r="M595" s="65"/>
      <c r="N595" s="65"/>
      <c r="O595" s="65"/>
    </row>
    <row r="596" spans="1:15" ht="15">
      <c r="A596" s="78"/>
      <c r="B596" s="65"/>
      <c r="C596" s="65"/>
      <c r="D596" s="65"/>
      <c r="E596" s="65"/>
      <c r="F596" s="65"/>
      <c r="G596" s="65"/>
      <c r="H596" s="78"/>
      <c r="I596" s="134"/>
      <c r="J596" s="78"/>
      <c r="K596" s="78"/>
      <c r="L596" s="65"/>
      <c r="M596" s="65"/>
      <c r="N596" s="65"/>
      <c r="O596" s="65"/>
    </row>
    <row r="597" spans="1:15" ht="15">
      <c r="A597" s="78"/>
      <c r="B597" s="65"/>
      <c r="C597" s="65"/>
      <c r="D597" s="65"/>
      <c r="E597" s="65"/>
      <c r="F597" s="65"/>
      <c r="G597" s="65"/>
      <c r="H597" s="78"/>
      <c r="I597" s="134"/>
      <c r="J597" s="78"/>
      <c r="K597" s="78"/>
      <c r="L597" s="65"/>
      <c r="M597" s="65"/>
      <c r="N597" s="65"/>
      <c r="O597" s="65"/>
    </row>
    <row r="598" spans="1:15" ht="15">
      <c r="A598" s="78"/>
      <c r="B598" s="65"/>
      <c r="C598" s="65"/>
      <c r="D598" s="65"/>
      <c r="E598" s="65"/>
      <c r="F598" s="65"/>
      <c r="G598" s="65"/>
      <c r="H598" s="78"/>
      <c r="I598" s="134"/>
      <c r="J598" s="78"/>
      <c r="K598" s="78"/>
      <c r="L598" s="65"/>
      <c r="M598" s="65"/>
      <c r="N598" s="65"/>
      <c r="O598" s="65"/>
    </row>
    <row r="599" spans="1:15" ht="15">
      <c r="A599" s="78"/>
      <c r="B599" s="65"/>
      <c r="C599" s="65"/>
      <c r="D599" s="65"/>
      <c r="E599" s="65"/>
      <c r="F599" s="65"/>
      <c r="G599" s="65"/>
      <c r="H599" s="78"/>
      <c r="I599" s="134"/>
      <c r="J599" s="78"/>
      <c r="K599" s="78"/>
      <c r="L599" s="65"/>
      <c r="M599" s="65"/>
      <c r="N599" s="65"/>
      <c r="O599" s="65"/>
    </row>
    <row r="600" spans="1:15" ht="15">
      <c r="A600" s="78"/>
      <c r="B600" s="65"/>
      <c r="C600" s="65"/>
      <c r="D600" s="65"/>
      <c r="E600" s="65"/>
      <c r="F600" s="65"/>
      <c r="G600" s="65"/>
      <c r="H600" s="78"/>
      <c r="I600" s="134"/>
      <c r="J600" s="78"/>
      <c r="K600" s="78"/>
      <c r="L600" s="65"/>
      <c r="M600" s="65"/>
      <c r="N600" s="65"/>
      <c r="O600" s="65"/>
    </row>
    <row r="601" spans="1:15" ht="15">
      <c r="A601" s="78"/>
      <c r="B601" s="65"/>
      <c r="C601" s="65"/>
      <c r="D601" s="65"/>
      <c r="E601" s="65"/>
      <c r="F601" s="65"/>
      <c r="G601" s="65"/>
      <c r="H601" s="78"/>
      <c r="I601" s="134"/>
      <c r="J601" s="78"/>
      <c r="K601" s="78"/>
      <c r="L601" s="65"/>
      <c r="M601" s="65"/>
      <c r="N601" s="65"/>
      <c r="O601" s="65"/>
    </row>
    <row r="602" spans="1:15" ht="15">
      <c r="A602" s="78"/>
      <c r="B602" s="65"/>
      <c r="C602" s="65"/>
      <c r="D602" s="65"/>
      <c r="E602" s="65"/>
      <c r="F602" s="65"/>
      <c r="G602" s="65"/>
      <c r="H602" s="78"/>
      <c r="I602" s="134"/>
      <c r="J602" s="78"/>
      <c r="K602" s="78"/>
      <c r="L602" s="65"/>
      <c r="M602" s="65"/>
      <c r="N602" s="65"/>
      <c r="O602" s="65"/>
    </row>
    <row r="603" spans="1:15" ht="15">
      <c r="A603" s="78"/>
      <c r="B603" s="65"/>
      <c r="C603" s="65"/>
      <c r="D603" s="65"/>
      <c r="E603" s="65"/>
      <c r="F603" s="65"/>
      <c r="G603" s="65"/>
      <c r="H603" s="78"/>
      <c r="I603" s="134"/>
      <c r="J603" s="78"/>
      <c r="K603" s="78"/>
      <c r="L603" s="65"/>
      <c r="M603" s="65"/>
      <c r="N603" s="65"/>
      <c r="O603" s="65"/>
    </row>
    <row r="604" spans="1:15" ht="15">
      <c r="A604" s="78"/>
      <c r="B604" s="65"/>
      <c r="C604" s="65"/>
      <c r="D604" s="65"/>
      <c r="E604" s="65"/>
      <c r="F604" s="65"/>
      <c r="G604" s="65"/>
      <c r="H604" s="78"/>
      <c r="I604" s="134"/>
      <c r="J604" s="78"/>
      <c r="K604" s="78"/>
      <c r="L604" s="65"/>
      <c r="M604" s="65"/>
      <c r="N604" s="65"/>
      <c r="O604" s="65"/>
    </row>
    <row r="605" spans="1:15" ht="15">
      <c r="A605" s="78"/>
      <c r="B605" s="65"/>
      <c r="C605" s="65"/>
      <c r="D605" s="65"/>
      <c r="E605" s="65"/>
      <c r="F605" s="65"/>
      <c r="G605" s="65"/>
      <c r="H605" s="78"/>
      <c r="I605" s="134"/>
      <c r="J605" s="78"/>
      <c r="K605" s="78"/>
      <c r="L605" s="65"/>
      <c r="M605" s="65"/>
      <c r="N605" s="65"/>
      <c r="O605" s="65"/>
    </row>
    <row r="606" spans="1:15" ht="15">
      <c r="A606" s="78"/>
      <c r="B606" s="65"/>
      <c r="C606" s="65"/>
      <c r="D606" s="65"/>
      <c r="E606" s="65"/>
      <c r="F606" s="65"/>
      <c r="G606" s="65"/>
      <c r="H606" s="78"/>
      <c r="I606" s="134"/>
      <c r="J606" s="78"/>
      <c r="K606" s="78"/>
      <c r="L606" s="65"/>
      <c r="M606" s="65"/>
      <c r="N606" s="65"/>
      <c r="O606" s="65"/>
    </row>
    <row r="607" spans="1:15" ht="15">
      <c r="A607" s="78"/>
      <c r="B607" s="65"/>
      <c r="C607" s="65"/>
      <c r="D607" s="65"/>
      <c r="E607" s="65"/>
      <c r="F607" s="65"/>
      <c r="G607" s="65"/>
      <c r="H607" s="78"/>
      <c r="I607" s="134"/>
      <c r="J607" s="78"/>
      <c r="K607" s="78"/>
      <c r="L607" s="65"/>
      <c r="M607" s="65"/>
      <c r="N607" s="65"/>
      <c r="O607" s="65"/>
    </row>
    <row r="608" spans="1:15" ht="15">
      <c r="A608" s="78"/>
      <c r="B608" s="65"/>
      <c r="C608" s="65"/>
      <c r="D608" s="65"/>
      <c r="E608" s="65"/>
      <c r="F608" s="65"/>
      <c r="G608" s="65"/>
      <c r="H608" s="78"/>
      <c r="I608" s="134"/>
      <c r="J608" s="78"/>
      <c r="K608" s="78"/>
      <c r="L608" s="65"/>
      <c r="M608" s="65"/>
      <c r="N608" s="65"/>
      <c r="O608" s="65"/>
    </row>
    <row r="609" spans="1:15" ht="15">
      <c r="A609" s="78"/>
      <c r="B609" s="65"/>
      <c r="C609" s="65"/>
      <c r="D609" s="65"/>
      <c r="E609" s="65"/>
      <c r="F609" s="65"/>
      <c r="G609" s="65"/>
      <c r="H609" s="78"/>
      <c r="I609" s="134"/>
      <c r="J609" s="78"/>
      <c r="K609" s="78"/>
      <c r="L609" s="65"/>
      <c r="M609" s="65"/>
      <c r="N609" s="65"/>
      <c r="O609" s="65"/>
    </row>
    <row r="610" spans="1:15" ht="15">
      <c r="A610" s="78"/>
      <c r="B610" s="65"/>
      <c r="C610" s="65"/>
      <c r="D610" s="65"/>
      <c r="E610" s="65"/>
      <c r="F610" s="65"/>
      <c r="G610" s="65"/>
      <c r="H610" s="78"/>
      <c r="I610" s="134"/>
      <c r="J610" s="78"/>
      <c r="K610" s="78"/>
      <c r="L610" s="65"/>
      <c r="M610" s="65"/>
      <c r="N610" s="65"/>
      <c r="O610" s="65"/>
    </row>
    <row r="611" spans="1:15" ht="15">
      <c r="A611" s="78"/>
      <c r="B611" s="65"/>
      <c r="C611" s="65"/>
      <c r="D611" s="65"/>
      <c r="E611" s="65"/>
      <c r="F611" s="65"/>
      <c r="G611" s="65"/>
      <c r="H611" s="78"/>
      <c r="I611" s="134"/>
      <c r="J611" s="78"/>
      <c r="K611" s="78"/>
      <c r="L611" s="65"/>
      <c r="M611" s="65"/>
      <c r="N611" s="65"/>
      <c r="O611" s="65"/>
    </row>
    <row r="612" spans="1:15" ht="15">
      <c r="A612" s="78"/>
      <c r="B612" s="65"/>
      <c r="C612" s="65"/>
      <c r="D612" s="65"/>
      <c r="E612" s="65"/>
      <c r="F612" s="65"/>
      <c r="G612" s="65"/>
      <c r="H612" s="78"/>
      <c r="I612" s="134"/>
      <c r="J612" s="78"/>
      <c r="K612" s="78"/>
      <c r="L612" s="65"/>
      <c r="M612" s="65"/>
      <c r="N612" s="65"/>
      <c r="O612" s="65"/>
    </row>
    <row r="613" spans="1:15" ht="15">
      <c r="A613" s="78"/>
      <c r="B613" s="65"/>
      <c r="C613" s="65"/>
      <c r="D613" s="65"/>
      <c r="E613" s="65"/>
      <c r="F613" s="65"/>
      <c r="G613" s="65"/>
      <c r="H613" s="78"/>
      <c r="I613" s="134"/>
      <c r="J613" s="78"/>
      <c r="K613" s="78"/>
      <c r="L613" s="65"/>
      <c r="M613" s="65"/>
      <c r="N613" s="65"/>
      <c r="O613" s="65"/>
    </row>
    <row r="614" spans="1:15" ht="15">
      <c r="A614" s="78"/>
      <c r="B614" s="65"/>
      <c r="C614" s="65"/>
      <c r="D614" s="65"/>
      <c r="E614" s="65"/>
      <c r="F614" s="65"/>
      <c r="G614" s="65"/>
      <c r="H614" s="78"/>
      <c r="I614" s="134"/>
      <c r="J614" s="78"/>
      <c r="K614" s="78"/>
      <c r="L614" s="65"/>
      <c r="M614" s="65"/>
      <c r="N614" s="65"/>
      <c r="O614" s="65"/>
    </row>
    <row r="615" spans="1:15" ht="15">
      <c r="A615" s="78"/>
      <c r="B615" s="65"/>
      <c r="C615" s="65"/>
      <c r="D615" s="65"/>
      <c r="E615" s="65"/>
      <c r="F615" s="65"/>
      <c r="G615" s="65"/>
      <c r="H615" s="78"/>
      <c r="I615" s="134"/>
      <c r="J615" s="78"/>
      <c r="K615" s="78"/>
      <c r="L615" s="65"/>
      <c r="M615" s="65"/>
      <c r="N615" s="65"/>
      <c r="O615" s="65"/>
    </row>
    <row r="616" spans="1:15" ht="15">
      <c r="A616" s="78"/>
      <c r="B616" s="65"/>
      <c r="C616" s="65"/>
      <c r="D616" s="65"/>
      <c r="E616" s="65"/>
      <c r="F616" s="65"/>
      <c r="G616" s="65"/>
      <c r="H616" s="78"/>
      <c r="I616" s="134"/>
      <c r="J616" s="78"/>
      <c r="K616" s="78"/>
      <c r="L616" s="65"/>
      <c r="M616" s="65"/>
      <c r="N616" s="65"/>
      <c r="O616" s="65"/>
    </row>
    <row r="617" spans="1:15" ht="15">
      <c r="A617" s="78"/>
      <c r="B617" s="65"/>
      <c r="C617" s="65"/>
      <c r="D617" s="65"/>
      <c r="E617" s="65"/>
      <c r="F617" s="65"/>
      <c r="G617" s="65"/>
      <c r="H617" s="78"/>
      <c r="I617" s="134"/>
      <c r="J617" s="78"/>
      <c r="K617" s="78"/>
      <c r="L617" s="65"/>
      <c r="M617" s="65"/>
      <c r="N617" s="65"/>
      <c r="O617" s="65"/>
    </row>
    <row r="618" spans="1:15" ht="15">
      <c r="A618" s="78"/>
      <c r="B618" s="65"/>
      <c r="C618" s="65"/>
      <c r="D618" s="65"/>
      <c r="E618" s="65"/>
      <c r="F618" s="65"/>
      <c r="G618" s="65"/>
      <c r="H618" s="78"/>
      <c r="I618" s="134"/>
      <c r="J618" s="78"/>
      <c r="K618" s="78"/>
      <c r="L618" s="65"/>
      <c r="M618" s="65"/>
      <c r="N618" s="65"/>
      <c r="O618" s="65"/>
    </row>
    <row r="619" spans="1:15" ht="15">
      <c r="A619" s="78"/>
      <c r="B619" s="65"/>
      <c r="C619" s="65"/>
      <c r="D619" s="65"/>
      <c r="E619" s="65"/>
      <c r="F619" s="65"/>
      <c r="G619" s="65"/>
      <c r="H619" s="78"/>
      <c r="I619" s="134"/>
      <c r="J619" s="78"/>
      <c r="K619" s="78"/>
      <c r="L619" s="65"/>
      <c r="M619" s="65"/>
      <c r="N619" s="65"/>
      <c r="O619" s="65"/>
    </row>
    <row r="620" spans="1:15" ht="15">
      <c r="A620" s="78"/>
      <c r="B620" s="65"/>
      <c r="C620" s="65"/>
      <c r="D620" s="65"/>
      <c r="E620" s="65"/>
      <c r="F620" s="65"/>
      <c r="G620" s="65"/>
      <c r="H620" s="78"/>
      <c r="I620" s="134"/>
      <c r="J620" s="78"/>
      <c r="K620" s="78"/>
      <c r="L620" s="65"/>
      <c r="M620" s="65"/>
      <c r="N620" s="65"/>
      <c r="O620" s="65"/>
    </row>
    <row r="621" spans="1:15" ht="15">
      <c r="A621" s="78"/>
      <c r="B621" s="65"/>
      <c r="C621" s="65"/>
      <c r="D621" s="65"/>
      <c r="E621" s="65"/>
      <c r="F621" s="65"/>
      <c r="G621" s="65"/>
      <c r="H621" s="78"/>
      <c r="I621" s="134"/>
      <c r="J621" s="78"/>
      <c r="K621" s="78"/>
      <c r="L621" s="65"/>
      <c r="M621" s="65"/>
      <c r="N621" s="65"/>
      <c r="O621" s="65"/>
    </row>
    <row r="622" spans="1:15" ht="15">
      <c r="A622" s="78"/>
      <c r="B622" s="65"/>
      <c r="C622" s="65"/>
      <c r="D622" s="65"/>
      <c r="E622" s="65"/>
      <c r="F622" s="65"/>
      <c r="G622" s="65"/>
      <c r="H622" s="78"/>
      <c r="I622" s="134"/>
      <c r="J622" s="78"/>
      <c r="K622" s="78"/>
      <c r="L622" s="65"/>
      <c r="M622" s="65"/>
      <c r="N622" s="65"/>
      <c r="O622" s="65"/>
    </row>
    <row r="623" spans="1:15" ht="15">
      <c r="A623" s="78"/>
      <c r="B623" s="65"/>
      <c r="C623" s="65"/>
      <c r="D623" s="65"/>
      <c r="E623" s="65"/>
      <c r="F623" s="65"/>
      <c r="G623" s="65"/>
      <c r="H623" s="78"/>
      <c r="I623" s="134"/>
      <c r="J623" s="78"/>
      <c r="K623" s="78"/>
      <c r="L623" s="65"/>
      <c r="M623" s="65"/>
      <c r="N623" s="65"/>
      <c r="O623" s="65"/>
    </row>
    <row r="624" spans="1:15" ht="15">
      <c r="A624" s="78"/>
      <c r="B624" s="65"/>
      <c r="C624" s="65"/>
      <c r="D624" s="65"/>
      <c r="E624" s="65"/>
      <c r="F624" s="65"/>
      <c r="G624" s="65"/>
      <c r="H624" s="78"/>
      <c r="I624" s="134"/>
      <c r="J624" s="78"/>
      <c r="K624" s="78"/>
      <c r="L624" s="65"/>
      <c r="M624" s="65"/>
      <c r="N624" s="65"/>
      <c r="O624" s="65"/>
    </row>
    <row r="625" spans="1:15" ht="15">
      <c r="A625" s="78"/>
      <c r="B625" s="65"/>
      <c r="C625" s="65"/>
      <c r="D625" s="65"/>
      <c r="E625" s="65"/>
      <c r="F625" s="65"/>
      <c r="G625" s="65"/>
      <c r="H625" s="78"/>
      <c r="I625" s="134"/>
      <c r="J625" s="78"/>
      <c r="K625" s="78"/>
      <c r="L625" s="65"/>
      <c r="M625" s="65"/>
      <c r="N625" s="65"/>
      <c r="O625" s="65"/>
    </row>
    <row r="626" spans="1:15" ht="15">
      <c r="A626" s="78"/>
      <c r="B626" s="65"/>
      <c r="C626" s="65"/>
      <c r="D626" s="65"/>
      <c r="E626" s="65"/>
      <c r="F626" s="65"/>
      <c r="G626" s="65"/>
      <c r="H626" s="78"/>
      <c r="I626" s="134"/>
      <c r="J626" s="78"/>
      <c r="K626" s="78"/>
      <c r="L626" s="65"/>
      <c r="M626" s="65"/>
      <c r="N626" s="65"/>
      <c r="O626" s="65"/>
    </row>
    <row r="627" spans="1:15" ht="15">
      <c r="A627" s="78"/>
      <c r="B627" s="65"/>
      <c r="C627" s="65"/>
      <c r="D627" s="65"/>
      <c r="E627" s="65"/>
      <c r="F627" s="65"/>
      <c r="G627" s="65"/>
      <c r="H627" s="78"/>
      <c r="I627" s="134"/>
      <c r="J627" s="78"/>
      <c r="K627" s="78"/>
      <c r="L627" s="65"/>
      <c r="M627" s="65"/>
      <c r="N627" s="65"/>
      <c r="O627" s="65"/>
    </row>
    <row r="628" spans="1:15" ht="15">
      <c r="A628" s="78"/>
      <c r="B628" s="65"/>
      <c r="C628" s="65"/>
      <c r="D628" s="65"/>
      <c r="E628" s="65"/>
      <c r="F628" s="65"/>
      <c r="G628" s="65"/>
      <c r="H628" s="78"/>
      <c r="I628" s="134"/>
      <c r="J628" s="78"/>
      <c r="K628" s="78"/>
      <c r="L628" s="65"/>
      <c r="M628" s="65"/>
      <c r="N628" s="65"/>
      <c r="O628" s="65"/>
    </row>
    <row r="629" spans="1:15" ht="15">
      <c r="A629" s="78"/>
      <c r="B629" s="65"/>
      <c r="C629" s="65"/>
      <c r="D629" s="65"/>
      <c r="E629" s="65"/>
      <c r="F629" s="65"/>
      <c r="G629" s="65"/>
      <c r="H629" s="78"/>
      <c r="I629" s="134"/>
      <c r="J629" s="78"/>
      <c r="K629" s="78"/>
      <c r="L629" s="65"/>
      <c r="M629" s="65"/>
      <c r="N629" s="65"/>
      <c r="O629" s="65"/>
    </row>
    <row r="630" spans="1:15" ht="15">
      <c r="A630" s="78"/>
      <c r="B630" s="65"/>
      <c r="C630" s="65"/>
      <c r="D630" s="65"/>
      <c r="E630" s="65"/>
      <c r="F630" s="65"/>
      <c r="G630" s="65"/>
      <c r="H630" s="78"/>
      <c r="I630" s="134"/>
      <c r="J630" s="78"/>
      <c r="K630" s="78"/>
      <c r="L630" s="65"/>
      <c r="M630" s="65"/>
      <c r="N630" s="65"/>
      <c r="O630" s="65"/>
    </row>
    <row r="631" spans="1:15" ht="15">
      <c r="A631" s="78"/>
      <c r="B631" s="65"/>
      <c r="C631" s="65"/>
      <c r="D631" s="65"/>
      <c r="E631" s="65"/>
      <c r="F631" s="65"/>
      <c r="G631" s="65"/>
      <c r="H631" s="78"/>
      <c r="I631" s="134"/>
      <c r="J631" s="78"/>
      <c r="K631" s="78"/>
      <c r="L631" s="65"/>
      <c r="M631" s="65"/>
      <c r="N631" s="65"/>
      <c r="O631" s="65"/>
    </row>
    <row r="632" spans="1:15" ht="15">
      <c r="A632" s="78"/>
      <c r="B632" s="65"/>
      <c r="C632" s="65"/>
      <c r="D632" s="65"/>
      <c r="E632" s="65"/>
      <c r="F632" s="65"/>
      <c r="G632" s="65"/>
      <c r="H632" s="78"/>
      <c r="I632" s="134"/>
      <c r="J632" s="78"/>
      <c r="K632" s="78"/>
      <c r="L632" s="65"/>
      <c r="M632" s="65"/>
      <c r="N632" s="65"/>
      <c r="O632" s="65"/>
    </row>
    <row r="633" spans="1:15" ht="15">
      <c r="A633" s="78"/>
      <c r="B633" s="65"/>
      <c r="C633" s="65"/>
      <c r="D633" s="65"/>
      <c r="E633" s="65"/>
      <c r="F633" s="65"/>
      <c r="G633" s="65"/>
      <c r="H633" s="78"/>
      <c r="I633" s="134"/>
      <c r="J633" s="78"/>
      <c r="K633" s="78"/>
      <c r="L633" s="65"/>
      <c r="M633" s="65"/>
      <c r="N633" s="65"/>
      <c r="O633" s="65"/>
    </row>
    <row r="634" spans="1:15" ht="15">
      <c r="A634" s="78"/>
      <c r="B634" s="65"/>
      <c r="C634" s="65"/>
      <c r="D634" s="65"/>
      <c r="E634" s="65"/>
      <c r="F634" s="65"/>
      <c r="G634" s="65"/>
      <c r="H634" s="78"/>
      <c r="I634" s="134"/>
      <c r="J634" s="78"/>
      <c r="K634" s="78"/>
      <c r="L634" s="65"/>
      <c r="M634" s="65"/>
      <c r="N634" s="65"/>
      <c r="O634" s="65"/>
    </row>
    <row r="635" spans="1:15" ht="15">
      <c r="A635" s="78"/>
      <c r="B635" s="65"/>
      <c r="C635" s="65"/>
      <c r="D635" s="65"/>
      <c r="E635" s="65"/>
      <c r="F635" s="65"/>
      <c r="G635" s="65"/>
      <c r="H635" s="78"/>
      <c r="I635" s="134"/>
      <c r="J635" s="78"/>
      <c r="K635" s="78"/>
      <c r="L635" s="65"/>
      <c r="M635" s="65"/>
      <c r="N635" s="65"/>
      <c r="O635" s="65"/>
    </row>
    <row r="636" spans="1:15" ht="15">
      <c r="A636" s="78"/>
      <c r="B636" s="65"/>
      <c r="C636" s="65"/>
      <c r="D636" s="65"/>
      <c r="E636" s="65"/>
      <c r="F636" s="65"/>
      <c r="G636" s="65"/>
      <c r="H636" s="78"/>
      <c r="I636" s="134"/>
      <c r="J636" s="78"/>
      <c r="K636" s="78"/>
      <c r="L636" s="65"/>
      <c r="M636" s="65"/>
      <c r="N636" s="65"/>
      <c r="O636" s="65"/>
    </row>
    <row r="637" spans="1:15" ht="15">
      <c r="A637" s="78"/>
      <c r="B637" s="65"/>
      <c r="C637" s="65"/>
      <c r="D637" s="65"/>
      <c r="E637" s="65"/>
      <c r="F637" s="65"/>
      <c r="G637" s="65"/>
      <c r="H637" s="78"/>
      <c r="I637" s="134"/>
      <c r="J637" s="78"/>
      <c r="K637" s="78"/>
      <c r="L637" s="65"/>
      <c r="M637" s="65"/>
      <c r="N637" s="65"/>
      <c r="O637" s="65"/>
    </row>
    <row r="638" spans="1:15" ht="15">
      <c r="A638" s="78"/>
      <c r="B638" s="65"/>
      <c r="C638" s="65"/>
      <c r="D638" s="65"/>
      <c r="E638" s="65"/>
      <c r="F638" s="65"/>
      <c r="G638" s="65"/>
      <c r="H638" s="78"/>
      <c r="I638" s="134"/>
      <c r="J638" s="78"/>
      <c r="K638" s="78"/>
      <c r="L638" s="65"/>
      <c r="M638" s="65"/>
      <c r="N638" s="65"/>
      <c r="O638" s="65"/>
    </row>
    <row r="639" spans="1:15" ht="15">
      <c r="A639" s="78"/>
      <c r="B639" s="65"/>
      <c r="C639" s="65"/>
      <c r="D639" s="65"/>
      <c r="E639" s="65"/>
      <c r="F639" s="65"/>
      <c r="G639" s="65"/>
      <c r="H639" s="78"/>
      <c r="I639" s="134"/>
      <c r="J639" s="78"/>
      <c r="K639" s="78"/>
      <c r="L639" s="65"/>
      <c r="M639" s="65"/>
      <c r="N639" s="65"/>
      <c r="O639" s="65"/>
    </row>
    <row r="640" spans="1:15" ht="15">
      <c r="A640" s="78"/>
      <c r="B640" s="65"/>
      <c r="C640" s="65"/>
      <c r="D640" s="65"/>
      <c r="E640" s="65"/>
      <c r="F640" s="65"/>
      <c r="G640" s="65"/>
      <c r="H640" s="78"/>
      <c r="I640" s="134"/>
      <c r="J640" s="78"/>
      <c r="K640" s="78"/>
      <c r="L640" s="65"/>
      <c r="M640" s="65"/>
      <c r="N640" s="65"/>
      <c r="O640" s="65"/>
    </row>
    <row r="641" spans="1:15" ht="15">
      <c r="A641" s="78"/>
      <c r="B641" s="65"/>
      <c r="C641" s="65"/>
      <c r="D641" s="65"/>
      <c r="E641" s="65"/>
      <c r="F641" s="65"/>
      <c r="G641" s="65"/>
      <c r="H641" s="78"/>
      <c r="I641" s="134"/>
      <c r="J641" s="78"/>
      <c r="K641" s="78"/>
      <c r="L641" s="65"/>
      <c r="M641" s="65"/>
      <c r="N641" s="65"/>
      <c r="O641" s="65"/>
    </row>
    <row r="642" spans="1:15" ht="15">
      <c r="A642" s="78"/>
      <c r="B642" s="65"/>
      <c r="C642" s="65"/>
      <c r="D642" s="65"/>
      <c r="E642" s="65"/>
      <c r="F642" s="65"/>
      <c r="G642" s="65"/>
      <c r="H642" s="78"/>
      <c r="I642" s="134"/>
      <c r="J642" s="78"/>
      <c r="K642" s="78"/>
      <c r="L642" s="65"/>
      <c r="M642" s="65"/>
      <c r="N642" s="65"/>
      <c r="O642" s="65"/>
    </row>
    <row r="643" spans="1:15" ht="15">
      <c r="A643" s="78"/>
      <c r="B643" s="65"/>
      <c r="C643" s="65"/>
      <c r="D643" s="65"/>
      <c r="E643" s="65"/>
      <c r="F643" s="65"/>
      <c r="G643" s="65"/>
      <c r="H643" s="78"/>
      <c r="I643" s="134"/>
      <c r="J643" s="78"/>
      <c r="K643" s="78"/>
      <c r="L643" s="65"/>
      <c r="M643" s="65"/>
      <c r="N643" s="65"/>
      <c r="O643" s="65"/>
    </row>
    <row r="644" spans="1:15" ht="15">
      <c r="A644" s="78"/>
      <c r="B644" s="65"/>
      <c r="C644" s="65"/>
      <c r="D644" s="65"/>
      <c r="E644" s="65"/>
      <c r="F644" s="65"/>
      <c r="G644" s="65"/>
      <c r="H644" s="78"/>
      <c r="I644" s="134"/>
      <c r="J644" s="78"/>
      <c r="K644" s="78"/>
      <c r="L644" s="65"/>
      <c r="M644" s="65"/>
      <c r="N644" s="65"/>
      <c r="O644" s="65"/>
    </row>
    <row r="645" spans="1:15" ht="15">
      <c r="A645" s="78"/>
      <c r="B645" s="65"/>
      <c r="C645" s="65"/>
      <c r="D645" s="65"/>
      <c r="E645" s="65"/>
      <c r="F645" s="65"/>
      <c r="G645" s="65"/>
      <c r="H645" s="78"/>
      <c r="I645" s="134"/>
      <c r="J645" s="78"/>
      <c r="K645" s="78"/>
      <c r="L645" s="65"/>
      <c r="M645" s="65"/>
      <c r="N645" s="65"/>
      <c r="O645" s="65"/>
    </row>
    <row r="646" spans="1:15" ht="15">
      <c r="A646" s="78"/>
      <c r="B646" s="65"/>
      <c r="C646" s="65"/>
      <c r="D646" s="65"/>
      <c r="E646" s="65"/>
      <c r="F646" s="65"/>
      <c r="G646" s="65"/>
      <c r="H646" s="78"/>
      <c r="I646" s="134"/>
      <c r="J646" s="78"/>
      <c r="K646" s="78"/>
      <c r="L646" s="65"/>
      <c r="M646" s="65"/>
      <c r="N646" s="65"/>
      <c r="O646" s="65"/>
    </row>
    <row r="647" spans="1:15" ht="15">
      <c r="A647" s="78"/>
      <c r="B647" s="65"/>
      <c r="C647" s="65"/>
      <c r="D647" s="65"/>
      <c r="E647" s="65"/>
      <c r="F647" s="65"/>
      <c r="G647" s="65"/>
      <c r="H647" s="78"/>
      <c r="I647" s="134"/>
      <c r="J647" s="78"/>
      <c r="K647" s="78"/>
      <c r="L647" s="65"/>
      <c r="M647" s="65"/>
      <c r="N647" s="65"/>
      <c r="O647" s="65"/>
    </row>
    <row r="648" spans="1:15" ht="15">
      <c r="A648" s="78"/>
      <c r="B648" s="65"/>
      <c r="C648" s="65"/>
      <c r="D648" s="65"/>
      <c r="E648" s="65"/>
      <c r="F648" s="65"/>
      <c r="G648" s="65"/>
      <c r="H648" s="78"/>
      <c r="I648" s="134"/>
      <c r="J648" s="78"/>
      <c r="K648" s="78"/>
      <c r="L648" s="65"/>
      <c r="M648" s="65"/>
      <c r="N648" s="65"/>
      <c r="O648" s="65"/>
    </row>
    <row r="649" spans="1:15" ht="15">
      <c r="A649" s="78"/>
      <c r="B649" s="65"/>
      <c r="C649" s="65"/>
      <c r="D649" s="65"/>
      <c r="E649" s="65"/>
      <c r="F649" s="65"/>
      <c r="G649" s="65"/>
      <c r="H649" s="78"/>
      <c r="I649" s="134"/>
      <c r="J649" s="78"/>
      <c r="K649" s="78"/>
      <c r="L649" s="65"/>
      <c r="M649" s="65"/>
      <c r="N649" s="65"/>
      <c r="O649" s="65"/>
    </row>
    <row r="650" spans="1:15" ht="15">
      <c r="A650" s="78"/>
      <c r="B650" s="65"/>
      <c r="C650" s="65"/>
      <c r="D650" s="65"/>
      <c r="E650" s="65"/>
      <c r="F650" s="65"/>
      <c r="G650" s="65"/>
      <c r="H650" s="78"/>
      <c r="I650" s="134"/>
      <c r="J650" s="78"/>
      <c r="K650" s="78"/>
      <c r="L650" s="65"/>
      <c r="M650" s="65"/>
      <c r="N650" s="65"/>
      <c r="O650" s="65"/>
    </row>
    <row r="651" spans="1:15" ht="15">
      <c r="A651" s="78"/>
      <c r="B651" s="65"/>
      <c r="C651" s="65"/>
      <c r="D651" s="65"/>
      <c r="E651" s="65"/>
      <c r="F651" s="65"/>
      <c r="G651" s="65"/>
      <c r="H651" s="78"/>
      <c r="I651" s="134"/>
      <c r="J651" s="78"/>
      <c r="K651" s="78"/>
      <c r="L651" s="65"/>
      <c r="M651" s="65"/>
      <c r="N651" s="65"/>
      <c r="O651" s="65"/>
    </row>
    <row r="652" spans="1:15" ht="15">
      <c r="A652" s="78"/>
      <c r="B652" s="65"/>
      <c r="C652" s="65"/>
      <c r="D652" s="65"/>
      <c r="E652" s="65"/>
      <c r="F652" s="65"/>
      <c r="G652" s="65"/>
      <c r="H652" s="78"/>
      <c r="I652" s="134"/>
      <c r="J652" s="78"/>
      <c r="K652" s="78"/>
      <c r="L652" s="65"/>
      <c r="M652" s="65"/>
      <c r="N652" s="65"/>
      <c r="O652" s="65"/>
    </row>
    <row r="653" spans="1:15" ht="15">
      <c r="A653" s="78"/>
      <c r="B653" s="65"/>
      <c r="C653" s="65"/>
      <c r="D653" s="65"/>
      <c r="E653" s="65"/>
      <c r="F653" s="65"/>
      <c r="G653" s="65"/>
      <c r="H653" s="78"/>
      <c r="I653" s="134"/>
      <c r="J653" s="78"/>
      <c r="K653" s="78"/>
      <c r="L653" s="65"/>
      <c r="M653" s="65"/>
      <c r="N653" s="65"/>
      <c r="O653" s="65"/>
    </row>
    <row r="654" spans="1:15" ht="15">
      <c r="A654" s="78"/>
      <c r="B654" s="65"/>
      <c r="C654" s="65"/>
      <c r="D654" s="65"/>
      <c r="E654" s="65"/>
      <c r="F654" s="65"/>
      <c r="G654" s="65"/>
      <c r="H654" s="78"/>
      <c r="I654" s="134"/>
      <c r="J654" s="78"/>
      <c r="K654" s="78"/>
      <c r="L654" s="65"/>
      <c r="M654" s="65"/>
      <c r="N654" s="65"/>
      <c r="O654" s="65"/>
    </row>
    <row r="655" spans="1:15" ht="15">
      <c r="A655" s="78"/>
      <c r="B655" s="65"/>
      <c r="C655" s="65"/>
      <c r="D655" s="65"/>
      <c r="E655" s="65"/>
      <c r="F655" s="65"/>
      <c r="G655" s="65"/>
      <c r="H655" s="78"/>
      <c r="I655" s="134"/>
      <c r="J655" s="78"/>
      <c r="K655" s="78"/>
      <c r="L655" s="65"/>
      <c r="M655" s="65"/>
      <c r="N655" s="65"/>
      <c r="O655" s="65"/>
    </row>
    <row r="656" spans="1:15" ht="15">
      <c r="A656" s="78"/>
      <c r="B656" s="65"/>
      <c r="C656" s="65"/>
      <c r="D656" s="65"/>
      <c r="E656" s="65"/>
      <c r="F656" s="65"/>
      <c r="G656" s="65"/>
      <c r="H656" s="78"/>
      <c r="I656" s="134"/>
      <c r="J656" s="78"/>
      <c r="K656" s="78"/>
      <c r="L656" s="65"/>
      <c r="M656" s="65"/>
      <c r="N656" s="65"/>
      <c r="O656" s="65"/>
    </row>
    <row r="657" spans="1:15" ht="15">
      <c r="A657" s="78"/>
      <c r="B657" s="65"/>
      <c r="C657" s="65"/>
      <c r="D657" s="65"/>
      <c r="E657" s="65"/>
      <c r="F657" s="65"/>
      <c r="G657" s="65"/>
      <c r="H657" s="78"/>
      <c r="I657" s="134"/>
      <c r="J657" s="78"/>
      <c r="K657" s="78"/>
      <c r="L657" s="65"/>
      <c r="M657" s="65"/>
      <c r="N657" s="65"/>
      <c r="O657" s="65"/>
    </row>
    <row r="658" spans="1:15" ht="15">
      <c r="A658" s="78"/>
      <c r="B658" s="65"/>
      <c r="C658" s="65"/>
      <c r="D658" s="65"/>
      <c r="E658" s="65"/>
      <c r="F658" s="65"/>
      <c r="G658" s="65"/>
      <c r="H658" s="78"/>
      <c r="I658" s="134"/>
      <c r="J658" s="78"/>
      <c r="K658" s="78"/>
      <c r="L658" s="65"/>
      <c r="M658" s="65"/>
      <c r="N658" s="65"/>
      <c r="O658" s="65"/>
    </row>
    <row r="659" spans="1:15" ht="15">
      <c r="A659" s="78"/>
      <c r="B659" s="65"/>
      <c r="C659" s="65"/>
      <c r="D659" s="65"/>
      <c r="E659" s="65"/>
      <c r="F659" s="65"/>
      <c r="G659" s="65"/>
      <c r="H659" s="78"/>
      <c r="I659" s="134"/>
      <c r="J659" s="78"/>
      <c r="K659" s="78"/>
      <c r="L659" s="65"/>
      <c r="M659" s="65"/>
      <c r="N659" s="65"/>
      <c r="O659" s="65"/>
    </row>
    <row r="660" spans="1:15" ht="15">
      <c r="A660" s="78"/>
      <c r="B660" s="65"/>
      <c r="C660" s="65"/>
      <c r="D660" s="65"/>
      <c r="E660" s="65"/>
      <c r="F660" s="65"/>
      <c r="G660" s="65"/>
      <c r="H660" s="78"/>
      <c r="I660" s="134"/>
      <c r="J660" s="78"/>
      <c r="K660" s="78"/>
      <c r="L660" s="65"/>
      <c r="M660" s="65"/>
      <c r="N660" s="65"/>
      <c r="O660" s="65"/>
    </row>
    <row r="661" spans="1:15" ht="15">
      <c r="A661" s="78"/>
      <c r="B661" s="65"/>
      <c r="C661" s="65"/>
      <c r="D661" s="65"/>
      <c r="E661" s="65"/>
      <c r="F661" s="65"/>
      <c r="G661" s="65"/>
      <c r="H661" s="78"/>
      <c r="I661" s="134"/>
      <c r="J661" s="78"/>
      <c r="K661" s="78"/>
      <c r="L661" s="65"/>
      <c r="M661" s="65"/>
      <c r="N661" s="65"/>
      <c r="O661" s="65"/>
    </row>
    <row r="662" spans="1:15" ht="15">
      <c r="A662" s="78"/>
      <c r="B662" s="65"/>
      <c r="C662" s="65"/>
      <c r="D662" s="65"/>
      <c r="E662" s="65"/>
      <c r="F662" s="65"/>
      <c r="G662" s="65"/>
      <c r="H662" s="78"/>
      <c r="I662" s="134"/>
      <c r="J662" s="78"/>
      <c r="K662" s="78"/>
      <c r="L662" s="65"/>
      <c r="M662" s="65"/>
      <c r="N662" s="65"/>
      <c r="O662" s="65"/>
    </row>
    <row r="663" spans="1:15" ht="15">
      <c r="A663" s="78"/>
      <c r="B663" s="65"/>
      <c r="C663" s="65"/>
      <c r="D663" s="65"/>
      <c r="E663" s="65"/>
      <c r="F663" s="65"/>
      <c r="G663" s="65"/>
      <c r="H663" s="78"/>
      <c r="I663" s="134"/>
      <c r="J663" s="78"/>
      <c r="K663" s="78"/>
      <c r="L663" s="65"/>
      <c r="M663" s="65"/>
      <c r="N663" s="65"/>
      <c r="O663" s="65"/>
    </row>
    <row r="664" spans="1:15" ht="15">
      <c r="A664" s="78"/>
      <c r="B664" s="65"/>
      <c r="C664" s="65"/>
      <c r="D664" s="65"/>
      <c r="E664" s="65"/>
      <c r="F664" s="65"/>
      <c r="G664" s="65"/>
      <c r="H664" s="78"/>
      <c r="I664" s="134"/>
      <c r="J664" s="78"/>
      <c r="K664" s="78"/>
      <c r="L664" s="65"/>
      <c r="M664" s="65"/>
      <c r="N664" s="65"/>
      <c r="O664" s="65"/>
    </row>
    <row r="665" spans="1:15" ht="15">
      <c r="A665" s="78"/>
      <c r="B665" s="65"/>
      <c r="C665" s="65"/>
      <c r="D665" s="65"/>
      <c r="E665" s="65"/>
      <c r="F665" s="65"/>
      <c r="G665" s="65"/>
      <c r="H665" s="78"/>
      <c r="I665" s="134"/>
      <c r="J665" s="78"/>
      <c r="K665" s="78"/>
      <c r="L665" s="65"/>
      <c r="M665" s="65"/>
      <c r="N665" s="65"/>
      <c r="O665" s="65"/>
    </row>
    <row r="666" spans="1:15" ht="15">
      <c r="A666" s="78"/>
      <c r="B666" s="65"/>
      <c r="C666" s="65"/>
      <c r="D666" s="65"/>
      <c r="E666" s="65"/>
      <c r="F666" s="65"/>
      <c r="G666" s="65"/>
      <c r="H666" s="78"/>
      <c r="I666" s="134"/>
      <c r="J666" s="78"/>
      <c r="K666" s="78"/>
      <c r="L666" s="65"/>
      <c r="M666" s="65"/>
      <c r="N666" s="65"/>
      <c r="O666" s="65"/>
    </row>
    <row r="667" spans="1:15" ht="15">
      <c r="A667" s="78"/>
      <c r="B667" s="65"/>
      <c r="C667" s="65"/>
      <c r="D667" s="65"/>
      <c r="E667" s="65"/>
      <c r="F667" s="65"/>
      <c r="G667" s="65"/>
      <c r="H667" s="78"/>
      <c r="I667" s="134"/>
      <c r="J667" s="78"/>
      <c r="K667" s="78"/>
      <c r="L667" s="65"/>
      <c r="M667" s="65"/>
      <c r="N667" s="65"/>
      <c r="O667" s="65"/>
    </row>
    <row r="668" spans="1:15" ht="15">
      <c r="A668" s="78"/>
      <c r="B668" s="65"/>
      <c r="C668" s="65"/>
      <c r="D668" s="65"/>
      <c r="E668" s="65"/>
      <c r="F668" s="65"/>
      <c r="G668" s="65"/>
      <c r="H668" s="78"/>
      <c r="I668" s="134"/>
      <c r="J668" s="78"/>
      <c r="K668" s="78"/>
      <c r="L668" s="65"/>
      <c r="M668" s="65"/>
      <c r="N668" s="65"/>
      <c r="O668" s="65"/>
    </row>
    <row r="669" spans="1:15" ht="15">
      <c r="A669" s="78"/>
      <c r="B669" s="65"/>
      <c r="C669" s="65"/>
      <c r="D669" s="65"/>
      <c r="E669" s="65"/>
      <c r="F669" s="65"/>
      <c r="G669" s="65"/>
      <c r="H669" s="78"/>
      <c r="I669" s="134"/>
      <c r="J669" s="78"/>
      <c r="K669" s="78"/>
      <c r="L669" s="65"/>
      <c r="M669" s="65"/>
      <c r="N669" s="65"/>
      <c r="O669" s="65"/>
    </row>
    <row r="670" spans="1:15" ht="15">
      <c r="A670" s="78"/>
      <c r="B670" s="65"/>
      <c r="C670" s="65"/>
      <c r="D670" s="65"/>
      <c r="E670" s="65"/>
      <c r="F670" s="65"/>
      <c r="G670" s="65"/>
      <c r="H670" s="78"/>
      <c r="I670" s="134"/>
      <c r="J670" s="78"/>
      <c r="K670" s="78"/>
      <c r="L670" s="65"/>
      <c r="M670" s="65"/>
      <c r="N670" s="65"/>
      <c r="O670" s="65"/>
    </row>
    <row r="671" spans="1:15" ht="15">
      <c r="A671" s="78"/>
      <c r="B671" s="65"/>
      <c r="C671" s="65"/>
      <c r="D671" s="65"/>
      <c r="E671" s="65"/>
      <c r="F671" s="65"/>
      <c r="G671" s="65"/>
      <c r="H671" s="78"/>
      <c r="I671" s="134"/>
      <c r="J671" s="78"/>
      <c r="K671" s="78"/>
      <c r="L671" s="65"/>
      <c r="M671" s="65"/>
      <c r="N671" s="65"/>
      <c r="O671" s="65"/>
    </row>
    <row r="672" spans="1:15" ht="15">
      <c r="A672" s="78"/>
      <c r="B672" s="65"/>
      <c r="C672" s="65"/>
      <c r="D672" s="65"/>
      <c r="E672" s="65"/>
      <c r="F672" s="65"/>
      <c r="G672" s="65"/>
      <c r="H672" s="78"/>
      <c r="I672" s="134"/>
      <c r="J672" s="78"/>
      <c r="K672" s="78"/>
      <c r="L672" s="65"/>
      <c r="M672" s="65"/>
      <c r="N672" s="65"/>
      <c r="O672" s="65"/>
    </row>
    <row r="673" spans="1:15" ht="15">
      <c r="A673" s="78"/>
      <c r="B673" s="65"/>
      <c r="C673" s="65"/>
      <c r="D673" s="65"/>
      <c r="E673" s="65"/>
      <c r="F673" s="65"/>
      <c r="G673" s="65"/>
      <c r="H673" s="78"/>
      <c r="I673" s="134"/>
      <c r="J673" s="78"/>
      <c r="K673" s="78"/>
      <c r="L673" s="65"/>
      <c r="M673" s="65"/>
      <c r="N673" s="65"/>
      <c r="O673" s="65"/>
    </row>
    <row r="674" spans="1:15" ht="15">
      <c r="A674" s="78"/>
      <c r="B674" s="65"/>
      <c r="C674" s="65"/>
      <c r="D674" s="65"/>
      <c r="E674" s="65"/>
      <c r="F674" s="65"/>
      <c r="G674" s="65"/>
      <c r="H674" s="78"/>
      <c r="I674" s="134"/>
      <c r="J674" s="78"/>
      <c r="K674" s="78"/>
      <c r="L674" s="65"/>
      <c r="M674" s="65"/>
      <c r="N674" s="65"/>
      <c r="O674" s="65"/>
    </row>
    <row r="675" spans="1:15" ht="15">
      <c r="A675" s="78"/>
      <c r="B675" s="65"/>
      <c r="C675" s="65"/>
      <c r="D675" s="65"/>
      <c r="E675" s="65"/>
      <c r="F675" s="65"/>
      <c r="G675" s="65"/>
      <c r="H675" s="78"/>
      <c r="I675" s="134"/>
      <c r="J675" s="78"/>
      <c r="K675" s="78"/>
      <c r="L675" s="65"/>
      <c r="M675" s="65"/>
      <c r="N675" s="65"/>
      <c r="O675" s="65"/>
    </row>
    <row r="676" spans="1:15" ht="15">
      <c r="A676" s="78"/>
      <c r="B676" s="65"/>
      <c r="C676" s="65"/>
      <c r="D676" s="65"/>
      <c r="E676" s="65"/>
      <c r="F676" s="65"/>
      <c r="G676" s="65"/>
      <c r="H676" s="78"/>
      <c r="I676" s="134"/>
      <c r="J676" s="78"/>
      <c r="K676" s="78"/>
      <c r="L676" s="65"/>
      <c r="M676" s="65"/>
      <c r="N676" s="65"/>
      <c r="O676" s="65"/>
    </row>
    <row r="677" spans="1:15" ht="15">
      <c r="A677" s="78"/>
      <c r="B677" s="65"/>
      <c r="C677" s="65"/>
      <c r="D677" s="65"/>
      <c r="E677" s="65"/>
      <c r="F677" s="65"/>
      <c r="G677" s="65"/>
      <c r="H677" s="78"/>
      <c r="I677" s="134"/>
      <c r="J677" s="78"/>
      <c r="K677" s="78"/>
      <c r="L677" s="65"/>
      <c r="M677" s="65"/>
      <c r="N677" s="65"/>
      <c r="O677" s="65"/>
    </row>
    <row r="678" spans="1:15" ht="15">
      <c r="A678" s="78"/>
      <c r="B678" s="65"/>
      <c r="C678" s="65"/>
      <c r="D678" s="65"/>
      <c r="E678" s="65"/>
      <c r="F678" s="65"/>
      <c r="G678" s="65"/>
      <c r="H678" s="78"/>
      <c r="I678" s="134"/>
      <c r="J678" s="78"/>
      <c r="K678" s="78"/>
      <c r="L678" s="65"/>
      <c r="M678" s="65"/>
      <c r="N678" s="65"/>
      <c r="O678" s="65"/>
    </row>
    <row r="679" spans="1:15" ht="15">
      <c r="A679" s="78"/>
      <c r="B679" s="65"/>
      <c r="C679" s="65"/>
      <c r="D679" s="65"/>
      <c r="E679" s="65"/>
      <c r="F679" s="65"/>
      <c r="G679" s="65"/>
      <c r="H679" s="78"/>
      <c r="I679" s="134"/>
      <c r="J679" s="78"/>
      <c r="K679" s="78"/>
      <c r="L679" s="65"/>
      <c r="M679" s="65"/>
      <c r="N679" s="65"/>
      <c r="O679" s="65"/>
    </row>
    <row r="680" spans="1:15" ht="15">
      <c r="A680" s="78"/>
      <c r="B680" s="65"/>
      <c r="C680" s="65"/>
      <c r="D680" s="65"/>
      <c r="E680" s="65"/>
      <c r="F680" s="65"/>
      <c r="G680" s="65"/>
      <c r="H680" s="78"/>
      <c r="I680" s="134"/>
      <c r="J680" s="78"/>
      <c r="K680" s="78"/>
      <c r="L680" s="65"/>
      <c r="M680" s="65"/>
      <c r="N680" s="65"/>
      <c r="O680" s="65"/>
    </row>
    <row r="681" spans="1:15" ht="15">
      <c r="A681" s="78"/>
      <c r="B681" s="65"/>
      <c r="C681" s="65"/>
      <c r="D681" s="65"/>
      <c r="E681" s="65"/>
      <c r="F681" s="65"/>
      <c r="G681" s="65"/>
      <c r="H681" s="78"/>
      <c r="I681" s="134"/>
      <c r="J681" s="78"/>
      <c r="K681" s="78"/>
      <c r="L681" s="65"/>
      <c r="M681" s="65"/>
      <c r="N681" s="65"/>
      <c r="O681" s="65"/>
    </row>
    <row r="682" spans="1:15" ht="15">
      <c r="A682" s="78"/>
      <c r="B682" s="65"/>
      <c r="C682" s="65"/>
      <c r="D682" s="65"/>
      <c r="E682" s="65"/>
      <c r="F682" s="65"/>
      <c r="G682" s="65"/>
      <c r="H682" s="78"/>
      <c r="I682" s="134"/>
      <c r="J682" s="78"/>
      <c r="K682" s="78"/>
      <c r="L682" s="65"/>
      <c r="M682" s="65"/>
      <c r="N682" s="65"/>
      <c r="O682" s="65"/>
    </row>
    <row r="683" spans="1:15" ht="15">
      <c r="A683" s="78"/>
      <c r="B683" s="65"/>
      <c r="C683" s="65"/>
      <c r="D683" s="65"/>
      <c r="E683" s="65"/>
      <c r="F683" s="65"/>
      <c r="G683" s="65"/>
      <c r="H683" s="78"/>
      <c r="I683" s="134"/>
      <c r="J683" s="78"/>
      <c r="K683" s="78"/>
      <c r="L683" s="65"/>
      <c r="M683" s="65"/>
      <c r="N683" s="65"/>
      <c r="O683" s="65"/>
    </row>
    <row r="684" spans="1:15" ht="15">
      <c r="A684" s="78"/>
      <c r="B684" s="65"/>
      <c r="C684" s="65"/>
      <c r="D684" s="65"/>
      <c r="E684" s="65"/>
      <c r="F684" s="65"/>
      <c r="G684" s="65"/>
      <c r="H684" s="78"/>
      <c r="I684" s="134"/>
      <c r="J684" s="78"/>
      <c r="K684" s="78"/>
      <c r="L684" s="65"/>
      <c r="M684" s="65"/>
      <c r="N684" s="65"/>
      <c r="O684" s="65"/>
    </row>
    <row r="685" spans="1:15" ht="15">
      <c r="A685" s="78"/>
      <c r="B685" s="65"/>
      <c r="C685" s="65"/>
      <c r="D685" s="65"/>
      <c r="E685" s="65"/>
      <c r="F685" s="65"/>
      <c r="G685" s="65"/>
      <c r="H685" s="78"/>
      <c r="I685" s="134"/>
      <c r="J685" s="78"/>
      <c r="K685" s="78"/>
      <c r="L685" s="65"/>
      <c r="M685" s="65"/>
      <c r="N685" s="65"/>
      <c r="O685" s="65"/>
    </row>
    <row r="686" spans="1:15" ht="15">
      <c r="A686" s="78"/>
      <c r="B686" s="65"/>
      <c r="C686" s="65"/>
      <c r="D686" s="65"/>
      <c r="E686" s="65"/>
      <c r="F686" s="65"/>
      <c r="G686" s="65"/>
      <c r="H686" s="78"/>
      <c r="I686" s="134"/>
      <c r="J686" s="78"/>
      <c r="K686" s="78"/>
      <c r="L686" s="65"/>
      <c r="M686" s="65"/>
      <c r="N686" s="65"/>
      <c r="O686" s="65"/>
    </row>
    <row r="687" spans="1:15" ht="15">
      <c r="A687" s="78"/>
      <c r="B687" s="65"/>
      <c r="C687" s="65"/>
      <c r="D687" s="65"/>
      <c r="E687" s="65"/>
      <c r="F687" s="65"/>
      <c r="G687" s="65"/>
      <c r="H687" s="78"/>
      <c r="I687" s="134"/>
      <c r="J687" s="78"/>
      <c r="K687" s="78"/>
      <c r="L687" s="65"/>
      <c r="M687" s="65"/>
      <c r="N687" s="65"/>
      <c r="O687" s="65"/>
    </row>
    <row r="688" spans="1:15" ht="15">
      <c r="A688" s="78"/>
      <c r="B688" s="65"/>
      <c r="C688" s="65"/>
      <c r="D688" s="65"/>
      <c r="E688" s="65"/>
      <c r="F688" s="65"/>
      <c r="G688" s="65"/>
      <c r="H688" s="78"/>
      <c r="I688" s="134"/>
      <c r="J688" s="78"/>
      <c r="K688" s="78"/>
      <c r="L688" s="65"/>
      <c r="M688" s="65"/>
      <c r="N688" s="65"/>
      <c r="O688" s="65"/>
    </row>
    <row r="689" spans="1:15" ht="15">
      <c r="A689" s="78"/>
      <c r="B689" s="65"/>
      <c r="C689" s="65"/>
      <c r="D689" s="65"/>
      <c r="E689" s="65"/>
      <c r="F689" s="65"/>
      <c r="G689" s="65"/>
      <c r="H689" s="78"/>
      <c r="I689" s="134"/>
      <c r="J689" s="78"/>
      <c r="K689" s="78"/>
      <c r="L689" s="65"/>
      <c r="M689" s="65"/>
      <c r="N689" s="65"/>
      <c r="O689" s="65"/>
    </row>
    <row r="690" spans="1:15" ht="15">
      <c r="A690" s="78"/>
      <c r="B690" s="65"/>
      <c r="C690" s="65"/>
      <c r="D690" s="65"/>
      <c r="E690" s="65"/>
      <c r="F690" s="65"/>
      <c r="G690" s="65"/>
      <c r="H690" s="78"/>
      <c r="I690" s="134"/>
      <c r="J690" s="78"/>
      <c r="K690" s="78"/>
      <c r="L690" s="65"/>
      <c r="M690" s="65"/>
      <c r="N690" s="65"/>
      <c r="O690" s="65"/>
    </row>
    <row r="691" spans="1:15" ht="15">
      <c r="A691" s="78"/>
      <c r="B691" s="65"/>
      <c r="C691" s="65"/>
      <c r="D691" s="65"/>
      <c r="E691" s="65"/>
      <c r="F691" s="65"/>
      <c r="G691" s="65"/>
      <c r="H691" s="78"/>
      <c r="I691" s="134"/>
      <c r="J691" s="78"/>
      <c r="K691" s="78"/>
      <c r="L691" s="65"/>
      <c r="M691" s="65"/>
      <c r="N691" s="65"/>
      <c r="O691" s="65"/>
    </row>
    <row r="692" spans="1:15" ht="15">
      <c r="A692" s="78"/>
      <c r="B692" s="65"/>
      <c r="C692" s="65"/>
      <c r="D692" s="65"/>
      <c r="E692" s="65"/>
      <c r="F692" s="65"/>
      <c r="G692" s="65"/>
      <c r="H692" s="78"/>
      <c r="I692" s="134"/>
      <c r="J692" s="78"/>
      <c r="K692" s="78"/>
      <c r="L692" s="65"/>
      <c r="M692" s="65"/>
      <c r="N692" s="65"/>
      <c r="O692" s="65"/>
    </row>
    <row r="693" spans="1:15" ht="15">
      <c r="A693" s="78"/>
      <c r="B693" s="65"/>
      <c r="C693" s="65"/>
      <c r="D693" s="65"/>
      <c r="E693" s="65"/>
      <c r="F693" s="65"/>
      <c r="G693" s="65"/>
      <c r="H693" s="78"/>
      <c r="I693" s="134"/>
      <c r="J693" s="78"/>
      <c r="K693" s="78"/>
      <c r="L693" s="65"/>
      <c r="M693" s="65"/>
      <c r="N693" s="65"/>
      <c r="O693" s="65"/>
    </row>
    <row r="694" spans="1:15" ht="15">
      <c r="A694" s="78"/>
      <c r="B694" s="65"/>
      <c r="C694" s="65"/>
      <c r="D694" s="65"/>
      <c r="E694" s="65"/>
      <c r="F694" s="65"/>
      <c r="G694" s="65"/>
      <c r="H694" s="78"/>
      <c r="I694" s="134"/>
      <c r="J694" s="78"/>
      <c r="K694" s="78"/>
      <c r="L694" s="65"/>
      <c r="M694" s="65"/>
      <c r="N694" s="65"/>
      <c r="O694" s="65"/>
    </row>
    <row r="695" spans="1:15" ht="15">
      <c r="A695" s="78"/>
      <c r="B695" s="65"/>
      <c r="C695" s="65"/>
      <c r="D695" s="65"/>
      <c r="E695" s="65"/>
      <c r="F695" s="65"/>
      <c r="G695" s="65"/>
      <c r="H695" s="78"/>
      <c r="I695" s="134"/>
      <c r="J695" s="78"/>
      <c r="K695" s="78"/>
      <c r="L695" s="65"/>
      <c r="M695" s="65"/>
      <c r="N695" s="65"/>
      <c r="O695" s="65"/>
    </row>
    <row r="696" spans="1:15" ht="15">
      <c r="A696" s="78"/>
      <c r="B696" s="65"/>
      <c r="C696" s="65"/>
      <c r="D696" s="65"/>
      <c r="E696" s="65"/>
      <c r="F696" s="65"/>
      <c r="G696" s="65"/>
      <c r="H696" s="78"/>
      <c r="I696" s="134"/>
      <c r="J696" s="78"/>
      <c r="K696" s="78"/>
      <c r="L696" s="65"/>
      <c r="M696" s="65"/>
      <c r="N696" s="65"/>
      <c r="O696" s="65"/>
    </row>
    <row r="697" spans="1:15" ht="15">
      <c r="A697" s="78"/>
      <c r="B697" s="65"/>
      <c r="C697" s="65"/>
      <c r="D697" s="65"/>
      <c r="E697" s="65"/>
      <c r="F697" s="65"/>
      <c r="G697" s="65"/>
      <c r="H697" s="78"/>
      <c r="I697" s="134"/>
      <c r="J697" s="78"/>
      <c r="K697" s="78"/>
      <c r="L697" s="65"/>
      <c r="M697" s="65"/>
      <c r="N697" s="65"/>
      <c r="O697" s="65"/>
    </row>
    <row r="698" spans="1:15" ht="15">
      <c r="A698" s="78"/>
      <c r="B698" s="65"/>
      <c r="C698" s="65"/>
      <c r="D698" s="65"/>
      <c r="E698" s="65"/>
      <c r="F698" s="65"/>
      <c r="G698" s="65"/>
      <c r="H698" s="78"/>
      <c r="I698" s="134"/>
      <c r="J698" s="78"/>
      <c r="K698" s="78"/>
      <c r="L698" s="65"/>
      <c r="M698" s="65"/>
      <c r="N698" s="65"/>
      <c r="O698" s="65"/>
    </row>
    <row r="699" spans="1:15" ht="15">
      <c r="A699" s="78"/>
      <c r="B699" s="65"/>
      <c r="C699" s="65"/>
      <c r="D699" s="65"/>
      <c r="E699" s="65"/>
      <c r="F699" s="65"/>
      <c r="G699" s="65"/>
      <c r="H699" s="78"/>
      <c r="I699" s="134"/>
      <c r="J699" s="78"/>
      <c r="K699" s="78"/>
      <c r="L699" s="65"/>
      <c r="M699" s="65"/>
      <c r="N699" s="65"/>
      <c r="O699" s="65"/>
    </row>
    <row r="700" spans="1:15" ht="15">
      <c r="A700" s="78"/>
      <c r="B700" s="65"/>
      <c r="C700" s="65"/>
      <c r="D700" s="65"/>
      <c r="E700" s="65"/>
      <c r="F700" s="65"/>
      <c r="G700" s="65"/>
      <c r="H700" s="78"/>
      <c r="I700" s="134"/>
      <c r="J700" s="78"/>
      <c r="K700" s="78"/>
      <c r="L700" s="65"/>
      <c r="M700" s="65"/>
      <c r="N700" s="65"/>
      <c r="O700" s="65"/>
    </row>
    <row r="701" spans="1:15" ht="15">
      <c r="A701" s="78"/>
      <c r="B701" s="65"/>
      <c r="C701" s="65"/>
      <c r="D701" s="65"/>
      <c r="E701" s="65"/>
      <c r="F701" s="65"/>
      <c r="G701" s="65"/>
      <c r="H701" s="78"/>
      <c r="I701" s="134"/>
      <c r="J701" s="78"/>
      <c r="K701" s="78"/>
      <c r="L701" s="65"/>
      <c r="M701" s="65"/>
      <c r="N701" s="65"/>
      <c r="O701" s="65"/>
    </row>
    <row r="702" spans="1:15" ht="15">
      <c r="A702" s="78"/>
      <c r="B702" s="65"/>
      <c r="C702" s="65"/>
      <c r="D702" s="65"/>
      <c r="E702" s="65"/>
      <c r="F702" s="65"/>
      <c r="G702" s="65"/>
      <c r="H702" s="78"/>
      <c r="I702" s="134"/>
      <c r="J702" s="78"/>
      <c r="K702" s="78"/>
      <c r="L702" s="65"/>
      <c r="M702" s="65"/>
      <c r="N702" s="65"/>
      <c r="O702" s="65"/>
    </row>
    <row r="703" spans="1:15" ht="15">
      <c r="A703" s="78"/>
      <c r="B703" s="65"/>
      <c r="C703" s="65"/>
      <c r="D703" s="65"/>
      <c r="E703" s="65"/>
      <c r="F703" s="65"/>
      <c r="G703" s="65"/>
      <c r="H703" s="78"/>
      <c r="I703" s="134"/>
      <c r="J703" s="78"/>
      <c r="K703" s="78"/>
      <c r="L703" s="65"/>
      <c r="M703" s="65"/>
      <c r="N703" s="65"/>
      <c r="O703" s="65"/>
    </row>
    <row r="704" spans="1:15" ht="15">
      <c r="A704" s="78"/>
      <c r="B704" s="65"/>
      <c r="C704" s="65"/>
      <c r="D704" s="65"/>
      <c r="E704" s="65"/>
      <c r="F704" s="65"/>
      <c r="G704" s="65"/>
      <c r="H704" s="78"/>
      <c r="I704" s="134"/>
      <c r="J704" s="78"/>
      <c r="K704" s="78"/>
      <c r="L704" s="65"/>
      <c r="M704" s="65"/>
      <c r="N704" s="65"/>
      <c r="O704" s="65"/>
    </row>
    <row r="705" spans="1:15" ht="15">
      <c r="A705" s="78"/>
      <c r="B705" s="65"/>
      <c r="C705" s="65"/>
      <c r="D705" s="65"/>
      <c r="E705" s="65"/>
      <c r="F705" s="65"/>
      <c r="G705" s="65"/>
      <c r="H705" s="78"/>
      <c r="I705" s="134"/>
      <c r="J705" s="78"/>
      <c r="K705" s="78"/>
      <c r="L705" s="65"/>
      <c r="M705" s="65"/>
      <c r="N705" s="65"/>
      <c r="O705" s="65"/>
    </row>
    <row r="706" spans="1:15" ht="15">
      <c r="A706" s="78"/>
      <c r="B706" s="65"/>
      <c r="C706" s="65"/>
      <c r="D706" s="65"/>
      <c r="E706" s="65"/>
      <c r="F706" s="65"/>
      <c r="G706" s="65"/>
      <c r="H706" s="78"/>
      <c r="I706" s="134"/>
      <c r="J706" s="78"/>
      <c r="K706" s="78"/>
      <c r="L706" s="65"/>
      <c r="M706" s="65"/>
      <c r="N706" s="65"/>
      <c r="O706" s="65"/>
    </row>
    <row r="707" spans="1:15" ht="15">
      <c r="A707" s="78"/>
      <c r="B707" s="65"/>
      <c r="C707" s="65"/>
      <c r="D707" s="65"/>
      <c r="E707" s="65"/>
      <c r="F707" s="65"/>
      <c r="G707" s="65"/>
      <c r="H707" s="78"/>
      <c r="I707" s="134"/>
      <c r="J707" s="78"/>
      <c r="K707" s="78"/>
      <c r="L707" s="65"/>
      <c r="M707" s="65"/>
      <c r="N707" s="65"/>
      <c r="O707" s="65"/>
    </row>
    <row r="708" spans="1:15" ht="15">
      <c r="A708" s="78"/>
      <c r="B708" s="65"/>
      <c r="C708" s="65"/>
      <c r="D708" s="65"/>
      <c r="E708" s="65"/>
      <c r="F708" s="65"/>
      <c r="G708" s="65"/>
      <c r="H708" s="78"/>
      <c r="I708" s="134"/>
      <c r="J708" s="78"/>
      <c r="K708" s="78"/>
      <c r="L708" s="65"/>
      <c r="M708" s="65"/>
      <c r="N708" s="65"/>
      <c r="O708" s="65"/>
    </row>
    <row r="709" spans="1:15" ht="15">
      <c r="A709" s="78"/>
      <c r="B709" s="65"/>
      <c r="C709" s="65"/>
      <c r="D709" s="65"/>
      <c r="E709" s="65"/>
      <c r="F709" s="65"/>
      <c r="G709" s="65"/>
      <c r="H709" s="78"/>
      <c r="I709" s="134"/>
      <c r="J709" s="78"/>
      <c r="K709" s="78"/>
      <c r="L709" s="65"/>
      <c r="M709" s="65"/>
      <c r="N709" s="65"/>
      <c r="O709" s="65"/>
    </row>
    <row r="710" spans="1:15" ht="15">
      <c r="A710" s="78"/>
      <c r="B710" s="65"/>
      <c r="C710" s="65"/>
      <c r="D710" s="65"/>
      <c r="E710" s="65"/>
      <c r="F710" s="65"/>
      <c r="G710" s="65"/>
      <c r="H710" s="78"/>
      <c r="I710" s="134"/>
      <c r="J710" s="78"/>
      <c r="K710" s="78"/>
      <c r="L710" s="65"/>
      <c r="M710" s="65"/>
      <c r="N710" s="65"/>
      <c r="O710" s="65"/>
    </row>
    <row r="711" spans="1:15" ht="15">
      <c r="A711" s="78"/>
      <c r="B711" s="65"/>
      <c r="C711" s="65"/>
      <c r="D711" s="65"/>
      <c r="E711" s="65"/>
      <c r="F711" s="65"/>
      <c r="G711" s="65"/>
      <c r="H711" s="78"/>
      <c r="I711" s="134"/>
      <c r="J711" s="78"/>
      <c r="K711" s="78"/>
      <c r="L711" s="65"/>
      <c r="M711" s="65"/>
      <c r="N711" s="65"/>
      <c r="O711" s="65"/>
    </row>
    <row r="712" spans="1:15" ht="15">
      <c r="A712" s="78"/>
      <c r="B712" s="65"/>
      <c r="C712" s="65"/>
      <c r="D712" s="65"/>
      <c r="E712" s="65"/>
      <c r="F712" s="65"/>
      <c r="G712" s="65"/>
      <c r="H712" s="78"/>
      <c r="I712" s="134"/>
      <c r="J712" s="78"/>
      <c r="K712" s="78"/>
      <c r="L712" s="65"/>
      <c r="M712" s="65"/>
      <c r="N712" s="65"/>
      <c r="O712" s="65"/>
    </row>
    <row r="713" spans="1:15" ht="15">
      <c r="A713" s="78"/>
      <c r="B713" s="65"/>
      <c r="C713" s="65"/>
      <c r="D713" s="65"/>
      <c r="E713" s="65"/>
      <c r="F713" s="65"/>
      <c r="G713" s="65"/>
      <c r="H713" s="78"/>
      <c r="I713" s="134"/>
      <c r="J713" s="78"/>
      <c r="K713" s="78"/>
      <c r="L713" s="65"/>
      <c r="M713" s="65"/>
      <c r="N713" s="65"/>
      <c r="O713" s="65"/>
    </row>
    <row r="714" spans="1:15" ht="15">
      <c r="A714" s="78"/>
      <c r="B714" s="65"/>
      <c r="C714" s="65"/>
      <c r="D714" s="65"/>
      <c r="E714" s="65"/>
      <c r="F714" s="65"/>
      <c r="G714" s="65"/>
      <c r="H714" s="78"/>
      <c r="I714" s="134"/>
      <c r="J714" s="78"/>
      <c r="K714" s="78"/>
      <c r="L714" s="65"/>
      <c r="M714" s="65"/>
      <c r="N714" s="65"/>
      <c r="O714" s="65"/>
    </row>
    <row r="715" spans="1:15" ht="15">
      <c r="A715" s="78"/>
      <c r="B715" s="65"/>
      <c r="C715" s="65"/>
      <c r="D715" s="65"/>
      <c r="E715" s="65"/>
      <c r="F715" s="65"/>
      <c r="G715" s="65"/>
      <c r="H715" s="78"/>
      <c r="I715" s="134"/>
      <c r="J715" s="78"/>
      <c r="K715" s="78"/>
      <c r="L715" s="65"/>
      <c r="M715" s="65"/>
      <c r="N715" s="65"/>
      <c r="O715" s="65"/>
    </row>
    <row r="716" spans="1:15" ht="15">
      <c r="A716" s="78"/>
      <c r="B716" s="65"/>
      <c r="C716" s="65"/>
      <c r="D716" s="65"/>
      <c r="E716" s="65"/>
      <c r="F716" s="65"/>
      <c r="G716" s="65"/>
      <c r="H716" s="78"/>
      <c r="I716" s="134"/>
      <c r="J716" s="78"/>
      <c r="K716" s="78"/>
      <c r="L716" s="65"/>
      <c r="M716" s="65"/>
      <c r="N716" s="65"/>
      <c r="O716" s="65"/>
    </row>
    <row r="717" spans="1:15" ht="15">
      <c r="A717" s="78"/>
      <c r="B717" s="65"/>
      <c r="C717" s="65"/>
      <c r="D717" s="65"/>
      <c r="E717" s="65"/>
      <c r="F717" s="65"/>
      <c r="G717" s="65"/>
      <c r="H717" s="78"/>
      <c r="I717" s="134"/>
      <c r="J717" s="78"/>
      <c r="K717" s="78"/>
      <c r="L717" s="65"/>
      <c r="M717" s="65"/>
      <c r="N717" s="65"/>
      <c r="O717" s="65"/>
    </row>
    <row r="718" spans="1:15" ht="15">
      <c r="A718" s="78"/>
      <c r="B718" s="65"/>
      <c r="C718" s="65"/>
      <c r="D718" s="65"/>
      <c r="E718" s="65"/>
      <c r="F718" s="65"/>
      <c r="G718" s="65"/>
      <c r="H718" s="78"/>
      <c r="I718" s="134"/>
      <c r="J718" s="78"/>
      <c r="K718" s="78"/>
      <c r="L718" s="65"/>
      <c r="M718" s="65"/>
      <c r="N718" s="65"/>
      <c r="O718" s="65"/>
    </row>
    <row r="719" spans="1:15" ht="15">
      <c r="A719" s="78"/>
      <c r="B719" s="65"/>
      <c r="C719" s="65"/>
      <c r="D719" s="65"/>
      <c r="E719" s="65"/>
      <c r="F719" s="65"/>
      <c r="G719" s="65"/>
      <c r="H719" s="78"/>
      <c r="I719" s="134"/>
      <c r="J719" s="78"/>
      <c r="K719" s="78"/>
      <c r="L719" s="65"/>
      <c r="M719" s="65"/>
      <c r="N719" s="65"/>
      <c r="O719" s="65"/>
    </row>
    <row r="720" spans="1:15" ht="15">
      <c r="A720" s="78"/>
      <c r="B720" s="65"/>
      <c r="C720" s="65"/>
      <c r="D720" s="65"/>
      <c r="E720" s="65"/>
      <c r="F720" s="65"/>
      <c r="G720" s="65"/>
      <c r="H720" s="78"/>
      <c r="I720" s="134"/>
      <c r="J720" s="78"/>
      <c r="K720" s="78"/>
      <c r="L720" s="65"/>
      <c r="M720" s="65"/>
      <c r="N720" s="65"/>
      <c r="O720" s="65"/>
    </row>
    <row r="721" spans="1:15" ht="15">
      <c r="A721" s="78"/>
      <c r="B721" s="65"/>
      <c r="C721" s="65"/>
      <c r="D721" s="65"/>
      <c r="E721" s="65"/>
      <c r="F721" s="65"/>
      <c r="G721" s="65"/>
      <c r="H721" s="78"/>
      <c r="I721" s="134"/>
      <c r="J721" s="78"/>
      <c r="K721" s="78"/>
      <c r="L721" s="65"/>
      <c r="M721" s="65"/>
      <c r="N721" s="65"/>
      <c r="O721" s="65"/>
    </row>
    <row r="722" spans="1:15" ht="15">
      <c r="A722" s="78"/>
      <c r="B722" s="65"/>
      <c r="C722" s="65"/>
      <c r="D722" s="65"/>
      <c r="E722" s="65"/>
      <c r="F722" s="65"/>
      <c r="G722" s="65"/>
      <c r="H722" s="78"/>
      <c r="I722" s="134"/>
      <c r="J722" s="78"/>
      <c r="K722" s="78"/>
      <c r="L722" s="65"/>
      <c r="M722" s="65"/>
      <c r="N722" s="65"/>
      <c r="O722" s="65"/>
    </row>
    <row r="723" spans="1:15" ht="15">
      <c r="A723" s="78"/>
      <c r="B723" s="65"/>
      <c r="C723" s="65"/>
      <c r="D723" s="65"/>
      <c r="E723" s="65"/>
      <c r="F723" s="65"/>
      <c r="G723" s="65"/>
      <c r="H723" s="78"/>
      <c r="I723" s="134"/>
      <c r="J723" s="78"/>
      <c r="K723" s="78"/>
      <c r="L723" s="65"/>
      <c r="M723" s="65"/>
      <c r="N723" s="65"/>
      <c r="O723" s="65"/>
    </row>
    <row r="724" spans="1:15" ht="15">
      <c r="A724" s="78"/>
      <c r="B724" s="65"/>
      <c r="C724" s="65"/>
      <c r="D724" s="65"/>
      <c r="E724" s="65"/>
      <c r="F724" s="65"/>
      <c r="G724" s="65"/>
      <c r="H724" s="78"/>
      <c r="I724" s="134"/>
      <c r="J724" s="78"/>
      <c r="K724" s="78"/>
      <c r="L724" s="65"/>
      <c r="M724" s="65"/>
      <c r="N724" s="65"/>
      <c r="O724" s="65"/>
    </row>
    <row r="725" spans="1:15" ht="15">
      <c r="A725" s="78"/>
      <c r="B725" s="65"/>
      <c r="C725" s="65"/>
      <c r="D725" s="65"/>
      <c r="E725" s="65"/>
      <c r="F725" s="65"/>
      <c r="G725" s="65"/>
      <c r="H725" s="78"/>
      <c r="I725" s="134"/>
      <c r="J725" s="78"/>
      <c r="K725" s="78"/>
      <c r="L725" s="65"/>
      <c r="M725" s="65"/>
      <c r="N725" s="65"/>
      <c r="O725" s="65"/>
    </row>
    <row r="726" spans="1:15" ht="15">
      <c r="A726" s="78"/>
      <c r="B726" s="65"/>
      <c r="C726" s="65"/>
      <c r="D726" s="65"/>
      <c r="E726" s="65"/>
      <c r="F726" s="65"/>
      <c r="G726" s="65"/>
      <c r="H726" s="78"/>
      <c r="I726" s="134"/>
      <c r="J726" s="78"/>
      <c r="K726" s="78"/>
      <c r="L726" s="65"/>
      <c r="M726" s="65"/>
      <c r="N726" s="65"/>
      <c r="O726" s="65"/>
    </row>
    <row r="727" spans="1:15" ht="15">
      <c r="A727" s="78"/>
      <c r="B727" s="65"/>
      <c r="C727" s="65"/>
      <c r="D727" s="65"/>
      <c r="E727" s="65"/>
      <c r="F727" s="65"/>
      <c r="G727" s="65"/>
      <c r="H727" s="78"/>
      <c r="I727" s="134"/>
      <c r="J727" s="78"/>
      <c r="K727" s="78"/>
      <c r="L727" s="65"/>
      <c r="M727" s="65"/>
      <c r="N727" s="65"/>
      <c r="O727" s="65"/>
    </row>
    <row r="728" spans="1:15" ht="15">
      <c r="A728" s="78"/>
      <c r="B728" s="65"/>
      <c r="C728" s="65"/>
      <c r="D728" s="65"/>
      <c r="E728" s="65"/>
      <c r="F728" s="65"/>
      <c r="G728" s="65"/>
      <c r="H728" s="78"/>
      <c r="I728" s="134"/>
      <c r="J728" s="78"/>
      <c r="K728" s="78"/>
      <c r="L728" s="65"/>
      <c r="M728" s="65"/>
      <c r="N728" s="65"/>
      <c r="O728" s="65"/>
    </row>
    <row r="729" spans="1:15" ht="15">
      <c r="A729" s="78"/>
      <c r="B729" s="65"/>
      <c r="C729" s="65"/>
      <c r="D729" s="65"/>
      <c r="E729" s="65"/>
      <c r="F729" s="65"/>
      <c r="G729" s="65"/>
      <c r="H729" s="78"/>
      <c r="I729" s="134"/>
      <c r="J729" s="78"/>
      <c r="K729" s="78"/>
      <c r="L729" s="65"/>
      <c r="M729" s="65"/>
      <c r="N729" s="65"/>
      <c r="O729" s="65"/>
    </row>
    <row r="730" spans="1:15" ht="15">
      <c r="A730" s="78"/>
      <c r="B730" s="65"/>
      <c r="C730" s="65"/>
      <c r="D730" s="65"/>
      <c r="E730" s="65"/>
      <c r="F730" s="65"/>
      <c r="G730" s="65"/>
      <c r="H730" s="78"/>
      <c r="I730" s="134"/>
      <c r="J730" s="78"/>
      <c r="K730" s="78"/>
      <c r="L730" s="65"/>
      <c r="M730" s="65"/>
      <c r="N730" s="65"/>
      <c r="O730" s="65"/>
    </row>
    <row r="731" spans="1:15" ht="15">
      <c r="A731" s="78"/>
      <c r="B731" s="65"/>
      <c r="C731" s="65"/>
      <c r="D731" s="65"/>
      <c r="E731" s="65"/>
      <c r="F731" s="65"/>
      <c r="G731" s="65"/>
      <c r="H731" s="78"/>
      <c r="I731" s="134"/>
      <c r="J731" s="78"/>
      <c r="K731" s="78"/>
      <c r="L731" s="65"/>
      <c r="M731" s="65"/>
      <c r="N731" s="65"/>
      <c r="O731" s="65"/>
    </row>
    <row r="732" spans="1:15" ht="15">
      <c r="A732" s="78"/>
      <c r="B732" s="65"/>
      <c r="C732" s="65"/>
      <c r="D732" s="65"/>
      <c r="E732" s="65"/>
      <c r="F732" s="65"/>
      <c r="G732" s="65"/>
      <c r="H732" s="78"/>
      <c r="I732" s="134"/>
      <c r="J732" s="78"/>
      <c r="K732" s="78"/>
      <c r="L732" s="65"/>
      <c r="M732" s="65"/>
      <c r="N732" s="65"/>
      <c r="O732" s="65"/>
    </row>
    <row r="733" spans="1:15" ht="15">
      <c r="A733" s="78"/>
      <c r="B733" s="65"/>
      <c r="C733" s="65"/>
      <c r="D733" s="65"/>
      <c r="E733" s="65"/>
      <c r="F733" s="65"/>
      <c r="G733" s="65"/>
      <c r="H733" s="78"/>
      <c r="I733" s="134"/>
      <c r="J733" s="78"/>
      <c r="K733" s="78"/>
      <c r="L733" s="65"/>
      <c r="M733" s="65"/>
      <c r="N733" s="65"/>
      <c r="O733" s="65"/>
    </row>
    <row r="734" spans="1:15" ht="15">
      <c r="A734" s="78"/>
      <c r="B734" s="65"/>
      <c r="C734" s="65"/>
      <c r="D734" s="65"/>
      <c r="E734" s="65"/>
      <c r="F734" s="65"/>
      <c r="G734" s="65"/>
      <c r="H734" s="78"/>
      <c r="I734" s="134"/>
      <c r="J734" s="78"/>
      <c r="K734" s="78"/>
      <c r="L734" s="65"/>
      <c r="M734" s="65"/>
      <c r="N734" s="65"/>
      <c r="O734" s="65"/>
    </row>
    <row r="735" spans="1:15" ht="15">
      <c r="A735" s="78"/>
      <c r="B735" s="65"/>
      <c r="C735" s="65"/>
      <c r="D735" s="65"/>
      <c r="E735" s="65"/>
      <c r="F735" s="65"/>
      <c r="G735" s="65"/>
      <c r="H735" s="78"/>
      <c r="I735" s="134"/>
      <c r="J735" s="78"/>
      <c r="K735" s="78"/>
      <c r="L735" s="65"/>
      <c r="M735" s="65"/>
      <c r="N735" s="65"/>
      <c r="O735" s="65"/>
    </row>
    <row r="736" spans="1:15" ht="15">
      <c r="A736" s="78"/>
      <c r="B736" s="65"/>
      <c r="C736" s="65"/>
      <c r="D736" s="65"/>
      <c r="E736" s="65"/>
      <c r="F736" s="65"/>
      <c r="G736" s="65"/>
      <c r="H736" s="78"/>
      <c r="I736" s="134"/>
      <c r="J736" s="78"/>
      <c r="K736" s="78"/>
      <c r="L736" s="65"/>
      <c r="M736" s="65"/>
      <c r="N736" s="65"/>
      <c r="O736" s="65"/>
    </row>
    <row r="737" spans="1:15" ht="15">
      <c r="A737" s="78"/>
      <c r="B737" s="65"/>
      <c r="C737" s="65"/>
      <c r="D737" s="65"/>
      <c r="E737" s="65"/>
      <c r="F737" s="65"/>
      <c r="G737" s="65"/>
      <c r="H737" s="78"/>
      <c r="I737" s="134"/>
      <c r="J737" s="78"/>
      <c r="K737" s="78"/>
      <c r="L737" s="65"/>
      <c r="M737" s="65"/>
      <c r="N737" s="65"/>
      <c r="O737" s="65"/>
    </row>
    <row r="738" spans="1:15" ht="15">
      <c r="A738" s="78"/>
      <c r="B738" s="65"/>
      <c r="C738" s="65"/>
      <c r="D738" s="65"/>
      <c r="E738" s="65"/>
      <c r="F738" s="65"/>
      <c r="G738" s="65"/>
      <c r="H738" s="78"/>
      <c r="I738" s="134"/>
      <c r="J738" s="78"/>
      <c r="K738" s="78"/>
      <c r="L738" s="65"/>
      <c r="M738" s="65"/>
      <c r="N738" s="65"/>
      <c r="O738" s="65"/>
    </row>
    <row r="739" spans="1:15" ht="15">
      <c r="A739" s="78"/>
      <c r="B739" s="65"/>
      <c r="C739" s="65"/>
      <c r="D739" s="65"/>
      <c r="E739" s="65"/>
      <c r="F739" s="65"/>
      <c r="G739" s="65"/>
      <c r="H739" s="78"/>
      <c r="I739" s="134"/>
      <c r="J739" s="78"/>
      <c r="K739" s="78"/>
      <c r="L739" s="65"/>
      <c r="M739" s="65"/>
      <c r="N739" s="65"/>
      <c r="O739" s="65"/>
    </row>
    <row r="740" spans="1:15" ht="15">
      <c r="A740" s="78"/>
      <c r="B740" s="65"/>
      <c r="C740" s="65"/>
      <c r="D740" s="65"/>
      <c r="E740" s="65"/>
      <c r="F740" s="65"/>
      <c r="G740" s="65"/>
      <c r="H740" s="78"/>
      <c r="I740" s="134"/>
      <c r="J740" s="78"/>
      <c r="K740" s="78"/>
      <c r="L740" s="65"/>
      <c r="M740" s="65"/>
      <c r="N740" s="65"/>
      <c r="O740" s="65"/>
    </row>
    <row r="741" spans="1:15" ht="15">
      <c r="A741" s="78"/>
      <c r="B741" s="65"/>
      <c r="C741" s="65"/>
      <c r="D741" s="65"/>
      <c r="E741" s="65"/>
      <c r="F741" s="65"/>
      <c r="G741" s="65"/>
      <c r="H741" s="78"/>
      <c r="I741" s="134"/>
      <c r="J741" s="78"/>
      <c r="K741" s="78"/>
      <c r="L741" s="65"/>
      <c r="M741" s="65"/>
      <c r="N741" s="65"/>
      <c r="O741" s="65"/>
    </row>
    <row r="742" spans="1:15" ht="15">
      <c r="A742" s="78"/>
      <c r="B742" s="65"/>
      <c r="C742" s="65"/>
      <c r="D742" s="65"/>
      <c r="E742" s="65"/>
      <c r="F742" s="65"/>
      <c r="G742" s="65"/>
      <c r="H742" s="78"/>
      <c r="I742" s="134"/>
      <c r="J742" s="78"/>
      <c r="K742" s="78"/>
      <c r="L742" s="65"/>
      <c r="M742" s="65"/>
      <c r="N742" s="65"/>
      <c r="O742" s="65"/>
    </row>
    <row r="743" spans="1:15" ht="15">
      <c r="A743" s="78"/>
      <c r="B743" s="65"/>
      <c r="C743" s="65"/>
      <c r="D743" s="65"/>
      <c r="E743" s="65"/>
      <c r="F743" s="65"/>
      <c r="G743" s="65"/>
      <c r="H743" s="78"/>
      <c r="I743" s="134"/>
      <c r="J743" s="78"/>
      <c r="K743" s="78"/>
      <c r="L743" s="65"/>
      <c r="M743" s="65"/>
      <c r="N743" s="65"/>
      <c r="O743" s="65"/>
    </row>
    <row r="744" spans="1:15" ht="15">
      <c r="A744" s="78"/>
      <c r="B744" s="65"/>
      <c r="C744" s="65"/>
      <c r="D744" s="65"/>
      <c r="E744" s="65"/>
      <c r="F744" s="65"/>
      <c r="G744" s="65"/>
      <c r="H744" s="78"/>
      <c r="I744" s="134"/>
      <c r="J744" s="78"/>
      <c r="K744" s="78"/>
      <c r="L744" s="65"/>
      <c r="M744" s="65"/>
      <c r="N744" s="65"/>
      <c r="O744" s="65"/>
    </row>
    <row r="745" spans="1:15" ht="15">
      <c r="A745" s="78"/>
      <c r="B745" s="65"/>
      <c r="C745" s="65"/>
      <c r="D745" s="65"/>
      <c r="E745" s="65"/>
      <c r="F745" s="65"/>
      <c r="G745" s="65"/>
      <c r="H745" s="78"/>
      <c r="I745" s="134"/>
      <c r="J745" s="78"/>
      <c r="K745" s="78"/>
      <c r="L745" s="65"/>
      <c r="M745" s="65"/>
      <c r="N745" s="65"/>
      <c r="O745" s="65"/>
    </row>
    <row r="746" spans="1:15" ht="15">
      <c r="A746" s="78"/>
      <c r="B746" s="65"/>
      <c r="C746" s="65"/>
      <c r="D746" s="65"/>
      <c r="E746" s="65"/>
      <c r="F746" s="65"/>
      <c r="G746" s="65"/>
      <c r="H746" s="78"/>
      <c r="I746" s="134"/>
      <c r="J746" s="78"/>
      <c r="K746" s="78"/>
      <c r="L746" s="65"/>
      <c r="M746" s="65"/>
      <c r="N746" s="65"/>
      <c r="O746" s="65"/>
    </row>
    <row r="747" spans="1:15" ht="15">
      <c r="A747" s="78"/>
      <c r="B747" s="65"/>
      <c r="C747" s="65"/>
      <c r="D747" s="65"/>
      <c r="E747" s="65"/>
      <c r="F747" s="65"/>
      <c r="G747" s="65"/>
      <c r="H747" s="78"/>
      <c r="I747" s="134"/>
      <c r="J747" s="78"/>
      <c r="K747" s="78"/>
      <c r="L747" s="65"/>
      <c r="M747" s="65"/>
      <c r="N747" s="65"/>
      <c r="O747" s="65"/>
    </row>
    <row r="748" spans="1:15" ht="15">
      <c r="A748" s="78"/>
      <c r="B748" s="65"/>
      <c r="C748" s="65"/>
      <c r="D748" s="65"/>
      <c r="E748" s="65"/>
      <c r="F748" s="65"/>
      <c r="G748" s="65"/>
      <c r="H748" s="78"/>
      <c r="I748" s="134"/>
      <c r="J748" s="78"/>
      <c r="K748" s="78"/>
      <c r="L748" s="65"/>
      <c r="M748" s="65"/>
      <c r="N748" s="65"/>
      <c r="O748" s="65"/>
    </row>
    <row r="749" spans="1:15" ht="15">
      <c r="A749" s="78"/>
      <c r="B749" s="65"/>
      <c r="C749" s="65"/>
      <c r="D749" s="65"/>
      <c r="E749" s="65"/>
      <c r="F749" s="65"/>
      <c r="G749" s="65"/>
      <c r="H749" s="78"/>
      <c r="I749" s="134"/>
      <c r="J749" s="78"/>
      <c r="K749" s="78"/>
      <c r="L749" s="65"/>
      <c r="M749" s="65"/>
      <c r="N749" s="65"/>
      <c r="O749" s="65"/>
    </row>
    <row r="750" spans="1:15" ht="15">
      <c r="A750" s="78"/>
      <c r="B750" s="65"/>
      <c r="C750" s="65"/>
      <c r="D750" s="65"/>
      <c r="E750" s="65"/>
      <c r="F750" s="65"/>
      <c r="G750" s="65"/>
      <c r="H750" s="78"/>
      <c r="I750" s="134"/>
      <c r="J750" s="78"/>
      <c r="K750" s="78"/>
      <c r="L750" s="65"/>
      <c r="M750" s="65"/>
      <c r="N750" s="65"/>
      <c r="O750" s="65"/>
    </row>
    <row r="751" spans="1:15" ht="15">
      <c r="A751" s="78"/>
      <c r="B751" s="65"/>
      <c r="C751" s="65"/>
      <c r="D751" s="65"/>
      <c r="E751" s="65"/>
      <c r="F751" s="65"/>
      <c r="G751" s="65"/>
      <c r="H751" s="78"/>
      <c r="I751" s="134"/>
      <c r="J751" s="78"/>
      <c r="K751" s="78"/>
      <c r="L751" s="65"/>
      <c r="M751" s="65"/>
      <c r="N751" s="65"/>
      <c r="O751" s="65"/>
    </row>
    <row r="752" spans="1:15" ht="15">
      <c r="A752" s="78"/>
      <c r="B752" s="65"/>
      <c r="C752" s="65"/>
      <c r="D752" s="65"/>
      <c r="E752" s="65"/>
      <c r="F752" s="65"/>
      <c r="G752" s="65"/>
      <c r="H752" s="78"/>
      <c r="I752" s="134"/>
      <c r="J752" s="78"/>
      <c r="K752" s="78"/>
      <c r="L752" s="65"/>
      <c r="M752" s="65"/>
      <c r="N752" s="65"/>
      <c r="O752" s="65"/>
    </row>
    <row r="753" spans="1:15" ht="15">
      <c r="A753" s="78"/>
      <c r="B753" s="65"/>
      <c r="C753" s="65"/>
      <c r="D753" s="65"/>
      <c r="E753" s="65"/>
      <c r="F753" s="65"/>
      <c r="G753" s="65"/>
      <c r="H753" s="78"/>
      <c r="I753" s="134"/>
      <c r="J753" s="78"/>
      <c r="K753" s="78"/>
      <c r="L753" s="65"/>
      <c r="M753" s="65"/>
      <c r="N753" s="65"/>
      <c r="O753" s="65"/>
    </row>
    <row r="754" spans="1:15" ht="15">
      <c r="A754" s="78"/>
      <c r="B754" s="65"/>
      <c r="C754" s="65"/>
      <c r="D754" s="65"/>
      <c r="E754" s="65"/>
      <c r="F754" s="65"/>
      <c r="G754" s="65"/>
      <c r="H754" s="78"/>
      <c r="I754" s="134"/>
      <c r="J754" s="78"/>
      <c r="K754" s="78"/>
      <c r="L754" s="65"/>
      <c r="M754" s="65"/>
      <c r="N754" s="65"/>
      <c r="O754" s="65"/>
    </row>
    <row r="755" spans="1:15" ht="15">
      <c r="A755" s="78"/>
      <c r="B755" s="65"/>
      <c r="C755" s="65"/>
      <c r="D755" s="65"/>
      <c r="E755" s="65"/>
      <c r="F755" s="65"/>
      <c r="G755" s="65"/>
      <c r="H755" s="78"/>
      <c r="I755" s="134"/>
      <c r="J755" s="78"/>
      <c r="K755" s="78"/>
      <c r="L755" s="65"/>
      <c r="M755" s="65"/>
      <c r="N755" s="65"/>
      <c r="O755" s="65"/>
    </row>
    <row r="756" spans="1:15" ht="15">
      <c r="A756" s="78"/>
      <c r="B756" s="65"/>
      <c r="C756" s="65"/>
      <c r="D756" s="65"/>
      <c r="E756" s="65"/>
      <c r="F756" s="65"/>
      <c r="G756" s="65"/>
      <c r="H756" s="78"/>
      <c r="I756" s="134"/>
      <c r="J756" s="78"/>
      <c r="K756" s="78"/>
      <c r="L756" s="65"/>
      <c r="M756" s="65"/>
      <c r="N756" s="65"/>
      <c r="O756" s="65"/>
    </row>
    <row r="757" spans="1:15" ht="15">
      <c r="A757" s="78"/>
      <c r="B757" s="65"/>
      <c r="C757" s="65"/>
      <c r="D757" s="65"/>
      <c r="E757" s="65"/>
      <c r="F757" s="65"/>
      <c r="G757" s="65"/>
      <c r="H757" s="78"/>
      <c r="I757" s="134"/>
      <c r="J757" s="78"/>
      <c r="K757" s="78"/>
      <c r="L757" s="65"/>
      <c r="M757" s="65"/>
      <c r="N757" s="65"/>
      <c r="O757" s="65"/>
    </row>
    <row r="758" spans="1:15" ht="15">
      <c r="A758" s="78"/>
      <c r="B758" s="65"/>
      <c r="C758" s="65"/>
      <c r="D758" s="65"/>
      <c r="E758" s="65"/>
      <c r="F758" s="65"/>
      <c r="G758" s="65"/>
      <c r="H758" s="78"/>
      <c r="I758" s="134"/>
      <c r="J758" s="78"/>
      <c r="K758" s="78"/>
      <c r="L758" s="65"/>
      <c r="M758" s="65"/>
      <c r="N758" s="65"/>
      <c r="O758" s="65"/>
    </row>
    <row r="759" spans="1:15" ht="15">
      <c r="A759" s="78"/>
      <c r="B759" s="65"/>
      <c r="C759" s="65"/>
      <c r="D759" s="65"/>
      <c r="E759" s="65"/>
      <c r="F759" s="65"/>
      <c r="G759" s="65"/>
      <c r="H759" s="78"/>
      <c r="I759" s="134"/>
      <c r="J759" s="78"/>
      <c r="K759" s="78"/>
      <c r="L759" s="65"/>
      <c r="M759" s="65"/>
      <c r="N759" s="65"/>
      <c r="O759" s="65"/>
    </row>
    <row r="760" spans="1:15" ht="15">
      <c r="A760" s="78"/>
      <c r="B760" s="65"/>
      <c r="C760" s="65"/>
      <c r="D760" s="65"/>
      <c r="E760" s="65"/>
      <c r="F760" s="65"/>
      <c r="G760" s="65"/>
      <c r="H760" s="78"/>
      <c r="I760" s="134"/>
      <c r="J760" s="78"/>
      <c r="K760" s="78"/>
      <c r="L760" s="65"/>
      <c r="M760" s="65"/>
      <c r="N760" s="65"/>
      <c r="O760" s="65"/>
    </row>
    <row r="761" spans="1:15" ht="15">
      <c r="A761" s="78"/>
      <c r="B761" s="65"/>
      <c r="C761" s="65"/>
      <c r="D761" s="65"/>
      <c r="E761" s="65"/>
      <c r="F761" s="65"/>
      <c r="G761" s="65"/>
      <c r="H761" s="78"/>
      <c r="I761" s="134"/>
      <c r="J761" s="78"/>
      <c r="K761" s="78"/>
      <c r="L761" s="65"/>
      <c r="M761" s="65"/>
      <c r="N761" s="65"/>
      <c r="O761" s="65"/>
    </row>
    <row r="762" spans="1:15" ht="15">
      <c r="A762" s="78"/>
      <c r="B762" s="65"/>
      <c r="C762" s="65"/>
      <c r="D762" s="65"/>
      <c r="E762" s="65"/>
      <c r="F762" s="65"/>
      <c r="G762" s="65"/>
      <c r="H762" s="78"/>
      <c r="I762" s="134"/>
      <c r="J762" s="78"/>
      <c r="K762" s="78"/>
      <c r="L762" s="65"/>
      <c r="M762" s="65"/>
      <c r="N762" s="65"/>
      <c r="O762" s="65"/>
    </row>
    <row r="763" spans="1:15" ht="15">
      <c r="A763" s="78"/>
      <c r="B763" s="65"/>
      <c r="C763" s="65"/>
      <c r="D763" s="65"/>
      <c r="E763" s="65"/>
      <c r="F763" s="65"/>
      <c r="G763" s="65"/>
      <c r="H763" s="78"/>
      <c r="I763" s="134"/>
      <c r="J763" s="78"/>
      <c r="K763" s="78"/>
      <c r="L763" s="65"/>
      <c r="M763" s="65"/>
      <c r="N763" s="65"/>
      <c r="O763" s="65"/>
    </row>
    <row r="764" spans="1:15" ht="15">
      <c r="A764" s="78"/>
      <c r="B764" s="65"/>
      <c r="C764" s="65"/>
      <c r="D764" s="65"/>
      <c r="E764" s="65"/>
      <c r="F764" s="65"/>
      <c r="G764" s="65"/>
      <c r="H764" s="78"/>
      <c r="I764" s="134"/>
      <c r="J764" s="78"/>
      <c r="K764" s="78"/>
      <c r="L764" s="65"/>
      <c r="M764" s="65"/>
      <c r="N764" s="65"/>
      <c r="O764" s="65"/>
    </row>
    <row r="765" spans="1:15" ht="15">
      <c r="A765" s="78"/>
      <c r="B765" s="65"/>
      <c r="C765" s="65"/>
      <c r="D765" s="65"/>
      <c r="E765" s="65"/>
      <c r="F765" s="65"/>
      <c r="G765" s="65"/>
      <c r="H765" s="78"/>
      <c r="I765" s="134"/>
      <c r="J765" s="78"/>
      <c r="K765" s="78"/>
      <c r="L765" s="65"/>
      <c r="M765" s="65"/>
      <c r="N765" s="65"/>
      <c r="O765" s="65"/>
    </row>
    <row r="766" spans="1:15" ht="15">
      <c r="A766" s="78"/>
      <c r="B766" s="65"/>
      <c r="C766" s="65"/>
      <c r="D766" s="65"/>
      <c r="E766" s="65"/>
      <c r="F766" s="65"/>
      <c r="G766" s="65"/>
      <c r="H766" s="78"/>
      <c r="I766" s="134"/>
      <c r="J766" s="78"/>
      <c r="K766" s="78"/>
      <c r="L766" s="65"/>
      <c r="M766" s="65"/>
      <c r="N766" s="65"/>
      <c r="O766" s="65"/>
    </row>
    <row r="767" spans="1:15" ht="15">
      <c r="A767" s="78"/>
      <c r="B767" s="65"/>
      <c r="C767" s="65"/>
      <c r="D767" s="65"/>
      <c r="E767" s="65"/>
      <c r="F767" s="65"/>
      <c r="G767" s="65"/>
      <c r="H767" s="78"/>
      <c r="I767" s="134"/>
      <c r="J767" s="78"/>
      <c r="K767" s="78"/>
      <c r="L767" s="65"/>
      <c r="M767" s="65"/>
      <c r="N767" s="65"/>
      <c r="O767" s="65"/>
    </row>
    <row r="768" spans="1:15" ht="15">
      <c r="A768" s="78"/>
      <c r="B768" s="65"/>
      <c r="C768" s="65"/>
      <c r="D768" s="65"/>
      <c r="E768" s="65"/>
      <c r="F768" s="65"/>
      <c r="G768" s="65"/>
      <c r="H768" s="78"/>
      <c r="I768" s="134"/>
      <c r="J768" s="78"/>
      <c r="K768" s="78"/>
      <c r="L768" s="65"/>
      <c r="M768" s="65"/>
      <c r="N768" s="65"/>
      <c r="O768" s="65"/>
    </row>
    <row r="769" spans="1:15" ht="15">
      <c r="A769" s="78"/>
      <c r="B769" s="65"/>
      <c r="C769" s="65"/>
      <c r="D769" s="65"/>
      <c r="E769" s="65"/>
      <c r="F769" s="65"/>
      <c r="G769" s="65"/>
      <c r="H769" s="78"/>
      <c r="I769" s="134"/>
      <c r="J769" s="78"/>
      <c r="K769" s="78"/>
      <c r="L769" s="65"/>
      <c r="M769" s="65"/>
      <c r="N769" s="65"/>
      <c r="O769" s="65"/>
    </row>
    <row r="770" spans="1:15" ht="15">
      <c r="A770" s="78"/>
      <c r="B770" s="65"/>
      <c r="C770" s="65"/>
      <c r="D770" s="65"/>
      <c r="E770" s="65"/>
      <c r="F770" s="65"/>
      <c r="G770" s="65"/>
      <c r="H770" s="78"/>
      <c r="I770" s="134"/>
      <c r="J770" s="78"/>
      <c r="K770" s="78"/>
      <c r="L770" s="65"/>
      <c r="M770" s="65"/>
      <c r="N770" s="65"/>
      <c r="O770" s="65"/>
    </row>
    <row r="771" spans="1:15" ht="15">
      <c r="A771" s="78"/>
      <c r="B771" s="65"/>
      <c r="C771" s="65"/>
      <c r="D771" s="65"/>
      <c r="E771" s="65"/>
      <c r="F771" s="65"/>
      <c r="G771" s="65"/>
      <c r="H771" s="78"/>
      <c r="I771" s="134"/>
      <c r="J771" s="78"/>
      <c r="K771" s="78"/>
      <c r="L771" s="65"/>
      <c r="M771" s="65"/>
      <c r="N771" s="65"/>
      <c r="O771" s="65"/>
    </row>
    <row r="772" spans="1:15" ht="15">
      <c r="A772" s="78"/>
      <c r="B772" s="65"/>
      <c r="C772" s="65"/>
      <c r="D772" s="65"/>
      <c r="E772" s="65"/>
      <c r="F772" s="65"/>
      <c r="G772" s="65"/>
      <c r="H772" s="78"/>
      <c r="I772" s="134"/>
      <c r="J772" s="78"/>
      <c r="K772" s="78"/>
      <c r="L772" s="65"/>
      <c r="M772" s="65"/>
      <c r="N772" s="65"/>
      <c r="O772" s="65"/>
    </row>
    <row r="773" spans="1:15" ht="15">
      <c r="A773" s="78"/>
      <c r="B773" s="65"/>
      <c r="C773" s="65"/>
      <c r="D773" s="65"/>
      <c r="E773" s="65"/>
      <c r="F773" s="65"/>
      <c r="G773" s="65"/>
      <c r="H773" s="78"/>
      <c r="I773" s="134"/>
      <c r="J773" s="78"/>
      <c r="K773" s="78"/>
      <c r="L773" s="65"/>
      <c r="M773" s="65"/>
      <c r="N773" s="65"/>
      <c r="O773" s="65"/>
    </row>
    <row r="774" spans="1:15" ht="15">
      <c r="A774" s="78"/>
      <c r="B774" s="65"/>
      <c r="C774" s="65"/>
      <c r="D774" s="65"/>
      <c r="E774" s="65"/>
      <c r="F774" s="65"/>
      <c r="G774" s="65"/>
      <c r="H774" s="78"/>
      <c r="I774" s="134"/>
      <c r="J774" s="78"/>
      <c r="K774" s="78"/>
      <c r="L774" s="65"/>
      <c r="M774" s="65"/>
      <c r="N774" s="65"/>
      <c r="O774" s="65"/>
    </row>
    <row r="775" spans="1:15" ht="15">
      <c r="A775" s="78"/>
      <c r="B775" s="65"/>
      <c r="C775" s="65"/>
      <c r="D775" s="65"/>
      <c r="E775" s="65"/>
      <c r="F775" s="65"/>
      <c r="G775" s="65"/>
      <c r="H775" s="78"/>
      <c r="I775" s="134"/>
      <c r="J775" s="78"/>
      <c r="K775" s="78"/>
      <c r="L775" s="65"/>
      <c r="M775" s="65"/>
      <c r="N775" s="65"/>
      <c r="O775" s="65"/>
    </row>
    <row r="776" spans="1:15" ht="15">
      <c r="A776" s="78"/>
      <c r="B776" s="65"/>
      <c r="C776" s="65"/>
      <c r="D776" s="65"/>
      <c r="E776" s="65"/>
      <c r="F776" s="65"/>
      <c r="G776" s="65"/>
      <c r="H776" s="78"/>
      <c r="I776" s="134"/>
      <c r="J776" s="78"/>
      <c r="K776" s="78"/>
      <c r="L776" s="65"/>
      <c r="M776" s="65"/>
      <c r="N776" s="65"/>
      <c r="O776" s="65"/>
    </row>
    <row r="777" spans="1:15" ht="15">
      <c r="A777" s="78"/>
      <c r="B777" s="65"/>
      <c r="C777" s="65"/>
      <c r="D777" s="65"/>
      <c r="E777" s="65"/>
      <c r="F777" s="65"/>
      <c r="G777" s="65"/>
      <c r="H777" s="78"/>
      <c r="I777" s="134"/>
      <c r="J777" s="78"/>
      <c r="K777" s="78"/>
      <c r="L777" s="65"/>
      <c r="M777" s="65"/>
      <c r="N777" s="65"/>
      <c r="O777" s="65"/>
    </row>
    <row r="778" spans="1:15" ht="15">
      <c r="A778" s="78"/>
      <c r="B778" s="65"/>
      <c r="C778" s="65"/>
      <c r="D778" s="65"/>
      <c r="E778" s="65"/>
      <c r="F778" s="65"/>
      <c r="G778" s="65"/>
      <c r="H778" s="78"/>
      <c r="I778" s="134"/>
      <c r="J778" s="78"/>
      <c r="K778" s="78"/>
      <c r="L778" s="65"/>
      <c r="M778" s="65"/>
      <c r="N778" s="65"/>
      <c r="O778" s="65"/>
    </row>
    <row r="779" spans="1:15" ht="15">
      <c r="A779" s="78"/>
      <c r="B779" s="65"/>
      <c r="C779" s="65"/>
      <c r="D779" s="65"/>
      <c r="E779" s="65"/>
      <c r="F779" s="65"/>
      <c r="G779" s="65"/>
      <c r="H779" s="78"/>
      <c r="I779" s="134"/>
      <c r="J779" s="78"/>
      <c r="K779" s="78"/>
      <c r="L779" s="65"/>
      <c r="M779" s="65"/>
      <c r="N779" s="65"/>
      <c r="O779" s="65"/>
    </row>
    <row r="780" spans="1:15" ht="15">
      <c r="A780" s="78"/>
      <c r="B780" s="65"/>
      <c r="C780" s="65"/>
      <c r="D780" s="65"/>
      <c r="E780" s="65"/>
      <c r="F780" s="65"/>
      <c r="G780" s="65"/>
      <c r="H780" s="78"/>
      <c r="I780" s="134"/>
      <c r="J780" s="78"/>
      <c r="K780" s="78"/>
      <c r="L780" s="65"/>
      <c r="M780" s="65"/>
      <c r="N780" s="65"/>
      <c r="O780" s="65"/>
    </row>
    <row r="781" spans="1:15" ht="15">
      <c r="A781" s="78"/>
      <c r="B781" s="65"/>
      <c r="C781" s="65"/>
      <c r="D781" s="65"/>
      <c r="E781" s="65"/>
      <c r="F781" s="65"/>
      <c r="G781" s="65"/>
      <c r="H781" s="78"/>
      <c r="I781" s="134"/>
      <c r="J781" s="78"/>
      <c r="K781" s="78"/>
      <c r="L781" s="65"/>
      <c r="M781" s="65"/>
      <c r="N781" s="65"/>
      <c r="O781" s="65"/>
    </row>
    <row r="782" spans="1:15" ht="15">
      <c r="A782" s="78"/>
      <c r="B782" s="65"/>
      <c r="C782" s="65"/>
      <c r="D782" s="65"/>
      <c r="E782" s="65"/>
      <c r="F782" s="65"/>
      <c r="G782" s="65"/>
      <c r="H782" s="78"/>
      <c r="I782" s="134"/>
      <c r="J782" s="78"/>
      <c r="K782" s="78"/>
      <c r="L782" s="65"/>
      <c r="M782" s="65"/>
      <c r="N782" s="65"/>
      <c r="O782" s="65"/>
    </row>
    <row r="783" spans="1:15" ht="15">
      <c r="A783" s="78"/>
      <c r="B783" s="65"/>
      <c r="C783" s="65"/>
      <c r="D783" s="65"/>
      <c r="E783" s="65"/>
      <c r="F783" s="65"/>
      <c r="G783" s="65"/>
      <c r="H783" s="78"/>
      <c r="I783" s="134"/>
      <c r="J783" s="78"/>
      <c r="K783" s="78"/>
      <c r="L783" s="65"/>
      <c r="M783" s="65"/>
      <c r="N783" s="65"/>
      <c r="O783" s="65"/>
    </row>
    <row r="784" spans="1:15" ht="15">
      <c r="A784" s="78"/>
      <c r="B784" s="65"/>
      <c r="C784" s="65"/>
      <c r="D784" s="65"/>
      <c r="E784" s="65"/>
      <c r="F784" s="65"/>
      <c r="G784" s="65"/>
      <c r="H784" s="78"/>
      <c r="I784" s="134"/>
      <c r="J784" s="78"/>
      <c r="K784" s="78"/>
      <c r="L784" s="65"/>
      <c r="M784" s="65"/>
      <c r="N784" s="65"/>
      <c r="O784" s="65"/>
    </row>
    <row r="785" spans="1:15" ht="15">
      <c r="A785" s="78"/>
      <c r="B785" s="65"/>
      <c r="C785" s="65"/>
      <c r="D785" s="65"/>
      <c r="E785" s="65"/>
      <c r="F785" s="65"/>
      <c r="G785" s="65"/>
      <c r="H785" s="78"/>
      <c r="I785" s="134"/>
      <c r="J785" s="78"/>
      <c r="K785" s="78"/>
      <c r="L785" s="65"/>
      <c r="M785" s="65"/>
      <c r="N785" s="65"/>
      <c r="O785" s="65"/>
    </row>
    <row r="786" spans="1:15" ht="15">
      <c r="A786" s="78"/>
      <c r="B786" s="65"/>
      <c r="C786" s="65"/>
      <c r="D786" s="65"/>
      <c r="E786" s="65"/>
      <c r="F786" s="65"/>
      <c r="G786" s="65"/>
      <c r="H786" s="78"/>
      <c r="I786" s="134"/>
      <c r="J786" s="78"/>
      <c r="K786" s="78"/>
      <c r="L786" s="65"/>
      <c r="M786" s="65"/>
      <c r="N786" s="65"/>
      <c r="O786" s="65"/>
    </row>
    <row r="787" spans="1:15" ht="15">
      <c r="A787" s="78"/>
      <c r="B787" s="65"/>
      <c r="C787" s="65"/>
      <c r="D787" s="65"/>
      <c r="E787" s="65"/>
      <c r="F787" s="65"/>
      <c r="G787" s="65"/>
      <c r="H787" s="78"/>
      <c r="I787" s="134"/>
      <c r="J787" s="78"/>
      <c r="K787" s="78"/>
      <c r="L787" s="65"/>
      <c r="M787" s="65"/>
      <c r="N787" s="65"/>
      <c r="O787" s="65"/>
    </row>
    <row r="788" spans="1:15" ht="15">
      <c r="A788" s="78"/>
      <c r="B788" s="65"/>
      <c r="C788" s="65"/>
      <c r="D788" s="65"/>
      <c r="E788" s="65"/>
      <c r="F788" s="65"/>
      <c r="G788" s="65"/>
      <c r="H788" s="78"/>
      <c r="I788" s="134"/>
      <c r="J788" s="78"/>
      <c r="K788" s="78"/>
      <c r="L788" s="65"/>
      <c r="M788" s="65"/>
      <c r="N788" s="65"/>
      <c r="O788" s="65"/>
    </row>
    <row r="789" spans="1:15" ht="15">
      <c r="A789" s="78"/>
      <c r="B789" s="65"/>
      <c r="C789" s="65"/>
      <c r="D789" s="65"/>
      <c r="E789" s="65"/>
      <c r="F789" s="65"/>
      <c r="G789" s="65"/>
      <c r="H789" s="78"/>
      <c r="I789" s="134"/>
      <c r="J789" s="78"/>
      <c r="K789" s="78"/>
      <c r="L789" s="65"/>
      <c r="M789" s="65"/>
      <c r="N789" s="65"/>
      <c r="O789" s="65"/>
    </row>
    <row r="790" spans="1:15" ht="15">
      <c r="A790" s="78"/>
      <c r="B790" s="65"/>
      <c r="C790" s="65"/>
      <c r="D790" s="65"/>
      <c r="E790" s="65"/>
      <c r="F790" s="65"/>
      <c r="G790" s="65"/>
      <c r="H790" s="78"/>
      <c r="I790" s="134"/>
      <c r="J790" s="78"/>
      <c r="K790" s="78"/>
      <c r="L790" s="65"/>
      <c r="M790" s="65"/>
      <c r="N790" s="65"/>
      <c r="O790" s="65"/>
    </row>
    <row r="791" spans="1:15" ht="15">
      <c r="A791" s="78"/>
      <c r="B791" s="65"/>
      <c r="C791" s="65"/>
      <c r="D791" s="65"/>
      <c r="E791" s="65"/>
      <c r="F791" s="65"/>
      <c r="G791" s="65"/>
      <c r="H791" s="78"/>
      <c r="I791" s="134"/>
      <c r="J791" s="78"/>
      <c r="K791" s="78"/>
      <c r="L791" s="65"/>
      <c r="M791" s="65"/>
      <c r="N791" s="65"/>
      <c r="O791" s="65"/>
    </row>
    <row r="792" spans="1:15" ht="15">
      <c r="A792" s="78"/>
      <c r="B792" s="65"/>
      <c r="C792" s="65"/>
      <c r="D792" s="65"/>
      <c r="E792" s="65"/>
      <c r="F792" s="65"/>
      <c r="G792" s="65"/>
      <c r="H792" s="78"/>
      <c r="I792" s="134"/>
      <c r="J792" s="78"/>
      <c r="K792" s="78"/>
      <c r="L792" s="65"/>
      <c r="M792" s="65"/>
      <c r="N792" s="65"/>
      <c r="O792" s="65"/>
    </row>
    <row r="793" spans="1:15" ht="15">
      <c r="A793" s="78"/>
      <c r="B793" s="65"/>
      <c r="C793" s="65"/>
      <c r="D793" s="65"/>
      <c r="E793" s="65"/>
      <c r="F793" s="65"/>
      <c r="G793" s="65"/>
      <c r="H793" s="78"/>
      <c r="I793" s="134"/>
      <c r="J793" s="78"/>
      <c r="K793" s="78"/>
      <c r="L793" s="65"/>
      <c r="M793" s="65"/>
      <c r="N793" s="65"/>
      <c r="O793" s="65"/>
    </row>
    <row r="794" spans="1:15" ht="15">
      <c r="A794" s="78"/>
      <c r="B794" s="65"/>
      <c r="C794" s="65"/>
      <c r="D794" s="65"/>
      <c r="E794" s="65"/>
      <c r="F794" s="65"/>
      <c r="G794" s="65"/>
      <c r="H794" s="78"/>
      <c r="I794" s="134"/>
      <c r="J794" s="78"/>
      <c r="K794" s="78"/>
      <c r="L794" s="65"/>
      <c r="M794" s="65"/>
      <c r="N794" s="65"/>
      <c r="O794" s="65"/>
    </row>
    <row r="795" spans="1:15" ht="15">
      <c r="A795" s="78"/>
      <c r="B795" s="65"/>
      <c r="C795" s="65"/>
      <c r="D795" s="65"/>
      <c r="E795" s="65"/>
      <c r="F795" s="65"/>
      <c r="G795" s="65"/>
      <c r="H795" s="78"/>
      <c r="I795" s="134"/>
      <c r="J795" s="78"/>
      <c r="K795" s="78"/>
      <c r="L795" s="65"/>
      <c r="M795" s="65"/>
      <c r="N795" s="65"/>
      <c r="O795" s="65"/>
    </row>
    <row r="796" spans="1:15" ht="15">
      <c r="A796" s="78"/>
      <c r="B796" s="65"/>
      <c r="C796" s="65"/>
      <c r="D796" s="65"/>
      <c r="E796" s="65"/>
      <c r="F796" s="65"/>
      <c r="G796" s="65"/>
      <c r="H796" s="78"/>
      <c r="I796" s="134"/>
      <c r="J796" s="78"/>
      <c r="K796" s="78"/>
      <c r="L796" s="65"/>
      <c r="M796" s="65"/>
      <c r="N796" s="65"/>
      <c r="O796" s="65"/>
    </row>
    <row r="797" spans="1:15" ht="15">
      <c r="A797" s="78"/>
      <c r="B797" s="65"/>
      <c r="C797" s="65"/>
      <c r="D797" s="65"/>
      <c r="E797" s="65"/>
      <c r="F797" s="65"/>
      <c r="G797" s="65"/>
      <c r="H797" s="78"/>
      <c r="I797" s="134"/>
      <c r="J797" s="78"/>
      <c r="K797" s="78"/>
      <c r="L797" s="65"/>
      <c r="M797" s="65"/>
      <c r="N797" s="65"/>
      <c r="O797" s="65"/>
    </row>
    <row r="798" spans="1:15" ht="15">
      <c r="A798" s="78"/>
      <c r="B798" s="65"/>
      <c r="C798" s="65"/>
      <c r="D798" s="65"/>
      <c r="E798" s="65"/>
      <c r="F798" s="65"/>
      <c r="G798" s="65"/>
      <c r="H798" s="78"/>
      <c r="I798" s="134"/>
      <c r="J798" s="78"/>
      <c r="K798" s="78"/>
      <c r="L798" s="65"/>
      <c r="M798" s="65"/>
      <c r="N798" s="65"/>
      <c r="O798" s="65"/>
    </row>
    <row r="799" spans="1:15" ht="15">
      <c r="A799" s="78"/>
      <c r="B799" s="65"/>
      <c r="C799" s="65"/>
      <c r="D799" s="65"/>
      <c r="E799" s="65"/>
      <c r="F799" s="65"/>
      <c r="G799" s="65"/>
      <c r="H799" s="78"/>
      <c r="I799" s="134"/>
      <c r="J799" s="78"/>
      <c r="K799" s="78"/>
      <c r="L799" s="65"/>
      <c r="M799" s="65"/>
      <c r="N799" s="65"/>
      <c r="O799" s="65"/>
    </row>
    <row r="800" spans="1:15" ht="15">
      <c r="A800" s="78"/>
      <c r="B800" s="65"/>
      <c r="C800" s="65"/>
      <c r="D800" s="65"/>
      <c r="E800" s="65"/>
      <c r="F800" s="65"/>
      <c r="G800" s="65"/>
      <c r="H800" s="78"/>
      <c r="I800" s="134"/>
      <c r="J800" s="78"/>
      <c r="K800" s="78"/>
      <c r="L800" s="65"/>
      <c r="M800" s="65"/>
      <c r="N800" s="65"/>
      <c r="O800" s="65"/>
    </row>
    <row r="801" spans="1:15" ht="15">
      <c r="A801" s="78"/>
      <c r="B801" s="65"/>
      <c r="C801" s="65"/>
      <c r="D801" s="65"/>
      <c r="E801" s="65"/>
      <c r="F801" s="65"/>
      <c r="G801" s="65"/>
      <c r="H801" s="78"/>
      <c r="I801" s="134"/>
      <c r="J801" s="78"/>
      <c r="K801" s="78"/>
      <c r="L801" s="65"/>
      <c r="M801" s="65"/>
      <c r="N801" s="65"/>
      <c r="O801" s="65"/>
    </row>
    <row r="802" spans="1:15" ht="15">
      <c r="A802" s="78"/>
      <c r="B802" s="65"/>
      <c r="C802" s="65"/>
      <c r="D802" s="65"/>
      <c r="E802" s="65"/>
      <c r="F802" s="65"/>
      <c r="G802" s="65"/>
      <c r="H802" s="78"/>
      <c r="I802" s="134"/>
      <c r="J802" s="78"/>
      <c r="K802" s="78"/>
      <c r="L802" s="65"/>
      <c r="M802" s="65"/>
      <c r="N802" s="65"/>
      <c r="O802" s="65"/>
    </row>
    <row r="803" spans="1:15" ht="15">
      <c r="A803" s="78"/>
      <c r="B803" s="65"/>
      <c r="C803" s="65"/>
      <c r="D803" s="65"/>
      <c r="E803" s="65"/>
      <c r="F803" s="65"/>
      <c r="G803" s="65"/>
      <c r="H803" s="78"/>
      <c r="I803" s="134"/>
      <c r="J803" s="78"/>
      <c r="K803" s="78"/>
      <c r="L803" s="65"/>
      <c r="M803" s="65"/>
      <c r="N803" s="65"/>
      <c r="O803" s="65"/>
    </row>
    <row r="804" spans="1:15" ht="15">
      <c r="A804" s="78"/>
      <c r="B804" s="65"/>
      <c r="C804" s="65"/>
      <c r="D804" s="65"/>
      <c r="E804" s="65"/>
      <c r="F804" s="65"/>
      <c r="G804" s="65"/>
      <c r="H804" s="78"/>
      <c r="I804" s="134"/>
      <c r="J804" s="78"/>
      <c r="K804" s="78"/>
      <c r="L804" s="65"/>
      <c r="M804" s="65"/>
      <c r="N804" s="65"/>
      <c r="O804" s="65"/>
    </row>
    <row r="805" spans="1:15" ht="15">
      <c r="A805" s="78"/>
      <c r="B805" s="65"/>
      <c r="C805" s="65"/>
      <c r="D805" s="65"/>
      <c r="E805" s="65"/>
      <c r="F805" s="65"/>
      <c r="G805" s="65"/>
      <c r="H805" s="78"/>
      <c r="I805" s="134"/>
      <c r="J805" s="78"/>
      <c r="K805" s="78"/>
      <c r="L805" s="65"/>
      <c r="M805" s="65"/>
      <c r="N805" s="65"/>
      <c r="O805" s="65"/>
    </row>
    <row r="806" spans="1:15" ht="15">
      <c r="A806" s="78"/>
      <c r="B806" s="65"/>
      <c r="C806" s="65"/>
      <c r="D806" s="65"/>
      <c r="E806" s="65"/>
      <c r="F806" s="65"/>
      <c r="G806" s="65"/>
      <c r="H806" s="78"/>
      <c r="I806" s="134"/>
      <c r="J806" s="78"/>
      <c r="K806" s="78"/>
      <c r="L806" s="65"/>
      <c r="M806" s="65"/>
      <c r="N806" s="65"/>
      <c r="O806" s="65"/>
    </row>
    <row r="807" spans="1:15" ht="15">
      <c r="A807" s="78"/>
      <c r="B807" s="65"/>
      <c r="C807" s="65"/>
      <c r="D807" s="65"/>
      <c r="E807" s="65"/>
      <c r="F807" s="65"/>
      <c r="G807" s="65"/>
      <c r="H807" s="78"/>
      <c r="I807" s="134"/>
      <c r="J807" s="78"/>
      <c r="K807" s="78"/>
      <c r="L807" s="65"/>
      <c r="M807" s="65"/>
      <c r="N807" s="65"/>
      <c r="O807" s="65"/>
    </row>
    <row r="808" spans="1:15" ht="15">
      <c r="A808" s="78"/>
      <c r="B808" s="65"/>
      <c r="C808" s="65"/>
      <c r="D808" s="65"/>
      <c r="E808" s="65"/>
      <c r="F808" s="65"/>
      <c r="G808" s="65"/>
      <c r="H808" s="78"/>
      <c r="I808" s="134"/>
      <c r="J808" s="78"/>
      <c r="K808" s="78"/>
      <c r="L808" s="65"/>
      <c r="M808" s="65"/>
      <c r="N808" s="65"/>
      <c r="O808" s="65"/>
    </row>
    <row r="809" spans="1:15" ht="15">
      <c r="A809" s="78"/>
      <c r="B809" s="65"/>
      <c r="C809" s="65"/>
      <c r="D809" s="65"/>
      <c r="E809" s="65"/>
      <c r="F809" s="65"/>
      <c r="G809" s="65"/>
      <c r="H809" s="78"/>
      <c r="I809" s="134"/>
      <c r="J809" s="78"/>
      <c r="K809" s="78"/>
      <c r="L809" s="65"/>
      <c r="M809" s="65"/>
      <c r="N809" s="65"/>
      <c r="O809" s="65"/>
    </row>
    <row r="810" spans="1:15" ht="15">
      <c r="A810" s="78"/>
      <c r="B810" s="65"/>
      <c r="C810" s="65"/>
      <c r="D810" s="65"/>
      <c r="E810" s="65"/>
      <c r="F810" s="65"/>
      <c r="G810" s="65"/>
      <c r="H810" s="78"/>
      <c r="I810" s="134"/>
      <c r="J810" s="78"/>
      <c r="K810" s="78"/>
      <c r="L810" s="65"/>
      <c r="M810" s="65"/>
      <c r="N810" s="65"/>
      <c r="O810" s="65"/>
    </row>
    <row r="811" spans="1:15" ht="15">
      <c r="A811" s="78"/>
      <c r="B811" s="65"/>
      <c r="C811" s="65"/>
      <c r="D811" s="65"/>
      <c r="E811" s="65"/>
      <c r="F811" s="65"/>
      <c r="G811" s="65"/>
      <c r="H811" s="78"/>
      <c r="I811" s="134"/>
      <c r="J811" s="78"/>
      <c r="K811" s="78"/>
      <c r="L811" s="65"/>
      <c r="M811" s="65"/>
      <c r="N811" s="65"/>
      <c r="O811" s="65"/>
    </row>
    <row r="812" spans="1:15" ht="15">
      <c r="A812" s="78"/>
      <c r="B812" s="65"/>
      <c r="C812" s="65"/>
      <c r="D812" s="65"/>
      <c r="E812" s="65"/>
      <c r="F812" s="65"/>
      <c r="G812" s="65"/>
      <c r="H812" s="78"/>
      <c r="I812" s="134"/>
      <c r="J812" s="78"/>
      <c r="K812" s="78"/>
      <c r="L812" s="65"/>
      <c r="M812" s="65"/>
      <c r="N812" s="65"/>
      <c r="O812" s="65"/>
    </row>
    <row r="813" spans="1:15" ht="15">
      <c r="A813" s="78"/>
      <c r="B813" s="65"/>
      <c r="C813" s="65"/>
      <c r="D813" s="65"/>
      <c r="E813" s="65"/>
      <c r="F813" s="65"/>
      <c r="G813" s="65"/>
      <c r="H813" s="78"/>
      <c r="I813" s="134"/>
      <c r="J813" s="78"/>
      <c r="K813" s="78"/>
      <c r="L813" s="65"/>
      <c r="M813" s="65"/>
      <c r="N813" s="65"/>
      <c r="O813" s="65"/>
    </row>
    <row r="814" spans="1:15" ht="15">
      <c r="A814" s="78"/>
      <c r="B814" s="65"/>
      <c r="C814" s="65"/>
      <c r="D814" s="65"/>
      <c r="E814" s="65"/>
      <c r="F814" s="65"/>
      <c r="G814" s="65"/>
      <c r="H814" s="78"/>
      <c r="I814" s="134"/>
      <c r="J814" s="78"/>
      <c r="K814" s="78"/>
      <c r="L814" s="65"/>
      <c r="M814" s="65"/>
      <c r="N814" s="65"/>
      <c r="O814" s="65"/>
    </row>
    <row r="815" spans="1:15" ht="15">
      <c r="A815" s="78"/>
      <c r="B815" s="65"/>
      <c r="C815" s="65"/>
      <c r="D815" s="65"/>
      <c r="E815" s="65"/>
      <c r="F815" s="65"/>
      <c r="G815" s="65"/>
      <c r="H815" s="78"/>
      <c r="I815" s="134"/>
      <c r="J815" s="78"/>
      <c r="K815" s="78"/>
      <c r="L815" s="65"/>
      <c r="M815" s="65"/>
      <c r="N815" s="65"/>
      <c r="O815" s="65"/>
    </row>
    <row r="816" spans="1:15" ht="15">
      <c r="A816" s="78"/>
      <c r="B816" s="65"/>
      <c r="C816" s="65"/>
      <c r="D816" s="65"/>
      <c r="E816" s="65"/>
      <c r="F816" s="65"/>
      <c r="G816" s="65"/>
      <c r="H816" s="78"/>
      <c r="I816" s="134"/>
      <c r="J816" s="78"/>
      <c r="K816" s="78"/>
      <c r="L816" s="65"/>
      <c r="M816" s="65"/>
      <c r="N816" s="65"/>
      <c r="O816" s="65"/>
    </row>
    <row r="817" spans="1:15" ht="15">
      <c r="A817" s="78"/>
      <c r="B817" s="65"/>
      <c r="C817" s="65"/>
      <c r="D817" s="65"/>
      <c r="E817" s="65"/>
      <c r="F817" s="65"/>
      <c r="G817" s="65"/>
      <c r="H817" s="78"/>
      <c r="I817" s="134"/>
      <c r="J817" s="78"/>
      <c r="K817" s="78"/>
      <c r="L817" s="65"/>
      <c r="M817" s="65"/>
      <c r="N817" s="65"/>
      <c r="O817" s="65"/>
    </row>
    <row r="818" spans="1:15" ht="15">
      <c r="A818" s="78"/>
      <c r="B818" s="65"/>
      <c r="C818" s="65"/>
      <c r="D818" s="65"/>
      <c r="E818" s="65"/>
      <c r="F818" s="65"/>
      <c r="G818" s="65"/>
      <c r="H818" s="78"/>
      <c r="I818" s="134"/>
      <c r="J818" s="78"/>
      <c r="K818" s="78"/>
      <c r="L818" s="65"/>
      <c r="M818" s="65"/>
      <c r="N818" s="65"/>
      <c r="O818" s="65"/>
    </row>
    <row r="819" spans="1:15" ht="15">
      <c r="A819" s="78"/>
      <c r="B819" s="65"/>
      <c r="C819" s="65"/>
      <c r="D819" s="65"/>
      <c r="E819" s="65"/>
      <c r="F819" s="65"/>
      <c r="G819" s="65"/>
      <c r="H819" s="78"/>
      <c r="I819" s="134"/>
      <c r="J819" s="78"/>
      <c r="K819" s="78"/>
      <c r="L819" s="65"/>
      <c r="M819" s="65"/>
      <c r="N819" s="65"/>
      <c r="O819" s="65"/>
    </row>
    <row r="820" spans="1:15" ht="15">
      <c r="A820" s="78"/>
      <c r="B820" s="65"/>
      <c r="C820" s="65"/>
      <c r="D820" s="65"/>
      <c r="E820" s="65"/>
      <c r="F820" s="65"/>
      <c r="G820" s="65"/>
      <c r="H820" s="78"/>
      <c r="I820" s="134"/>
      <c r="J820" s="78"/>
      <c r="K820" s="78"/>
      <c r="L820" s="65"/>
      <c r="M820" s="65"/>
      <c r="N820" s="65"/>
      <c r="O820" s="65"/>
    </row>
    <row r="821" spans="1:15" ht="15">
      <c r="A821" s="78"/>
      <c r="B821" s="65"/>
      <c r="C821" s="65"/>
      <c r="D821" s="65"/>
      <c r="E821" s="65"/>
      <c r="F821" s="65"/>
      <c r="G821" s="65"/>
      <c r="H821" s="78"/>
      <c r="I821" s="134"/>
      <c r="J821" s="78"/>
      <c r="K821" s="78"/>
      <c r="L821" s="65"/>
      <c r="M821" s="65"/>
      <c r="N821" s="65"/>
      <c r="O821" s="65"/>
    </row>
    <row r="822" spans="1:15" ht="15">
      <c r="A822" s="78"/>
      <c r="B822" s="65"/>
      <c r="C822" s="65"/>
      <c r="D822" s="65"/>
      <c r="E822" s="65"/>
      <c r="F822" s="65"/>
      <c r="G822" s="65"/>
      <c r="H822" s="78"/>
      <c r="I822" s="134"/>
      <c r="J822" s="78"/>
      <c r="K822" s="78"/>
      <c r="L822" s="65"/>
      <c r="M822" s="65"/>
      <c r="N822" s="65"/>
      <c r="O822" s="65"/>
    </row>
    <row r="823" spans="1:15" ht="15">
      <c r="A823" s="78"/>
      <c r="B823" s="65"/>
      <c r="C823" s="65"/>
      <c r="D823" s="65"/>
      <c r="E823" s="65"/>
      <c r="F823" s="65"/>
      <c r="G823" s="65"/>
      <c r="H823" s="78"/>
      <c r="I823" s="134"/>
      <c r="J823" s="78"/>
      <c r="K823" s="78"/>
      <c r="L823" s="65"/>
      <c r="M823" s="65"/>
      <c r="N823" s="65"/>
      <c r="O823" s="65"/>
    </row>
    <row r="824" spans="1:15" ht="15">
      <c r="A824" s="78"/>
      <c r="B824" s="65"/>
      <c r="C824" s="65"/>
      <c r="D824" s="65"/>
      <c r="E824" s="65"/>
      <c r="F824" s="65"/>
      <c r="G824" s="65"/>
      <c r="H824" s="78"/>
      <c r="I824" s="134"/>
      <c r="J824" s="78"/>
      <c r="K824" s="78"/>
      <c r="L824" s="65"/>
      <c r="M824" s="65"/>
      <c r="N824" s="65"/>
      <c r="O824" s="65"/>
    </row>
    <row r="825" spans="1:15" ht="15">
      <c r="A825" s="78"/>
      <c r="B825" s="65"/>
      <c r="C825" s="65"/>
      <c r="D825" s="65"/>
      <c r="E825" s="65"/>
      <c r="F825" s="65"/>
      <c r="G825" s="65"/>
      <c r="H825" s="78"/>
      <c r="I825" s="134"/>
      <c r="J825" s="78"/>
      <c r="K825" s="78"/>
      <c r="L825" s="65"/>
      <c r="M825" s="65"/>
      <c r="N825" s="65"/>
      <c r="O825" s="65"/>
    </row>
    <row r="826" spans="1:15" ht="15">
      <c r="A826" s="78"/>
      <c r="B826" s="65"/>
      <c r="C826" s="65"/>
      <c r="D826" s="65"/>
      <c r="E826" s="65"/>
      <c r="F826" s="65"/>
      <c r="G826" s="65"/>
      <c r="H826" s="78"/>
      <c r="I826" s="134"/>
      <c r="J826" s="78"/>
      <c r="K826" s="78"/>
      <c r="L826" s="65"/>
      <c r="M826" s="65"/>
      <c r="N826" s="65"/>
      <c r="O826" s="65"/>
    </row>
    <row r="827" spans="1:15" ht="15">
      <c r="A827" s="78"/>
      <c r="B827" s="65"/>
      <c r="C827" s="65"/>
      <c r="D827" s="65"/>
      <c r="E827" s="65"/>
      <c r="F827" s="65"/>
      <c r="G827" s="65"/>
      <c r="H827" s="78"/>
      <c r="I827" s="134"/>
      <c r="J827" s="78"/>
      <c r="K827" s="78"/>
      <c r="L827" s="65"/>
      <c r="M827" s="65"/>
      <c r="N827" s="65"/>
      <c r="O827" s="65"/>
    </row>
    <row r="828" spans="1:15" ht="15">
      <c r="A828" s="78"/>
      <c r="B828" s="65"/>
      <c r="C828" s="65"/>
      <c r="D828" s="65"/>
      <c r="E828" s="65"/>
      <c r="F828" s="65"/>
      <c r="G828" s="65"/>
      <c r="H828" s="78"/>
      <c r="I828" s="134"/>
      <c r="J828" s="78"/>
      <c r="K828" s="78"/>
      <c r="L828" s="65"/>
      <c r="M828" s="65"/>
      <c r="N828" s="65"/>
      <c r="O828" s="65"/>
    </row>
    <row r="829" spans="1:15" ht="15">
      <c r="A829" s="78"/>
      <c r="B829" s="65"/>
      <c r="C829" s="65"/>
      <c r="D829" s="65"/>
      <c r="E829" s="65"/>
      <c r="F829" s="65"/>
      <c r="G829" s="65"/>
      <c r="H829" s="78"/>
      <c r="I829" s="134"/>
      <c r="J829" s="78"/>
      <c r="K829" s="78"/>
      <c r="L829" s="65"/>
      <c r="M829" s="65"/>
      <c r="N829" s="65"/>
      <c r="O829" s="65"/>
    </row>
    <row r="830" spans="1:15" ht="15">
      <c r="A830" s="78"/>
      <c r="B830" s="65"/>
      <c r="C830" s="65"/>
      <c r="D830" s="65"/>
      <c r="E830" s="65"/>
      <c r="F830" s="65"/>
      <c r="G830" s="65"/>
      <c r="H830" s="78"/>
      <c r="I830" s="134"/>
      <c r="J830" s="78"/>
      <c r="K830" s="78"/>
      <c r="L830" s="65"/>
      <c r="M830" s="65"/>
      <c r="N830" s="65"/>
      <c r="O830" s="65"/>
    </row>
    <row r="831" spans="1:15" ht="15">
      <c r="A831" s="78"/>
      <c r="B831" s="65"/>
      <c r="C831" s="65"/>
      <c r="D831" s="65"/>
      <c r="E831" s="65"/>
      <c r="F831" s="65"/>
      <c r="G831" s="65"/>
      <c r="H831" s="78"/>
      <c r="I831" s="134"/>
      <c r="J831" s="78"/>
      <c r="K831" s="78"/>
      <c r="L831" s="65"/>
      <c r="M831" s="65"/>
      <c r="N831" s="65"/>
      <c r="O831" s="65"/>
    </row>
    <row r="832" spans="1:15" ht="15">
      <c r="A832" s="78"/>
      <c r="B832" s="65"/>
      <c r="C832" s="65"/>
      <c r="D832" s="65"/>
      <c r="E832" s="65"/>
      <c r="F832" s="65"/>
      <c r="G832" s="65"/>
      <c r="H832" s="78"/>
      <c r="I832" s="134"/>
      <c r="J832" s="78"/>
      <c r="K832" s="78"/>
      <c r="L832" s="65"/>
      <c r="M832" s="65"/>
      <c r="N832" s="65"/>
      <c r="O832" s="65"/>
    </row>
    <row r="833" spans="1:15" ht="15">
      <c r="A833" s="78"/>
      <c r="B833" s="65"/>
      <c r="C833" s="65"/>
      <c r="D833" s="65"/>
      <c r="E833" s="65"/>
      <c r="F833" s="65"/>
      <c r="G833" s="65"/>
      <c r="H833" s="78"/>
      <c r="I833" s="134"/>
      <c r="J833" s="78"/>
      <c r="K833" s="78"/>
      <c r="L833" s="65"/>
      <c r="M833" s="65"/>
      <c r="N833" s="65"/>
      <c r="O833" s="65"/>
    </row>
    <row r="834" spans="1:15" ht="15">
      <c r="A834" s="78"/>
      <c r="B834" s="65"/>
      <c r="C834" s="65"/>
      <c r="D834" s="65"/>
      <c r="E834" s="65"/>
      <c r="F834" s="65"/>
      <c r="G834" s="65"/>
      <c r="H834" s="78"/>
      <c r="I834" s="134"/>
      <c r="J834" s="78"/>
      <c r="K834" s="78"/>
      <c r="L834" s="65"/>
      <c r="M834" s="65"/>
      <c r="N834" s="65"/>
      <c r="O834" s="65"/>
    </row>
    <row r="835" spans="1:15" ht="15">
      <c r="A835" s="78"/>
      <c r="B835" s="65"/>
      <c r="C835" s="65"/>
      <c r="D835" s="65"/>
      <c r="E835" s="65"/>
      <c r="F835" s="65"/>
      <c r="G835" s="65"/>
      <c r="H835" s="78"/>
      <c r="I835" s="134"/>
      <c r="J835" s="78"/>
      <c r="K835" s="78"/>
      <c r="L835" s="65"/>
      <c r="M835" s="65"/>
      <c r="N835" s="65"/>
      <c r="O835" s="65"/>
    </row>
    <row r="836" spans="1:15" ht="15">
      <c r="A836" s="78"/>
      <c r="B836" s="65"/>
      <c r="C836" s="65"/>
      <c r="D836" s="65"/>
      <c r="E836" s="65"/>
      <c r="F836" s="65"/>
      <c r="G836" s="65"/>
      <c r="H836" s="78"/>
      <c r="I836" s="134"/>
      <c r="J836" s="78"/>
      <c r="K836" s="78"/>
      <c r="L836" s="65"/>
      <c r="M836" s="65"/>
      <c r="N836" s="65"/>
      <c r="O836" s="65"/>
    </row>
    <row r="837" spans="1:15" ht="15">
      <c r="A837" s="78"/>
      <c r="B837" s="65"/>
      <c r="C837" s="65"/>
      <c r="D837" s="65"/>
      <c r="E837" s="65"/>
      <c r="F837" s="65"/>
      <c r="G837" s="65"/>
      <c r="H837" s="78"/>
      <c r="I837" s="134"/>
      <c r="J837" s="78"/>
      <c r="K837" s="78"/>
      <c r="L837" s="65"/>
      <c r="M837" s="65"/>
      <c r="N837" s="65"/>
      <c r="O837" s="65"/>
    </row>
    <row r="838" spans="1:15" ht="15">
      <c r="A838" s="78"/>
      <c r="B838" s="65"/>
      <c r="C838" s="65"/>
      <c r="D838" s="65"/>
      <c r="E838" s="65"/>
      <c r="F838" s="65"/>
      <c r="G838" s="65"/>
      <c r="H838" s="78"/>
      <c r="I838" s="134"/>
      <c r="J838" s="78"/>
      <c r="K838" s="78"/>
      <c r="L838" s="65"/>
      <c r="M838" s="65"/>
      <c r="N838" s="65"/>
      <c r="O838" s="65"/>
    </row>
    <row r="839" spans="1:15" ht="15">
      <c r="A839" s="78"/>
      <c r="B839" s="65"/>
      <c r="C839" s="65"/>
      <c r="D839" s="65"/>
      <c r="E839" s="65"/>
      <c r="F839" s="65"/>
      <c r="G839" s="65"/>
      <c r="H839" s="78"/>
      <c r="I839" s="134"/>
      <c r="J839" s="78"/>
      <c r="K839" s="78"/>
      <c r="L839" s="65"/>
      <c r="M839" s="65"/>
      <c r="N839" s="65"/>
      <c r="O839" s="65"/>
    </row>
    <row r="840" spans="1:15" ht="15">
      <c r="A840" s="78"/>
      <c r="B840" s="65"/>
      <c r="C840" s="65"/>
      <c r="D840" s="65"/>
      <c r="E840" s="65"/>
      <c r="F840" s="65"/>
      <c r="G840" s="65"/>
      <c r="H840" s="78"/>
      <c r="I840" s="134"/>
      <c r="J840" s="78"/>
      <c r="K840" s="78"/>
      <c r="L840" s="65"/>
      <c r="M840" s="65"/>
      <c r="N840" s="65"/>
      <c r="O840" s="65"/>
    </row>
    <row r="841" spans="1:15" ht="15">
      <c r="A841" s="78"/>
      <c r="B841" s="65"/>
      <c r="C841" s="65"/>
      <c r="D841" s="65"/>
      <c r="E841" s="65"/>
      <c r="F841" s="65"/>
      <c r="G841" s="65"/>
      <c r="H841" s="78"/>
      <c r="I841" s="134"/>
      <c r="J841" s="78"/>
      <c r="K841" s="78"/>
      <c r="L841" s="65"/>
      <c r="M841" s="65"/>
      <c r="N841" s="65"/>
      <c r="O841" s="65"/>
    </row>
    <row r="842" spans="1:15" ht="15">
      <c r="A842" s="78"/>
      <c r="B842" s="65"/>
      <c r="C842" s="65"/>
      <c r="D842" s="65"/>
      <c r="E842" s="65"/>
      <c r="F842" s="65"/>
      <c r="G842" s="65"/>
      <c r="H842" s="78"/>
      <c r="I842" s="134"/>
      <c r="J842" s="78"/>
      <c r="K842" s="78"/>
      <c r="L842" s="65"/>
      <c r="M842" s="65"/>
      <c r="N842" s="65"/>
      <c r="O842" s="65"/>
    </row>
    <row r="843" spans="1:15" ht="15">
      <c r="A843" s="78"/>
      <c r="B843" s="65"/>
      <c r="C843" s="65"/>
      <c r="D843" s="65"/>
      <c r="E843" s="65"/>
      <c r="F843" s="65"/>
      <c r="G843" s="65"/>
      <c r="H843" s="78"/>
      <c r="I843" s="134"/>
      <c r="J843" s="78"/>
      <c r="K843" s="78"/>
      <c r="L843" s="65"/>
      <c r="M843" s="65"/>
      <c r="N843" s="65"/>
      <c r="O843" s="65"/>
    </row>
    <row r="844" spans="1:15" ht="15">
      <c r="A844" s="78"/>
      <c r="B844" s="65"/>
      <c r="C844" s="65"/>
      <c r="D844" s="65"/>
      <c r="E844" s="65"/>
      <c r="F844" s="65"/>
      <c r="G844" s="65"/>
      <c r="H844" s="78"/>
      <c r="I844" s="134"/>
      <c r="J844" s="78"/>
      <c r="K844" s="78"/>
      <c r="L844" s="65"/>
      <c r="M844" s="65"/>
      <c r="N844" s="65"/>
      <c r="O844" s="65"/>
    </row>
    <row r="845" spans="1:15" ht="15">
      <c r="A845" s="78"/>
      <c r="B845" s="65"/>
      <c r="C845" s="65"/>
      <c r="D845" s="65"/>
      <c r="E845" s="65"/>
      <c r="F845" s="65"/>
      <c r="G845" s="65"/>
      <c r="H845" s="78"/>
      <c r="I845" s="134"/>
      <c r="J845" s="78"/>
      <c r="K845" s="78"/>
      <c r="L845" s="65"/>
      <c r="M845" s="65"/>
      <c r="N845" s="65"/>
      <c r="O845" s="65"/>
    </row>
    <row r="846" spans="1:15" ht="15">
      <c r="A846" s="78"/>
      <c r="B846" s="65"/>
      <c r="C846" s="65"/>
      <c r="D846" s="65"/>
      <c r="E846" s="65"/>
      <c r="F846" s="65"/>
      <c r="G846" s="65"/>
      <c r="H846" s="78"/>
      <c r="I846" s="134"/>
      <c r="J846" s="78"/>
      <c r="K846" s="78"/>
      <c r="L846" s="65"/>
      <c r="M846" s="65"/>
      <c r="N846" s="65"/>
      <c r="O846" s="65"/>
    </row>
    <row r="847" spans="1:15" ht="15">
      <c r="A847" s="78"/>
      <c r="B847" s="65"/>
      <c r="C847" s="65"/>
      <c r="D847" s="65"/>
      <c r="E847" s="65"/>
      <c r="F847" s="65"/>
      <c r="G847" s="65"/>
      <c r="H847" s="78"/>
      <c r="I847" s="134"/>
      <c r="J847" s="78"/>
      <c r="K847" s="78"/>
      <c r="L847" s="65"/>
      <c r="M847" s="65"/>
      <c r="N847" s="65"/>
      <c r="O847" s="65"/>
    </row>
    <row r="848" spans="1:15" ht="15">
      <c r="A848" s="78"/>
      <c r="B848" s="65"/>
      <c r="C848" s="65"/>
      <c r="D848" s="65"/>
      <c r="E848" s="65"/>
      <c r="F848" s="65"/>
      <c r="G848" s="65"/>
      <c r="H848" s="78"/>
      <c r="I848" s="134"/>
      <c r="J848" s="78"/>
      <c r="K848" s="78"/>
      <c r="L848" s="65"/>
      <c r="M848" s="65"/>
      <c r="N848" s="65"/>
      <c r="O848" s="65"/>
    </row>
    <row r="849" spans="1:15" ht="15">
      <c r="A849" s="78"/>
      <c r="B849" s="65"/>
      <c r="C849" s="65"/>
      <c r="D849" s="65"/>
      <c r="E849" s="65"/>
      <c r="F849" s="65"/>
      <c r="G849" s="65"/>
      <c r="H849" s="78"/>
      <c r="I849" s="134"/>
      <c r="J849" s="78"/>
      <c r="K849" s="78"/>
      <c r="L849" s="65"/>
      <c r="M849" s="65"/>
      <c r="N849" s="65"/>
      <c r="O849" s="65"/>
    </row>
    <row r="850" spans="1:15" ht="15">
      <c r="A850" s="78"/>
      <c r="B850" s="65"/>
      <c r="C850" s="65"/>
      <c r="D850" s="65"/>
      <c r="E850" s="65"/>
      <c r="F850" s="65"/>
      <c r="G850" s="65"/>
      <c r="H850" s="78"/>
      <c r="I850" s="134"/>
      <c r="J850" s="78"/>
      <c r="K850" s="78"/>
      <c r="L850" s="65"/>
      <c r="M850" s="65"/>
      <c r="N850" s="65"/>
      <c r="O850" s="65"/>
    </row>
    <row r="851" spans="1:15" ht="15">
      <c r="A851" s="78"/>
      <c r="B851" s="65"/>
      <c r="C851" s="65"/>
      <c r="D851" s="65"/>
      <c r="E851" s="65"/>
      <c r="F851" s="65"/>
      <c r="G851" s="65"/>
      <c r="H851" s="78"/>
      <c r="I851" s="134"/>
      <c r="J851" s="78"/>
      <c r="K851" s="78"/>
      <c r="L851" s="65"/>
      <c r="M851" s="65"/>
      <c r="N851" s="65"/>
      <c r="O851" s="65"/>
    </row>
    <row r="852" spans="1:15" ht="15">
      <c r="A852" s="78"/>
      <c r="B852" s="65"/>
      <c r="C852" s="65"/>
      <c r="D852" s="65"/>
      <c r="E852" s="65"/>
      <c r="F852" s="65"/>
      <c r="G852" s="65"/>
      <c r="H852" s="78"/>
      <c r="I852" s="134"/>
      <c r="J852" s="78"/>
      <c r="K852" s="78"/>
      <c r="L852" s="65"/>
      <c r="M852" s="65"/>
      <c r="N852" s="65"/>
      <c r="O852" s="65"/>
    </row>
    <row r="853" spans="1:15" ht="15">
      <c r="A853" s="78"/>
      <c r="B853" s="65"/>
      <c r="C853" s="65"/>
      <c r="D853" s="65"/>
      <c r="E853" s="65"/>
      <c r="F853" s="65"/>
      <c r="G853" s="65"/>
      <c r="H853" s="78"/>
      <c r="I853" s="134"/>
      <c r="J853" s="78"/>
      <c r="K853" s="78"/>
      <c r="L853" s="65"/>
      <c r="M853" s="65"/>
      <c r="N853" s="65"/>
      <c r="O853" s="65"/>
    </row>
    <row r="854" spans="1:15" ht="15">
      <c r="A854" s="78"/>
      <c r="B854" s="65"/>
      <c r="C854" s="65"/>
      <c r="D854" s="65"/>
      <c r="E854" s="65"/>
      <c r="F854" s="65"/>
      <c r="G854" s="65"/>
      <c r="H854" s="78"/>
      <c r="I854" s="134"/>
      <c r="J854" s="78"/>
      <c r="K854" s="78"/>
      <c r="L854" s="65"/>
      <c r="M854" s="65"/>
      <c r="N854" s="65"/>
      <c r="O854" s="65"/>
    </row>
    <row r="855" spans="1:15" ht="15">
      <c r="A855" s="78"/>
      <c r="B855" s="65"/>
      <c r="C855" s="65"/>
      <c r="D855" s="65"/>
      <c r="E855" s="65"/>
      <c r="F855" s="65"/>
      <c r="G855" s="65"/>
      <c r="H855" s="78"/>
      <c r="I855" s="134"/>
      <c r="J855" s="78"/>
      <c r="K855" s="78"/>
      <c r="L855" s="65"/>
      <c r="M855" s="65"/>
      <c r="N855" s="65"/>
      <c r="O855" s="65"/>
    </row>
    <row r="856" spans="1:15" ht="15">
      <c r="A856" s="78"/>
      <c r="B856" s="65"/>
      <c r="C856" s="65"/>
      <c r="D856" s="65"/>
      <c r="E856" s="65"/>
      <c r="F856" s="65"/>
      <c r="G856" s="65"/>
      <c r="H856" s="78"/>
      <c r="I856" s="134"/>
      <c r="J856" s="78"/>
      <c r="K856" s="78"/>
      <c r="L856" s="65"/>
      <c r="M856" s="65"/>
      <c r="N856" s="65"/>
      <c r="O856" s="65"/>
    </row>
    <row r="857" spans="1:15" ht="15">
      <c r="A857" s="78"/>
      <c r="B857" s="65"/>
      <c r="C857" s="65"/>
      <c r="D857" s="65"/>
      <c r="E857" s="65"/>
      <c r="F857" s="65"/>
      <c r="G857" s="65"/>
      <c r="H857" s="78"/>
      <c r="I857" s="134"/>
      <c r="J857" s="78"/>
      <c r="K857" s="78"/>
      <c r="L857" s="65"/>
      <c r="M857" s="65"/>
      <c r="N857" s="65"/>
      <c r="O857" s="65"/>
    </row>
    <row r="858" spans="1:15" ht="15">
      <c r="A858" s="78"/>
      <c r="B858" s="65"/>
      <c r="C858" s="65"/>
      <c r="D858" s="65"/>
      <c r="E858" s="65"/>
      <c r="F858" s="65"/>
      <c r="G858" s="65"/>
      <c r="H858" s="78"/>
      <c r="I858" s="134"/>
      <c r="J858" s="78"/>
      <c r="K858" s="78"/>
      <c r="L858" s="65"/>
      <c r="M858" s="65"/>
      <c r="N858" s="65"/>
      <c r="O858" s="65"/>
    </row>
    <row r="859" spans="1:15" ht="15">
      <c r="A859" s="78"/>
      <c r="B859" s="65"/>
      <c r="C859" s="65"/>
      <c r="D859" s="65"/>
      <c r="E859" s="65"/>
      <c r="F859" s="65"/>
      <c r="G859" s="65"/>
      <c r="H859" s="78"/>
      <c r="I859" s="134"/>
      <c r="J859" s="78"/>
      <c r="K859" s="78"/>
      <c r="L859" s="65"/>
      <c r="M859" s="65"/>
      <c r="N859" s="65"/>
      <c r="O859" s="65"/>
    </row>
    <row r="860" spans="1:15" ht="15">
      <c r="A860" s="78"/>
      <c r="B860" s="65"/>
      <c r="C860" s="65"/>
      <c r="D860" s="65"/>
      <c r="E860" s="65"/>
      <c r="F860" s="65"/>
      <c r="G860" s="65"/>
      <c r="H860" s="78"/>
      <c r="I860" s="134"/>
      <c r="J860" s="78"/>
      <c r="K860" s="78"/>
      <c r="L860" s="65"/>
      <c r="M860" s="65"/>
      <c r="N860" s="65"/>
      <c r="O860" s="65"/>
    </row>
    <row r="861" spans="1:15" ht="15">
      <c r="A861" s="78"/>
      <c r="B861" s="65"/>
      <c r="C861" s="65"/>
      <c r="D861" s="65"/>
      <c r="E861" s="65"/>
      <c r="F861" s="65"/>
      <c r="G861" s="65"/>
      <c r="H861" s="78"/>
      <c r="I861" s="134"/>
      <c r="J861" s="78"/>
      <c r="K861" s="78"/>
      <c r="L861" s="65"/>
      <c r="M861" s="65"/>
      <c r="N861" s="65"/>
      <c r="O861" s="65"/>
    </row>
    <row r="862" spans="1:15" ht="15">
      <c r="A862" s="78"/>
      <c r="B862" s="65"/>
      <c r="C862" s="65"/>
      <c r="D862" s="65"/>
      <c r="E862" s="65"/>
      <c r="F862" s="65"/>
      <c r="G862" s="65"/>
      <c r="H862" s="78"/>
      <c r="I862" s="134"/>
      <c r="J862" s="78"/>
      <c r="K862" s="78"/>
      <c r="L862" s="65"/>
      <c r="M862" s="65"/>
      <c r="N862" s="65"/>
      <c r="O862" s="65"/>
    </row>
    <row r="863" spans="1:15" ht="15">
      <c r="A863" s="78"/>
      <c r="B863" s="65"/>
      <c r="C863" s="65"/>
      <c r="D863" s="65"/>
      <c r="E863" s="65"/>
      <c r="F863" s="65"/>
      <c r="G863" s="65"/>
      <c r="H863" s="78"/>
      <c r="I863" s="134"/>
      <c r="J863" s="78"/>
      <c r="K863" s="78"/>
      <c r="L863" s="65"/>
      <c r="M863" s="65"/>
      <c r="N863" s="65"/>
      <c r="O863" s="65"/>
    </row>
    <row r="864" spans="1:15" ht="15">
      <c r="A864" s="78"/>
      <c r="B864" s="65"/>
      <c r="C864" s="65"/>
      <c r="D864" s="65"/>
      <c r="E864" s="65"/>
      <c r="F864" s="65"/>
      <c r="G864" s="65"/>
      <c r="H864" s="78"/>
      <c r="I864" s="134"/>
      <c r="J864" s="78"/>
      <c r="K864" s="78"/>
      <c r="L864" s="65"/>
      <c r="M864" s="65"/>
      <c r="N864" s="65"/>
      <c r="O864" s="65"/>
    </row>
    <row r="865" spans="1:15" ht="15">
      <c r="A865" s="78"/>
      <c r="B865" s="65"/>
      <c r="C865" s="65"/>
      <c r="D865" s="65"/>
      <c r="E865" s="65"/>
      <c r="F865" s="65"/>
      <c r="G865" s="65"/>
      <c r="H865" s="78"/>
      <c r="I865" s="134"/>
      <c r="J865" s="78"/>
      <c r="K865" s="78"/>
      <c r="L865" s="65"/>
      <c r="M865" s="65"/>
      <c r="N865" s="65"/>
      <c r="O865" s="65"/>
    </row>
    <row r="866" spans="1:15" ht="15">
      <c r="A866" s="78"/>
      <c r="B866" s="65"/>
      <c r="C866" s="65"/>
      <c r="D866" s="65"/>
      <c r="E866" s="65"/>
      <c r="F866" s="65"/>
      <c r="G866" s="65"/>
      <c r="H866" s="78"/>
      <c r="I866" s="134"/>
      <c r="J866" s="78"/>
      <c r="K866" s="78"/>
      <c r="L866" s="65"/>
      <c r="M866" s="65"/>
      <c r="N866" s="65"/>
      <c r="O866" s="65"/>
    </row>
    <row r="867" spans="1:15" ht="15">
      <c r="A867" s="78"/>
      <c r="B867" s="65"/>
      <c r="C867" s="65"/>
      <c r="D867" s="65"/>
      <c r="E867" s="65"/>
      <c r="F867" s="65"/>
      <c r="G867" s="65"/>
      <c r="H867" s="78"/>
      <c r="I867" s="134"/>
      <c r="J867" s="78"/>
      <c r="K867" s="78"/>
      <c r="L867" s="65"/>
      <c r="M867" s="65"/>
      <c r="N867" s="65"/>
      <c r="O867" s="65"/>
    </row>
    <row r="868" spans="1:15" ht="15">
      <c r="A868" s="78"/>
      <c r="B868" s="65"/>
      <c r="C868" s="65"/>
      <c r="D868" s="65"/>
      <c r="E868" s="65"/>
      <c r="F868" s="65"/>
      <c r="G868" s="65"/>
      <c r="H868" s="78"/>
      <c r="I868" s="134"/>
      <c r="J868" s="78"/>
      <c r="K868" s="78"/>
      <c r="L868" s="65"/>
      <c r="M868" s="65"/>
      <c r="N868" s="65"/>
      <c r="O868" s="65"/>
    </row>
    <row r="869" spans="1:15" ht="15">
      <c r="A869" s="78"/>
      <c r="B869" s="65"/>
      <c r="C869" s="65"/>
      <c r="D869" s="65"/>
      <c r="E869" s="65"/>
      <c r="F869" s="65"/>
      <c r="G869" s="65"/>
      <c r="H869" s="78"/>
      <c r="I869" s="134"/>
      <c r="J869" s="78"/>
      <c r="K869" s="78"/>
      <c r="L869" s="65"/>
      <c r="M869" s="65"/>
      <c r="N869" s="65"/>
      <c r="O869" s="65"/>
    </row>
    <row r="870" spans="1:15" ht="15">
      <c r="A870" s="78"/>
      <c r="B870" s="65"/>
      <c r="C870" s="65"/>
      <c r="D870" s="65"/>
      <c r="E870" s="65"/>
      <c r="F870" s="65"/>
      <c r="G870" s="65"/>
      <c r="H870" s="78"/>
      <c r="I870" s="134"/>
      <c r="J870" s="78"/>
      <c r="K870" s="78"/>
      <c r="L870" s="65"/>
      <c r="M870" s="65"/>
      <c r="N870" s="65"/>
      <c r="O870" s="65"/>
    </row>
    <row r="871" spans="1:15" ht="15">
      <c r="A871" s="78"/>
      <c r="B871" s="65"/>
      <c r="C871" s="65"/>
      <c r="D871" s="65"/>
      <c r="E871" s="65"/>
      <c r="F871" s="65"/>
      <c r="G871" s="65"/>
      <c r="H871" s="78"/>
      <c r="I871" s="134"/>
      <c r="J871" s="78"/>
      <c r="K871" s="78"/>
      <c r="L871" s="65"/>
      <c r="M871" s="65"/>
      <c r="N871" s="65"/>
      <c r="O871" s="65"/>
    </row>
    <row r="872" spans="1:15" ht="15">
      <c r="A872" s="78"/>
      <c r="B872" s="65"/>
      <c r="C872" s="65"/>
      <c r="D872" s="65"/>
      <c r="E872" s="65"/>
      <c r="F872" s="65"/>
      <c r="G872" s="65"/>
      <c r="H872" s="78"/>
      <c r="I872" s="134"/>
      <c r="J872" s="78"/>
      <c r="K872" s="78"/>
      <c r="L872" s="65"/>
      <c r="M872" s="65"/>
      <c r="N872" s="65"/>
      <c r="O872" s="65"/>
    </row>
    <row r="873" spans="1:15" ht="15">
      <c r="A873" s="78"/>
      <c r="B873" s="65"/>
      <c r="C873" s="65"/>
      <c r="D873" s="65"/>
      <c r="E873" s="65"/>
      <c r="F873" s="65"/>
      <c r="G873" s="65"/>
      <c r="H873" s="78"/>
      <c r="I873" s="134"/>
      <c r="J873" s="78"/>
      <c r="K873" s="78"/>
      <c r="L873" s="65"/>
      <c r="M873" s="65"/>
      <c r="N873" s="65"/>
      <c r="O873" s="65"/>
    </row>
    <row r="874" spans="1:15" ht="15">
      <c r="A874" s="78"/>
      <c r="B874" s="65"/>
      <c r="C874" s="65"/>
      <c r="D874" s="65"/>
      <c r="E874" s="65"/>
      <c r="F874" s="65"/>
      <c r="G874" s="65"/>
      <c r="H874" s="78"/>
      <c r="I874" s="134"/>
      <c r="J874" s="78"/>
      <c r="K874" s="78"/>
      <c r="L874" s="65"/>
      <c r="M874" s="65"/>
      <c r="N874" s="65"/>
      <c r="O874" s="65"/>
    </row>
    <row r="875" spans="1:15" ht="15">
      <c r="A875" s="78"/>
      <c r="B875" s="65"/>
      <c r="C875" s="65"/>
      <c r="D875" s="65"/>
      <c r="E875" s="65"/>
      <c r="F875" s="65"/>
      <c r="G875" s="65"/>
      <c r="H875" s="78"/>
      <c r="I875" s="134"/>
      <c r="J875" s="78"/>
      <c r="K875" s="78"/>
      <c r="L875" s="65"/>
      <c r="M875" s="65"/>
      <c r="N875" s="65"/>
      <c r="O875" s="65"/>
    </row>
    <row r="876" spans="1:15" ht="15">
      <c r="A876" s="78"/>
      <c r="B876" s="65"/>
      <c r="C876" s="65"/>
      <c r="D876" s="65"/>
      <c r="E876" s="65"/>
      <c r="F876" s="65"/>
      <c r="G876" s="65"/>
      <c r="H876" s="78"/>
      <c r="I876" s="134"/>
      <c r="J876" s="78"/>
      <c r="K876" s="78"/>
      <c r="L876" s="65"/>
      <c r="M876" s="65"/>
      <c r="N876" s="65"/>
      <c r="O876" s="65"/>
    </row>
    <row r="877" spans="1:15" ht="15">
      <c r="A877" s="78"/>
      <c r="B877" s="65"/>
      <c r="C877" s="65"/>
      <c r="D877" s="65"/>
      <c r="E877" s="65"/>
      <c r="F877" s="65"/>
      <c r="G877" s="65"/>
      <c r="H877" s="78"/>
      <c r="I877" s="134"/>
      <c r="J877" s="78"/>
      <c r="K877" s="78"/>
      <c r="L877" s="65"/>
      <c r="M877" s="65"/>
      <c r="N877" s="65"/>
      <c r="O877" s="65"/>
    </row>
    <row r="878" spans="1:15" ht="15">
      <c r="A878" s="78"/>
      <c r="B878" s="65"/>
      <c r="C878" s="65"/>
      <c r="D878" s="65"/>
      <c r="E878" s="65"/>
      <c r="F878" s="65"/>
      <c r="G878" s="65"/>
      <c r="H878" s="78"/>
      <c r="I878" s="134"/>
      <c r="J878" s="78"/>
      <c r="K878" s="78"/>
      <c r="L878" s="65"/>
      <c r="M878" s="65"/>
      <c r="N878" s="65"/>
      <c r="O878" s="65"/>
    </row>
    <row r="879" spans="1:15" ht="15">
      <c r="A879" s="78"/>
      <c r="B879" s="65"/>
      <c r="C879" s="65"/>
      <c r="D879" s="65"/>
      <c r="E879" s="65"/>
      <c r="F879" s="65"/>
      <c r="G879" s="65"/>
      <c r="H879" s="78"/>
      <c r="I879" s="134"/>
      <c r="J879" s="78"/>
      <c r="K879" s="78"/>
      <c r="L879" s="65"/>
      <c r="M879" s="65"/>
      <c r="N879" s="65"/>
      <c r="O879" s="65"/>
    </row>
    <row r="880" spans="1:15" ht="15">
      <c r="A880" s="78"/>
      <c r="B880" s="65"/>
      <c r="C880" s="65"/>
      <c r="D880" s="65"/>
      <c r="E880" s="65"/>
      <c r="F880" s="65"/>
      <c r="G880" s="65"/>
      <c r="H880" s="78"/>
      <c r="I880" s="134"/>
      <c r="J880" s="78"/>
      <c r="K880" s="78"/>
      <c r="L880" s="65"/>
      <c r="M880" s="65"/>
      <c r="N880" s="65"/>
      <c r="O880" s="65"/>
    </row>
    <row r="881" spans="1:15" ht="15">
      <c r="A881" s="78"/>
      <c r="B881" s="65"/>
      <c r="C881" s="65"/>
      <c r="D881" s="65"/>
      <c r="E881" s="65"/>
      <c r="F881" s="65"/>
      <c r="G881" s="65"/>
      <c r="H881" s="78"/>
      <c r="I881" s="134"/>
      <c r="J881" s="78"/>
      <c r="K881" s="78"/>
      <c r="L881" s="65"/>
      <c r="M881" s="65"/>
      <c r="N881" s="65"/>
      <c r="O881" s="65"/>
    </row>
    <row r="882" spans="1:15" ht="15">
      <c r="A882" s="78"/>
      <c r="B882" s="65"/>
      <c r="C882" s="65"/>
      <c r="D882" s="65"/>
      <c r="E882" s="65"/>
      <c r="F882" s="65"/>
      <c r="G882" s="65"/>
      <c r="H882" s="78"/>
      <c r="I882" s="134"/>
      <c r="J882" s="78"/>
      <c r="K882" s="78"/>
      <c r="L882" s="65"/>
      <c r="M882" s="65"/>
      <c r="N882" s="65"/>
      <c r="O882" s="65"/>
    </row>
    <row r="883" spans="1:15" ht="15">
      <c r="A883" s="78"/>
      <c r="B883" s="65"/>
      <c r="C883" s="65"/>
      <c r="D883" s="65"/>
      <c r="E883" s="65"/>
      <c r="F883" s="65"/>
      <c r="G883" s="65"/>
      <c r="H883" s="78"/>
      <c r="I883" s="134"/>
      <c r="J883" s="78"/>
      <c r="K883" s="78"/>
      <c r="L883" s="65"/>
      <c r="M883" s="65"/>
      <c r="N883" s="65"/>
      <c r="O883" s="65"/>
    </row>
    <row r="884" spans="1:15" ht="15">
      <c r="A884" s="78"/>
      <c r="B884" s="65"/>
      <c r="C884" s="65"/>
      <c r="D884" s="65"/>
      <c r="E884" s="65"/>
      <c r="F884" s="65"/>
      <c r="G884" s="65"/>
      <c r="H884" s="78"/>
      <c r="I884" s="134"/>
      <c r="J884" s="78"/>
      <c r="K884" s="78"/>
      <c r="L884" s="65"/>
      <c r="M884" s="65"/>
      <c r="N884" s="65"/>
      <c r="O884" s="65"/>
    </row>
    <row r="885" spans="1:15" ht="15">
      <c r="A885" s="78"/>
      <c r="B885" s="65"/>
      <c r="C885" s="65"/>
      <c r="D885" s="65"/>
      <c r="E885" s="65"/>
      <c r="F885" s="65"/>
      <c r="G885" s="65"/>
      <c r="H885" s="78"/>
      <c r="I885" s="134"/>
      <c r="J885" s="78"/>
      <c r="K885" s="78"/>
      <c r="L885" s="65"/>
      <c r="M885" s="65"/>
      <c r="N885" s="65"/>
      <c r="O885" s="65"/>
    </row>
    <row r="886" spans="1:15" ht="15">
      <c r="A886" s="78"/>
      <c r="B886" s="65"/>
      <c r="C886" s="65"/>
      <c r="D886" s="65"/>
      <c r="E886" s="65"/>
      <c r="F886" s="65"/>
      <c r="G886" s="65"/>
      <c r="H886" s="78"/>
      <c r="I886" s="134"/>
      <c r="J886" s="78"/>
      <c r="K886" s="78"/>
      <c r="L886" s="65"/>
      <c r="M886" s="65"/>
      <c r="N886" s="65"/>
      <c r="O886" s="65"/>
    </row>
    <row r="887" spans="1:15" ht="15">
      <c r="A887" s="78"/>
      <c r="B887" s="65"/>
      <c r="C887" s="65"/>
      <c r="D887" s="65"/>
      <c r="E887" s="65"/>
      <c r="F887" s="65"/>
      <c r="G887" s="65"/>
      <c r="H887" s="78"/>
      <c r="I887" s="134"/>
      <c r="J887" s="78"/>
      <c r="K887" s="78"/>
      <c r="L887" s="65"/>
      <c r="M887" s="65"/>
      <c r="N887" s="65"/>
      <c r="O887" s="65"/>
    </row>
    <row r="888" spans="1:15" ht="15">
      <c r="A888" s="78"/>
      <c r="B888" s="65"/>
      <c r="C888" s="65"/>
      <c r="D888" s="65"/>
      <c r="E888" s="65"/>
      <c r="F888" s="65"/>
      <c r="G888" s="65"/>
      <c r="H888" s="78"/>
      <c r="I888" s="134"/>
      <c r="J888" s="78"/>
      <c r="K888" s="78"/>
      <c r="L888" s="65"/>
      <c r="M888" s="65"/>
      <c r="N888" s="65"/>
      <c r="O888" s="65"/>
    </row>
    <row r="889" spans="1:15" ht="15">
      <c r="A889" s="78"/>
      <c r="B889" s="65"/>
      <c r="C889" s="65"/>
      <c r="D889" s="65"/>
      <c r="E889" s="65"/>
      <c r="F889" s="65"/>
      <c r="G889" s="65"/>
      <c r="H889" s="78"/>
      <c r="I889" s="134"/>
      <c r="J889" s="78"/>
      <c r="K889" s="78"/>
      <c r="L889" s="65"/>
      <c r="M889" s="65"/>
      <c r="N889" s="65"/>
      <c r="O889" s="65"/>
    </row>
    <row r="890" spans="1:15" ht="15">
      <c r="A890" s="78"/>
      <c r="B890" s="65"/>
      <c r="C890" s="65"/>
      <c r="D890" s="65"/>
      <c r="E890" s="65"/>
      <c r="F890" s="65"/>
      <c r="G890" s="65"/>
      <c r="H890" s="78"/>
      <c r="I890" s="134"/>
      <c r="J890" s="78"/>
      <c r="K890" s="78"/>
      <c r="L890" s="65"/>
      <c r="M890" s="65"/>
      <c r="N890" s="65"/>
      <c r="O890" s="65"/>
    </row>
    <row r="891" spans="1:15" ht="15">
      <c r="A891" s="78"/>
      <c r="B891" s="65"/>
      <c r="C891" s="65"/>
      <c r="D891" s="65"/>
      <c r="E891" s="65"/>
      <c r="F891" s="65"/>
      <c r="G891" s="65"/>
      <c r="H891" s="78"/>
      <c r="I891" s="134"/>
      <c r="J891" s="78"/>
      <c r="K891" s="78"/>
      <c r="L891" s="65"/>
      <c r="M891" s="65"/>
      <c r="N891" s="65"/>
      <c r="O891" s="65"/>
    </row>
    <row r="892" spans="1:15" ht="15">
      <c r="A892" s="78"/>
      <c r="B892" s="65"/>
      <c r="C892" s="65"/>
      <c r="D892" s="65"/>
      <c r="E892" s="65"/>
      <c r="F892" s="65"/>
      <c r="G892" s="65"/>
      <c r="H892" s="78"/>
      <c r="I892" s="134"/>
      <c r="J892" s="78"/>
      <c r="K892" s="78"/>
      <c r="L892" s="65"/>
      <c r="M892" s="65"/>
      <c r="N892" s="65"/>
      <c r="O892" s="65"/>
    </row>
    <row r="893" spans="1:15" ht="15">
      <c r="A893" s="78"/>
      <c r="B893" s="65"/>
      <c r="C893" s="65"/>
      <c r="D893" s="65"/>
      <c r="E893" s="65"/>
      <c r="F893" s="65"/>
      <c r="G893" s="65"/>
      <c r="H893" s="78"/>
      <c r="I893" s="134"/>
      <c r="J893" s="78"/>
      <c r="K893" s="78"/>
      <c r="L893" s="65"/>
      <c r="M893" s="65"/>
      <c r="N893" s="65"/>
      <c r="O893" s="65"/>
    </row>
    <row r="894" spans="1:15" ht="15">
      <c r="A894" s="78"/>
      <c r="B894" s="65"/>
      <c r="C894" s="65"/>
      <c r="D894" s="65"/>
      <c r="E894" s="65"/>
      <c r="F894" s="65"/>
      <c r="G894" s="65"/>
      <c r="H894" s="78"/>
      <c r="I894" s="134"/>
      <c r="J894" s="78"/>
      <c r="K894" s="78"/>
      <c r="L894" s="65"/>
      <c r="M894" s="65"/>
      <c r="N894" s="65"/>
      <c r="O894" s="65"/>
    </row>
    <row r="895" spans="1:15" ht="15">
      <c r="A895" s="78"/>
      <c r="B895" s="65"/>
      <c r="C895" s="65"/>
      <c r="D895" s="65"/>
      <c r="E895" s="65"/>
      <c r="F895" s="65"/>
      <c r="G895" s="65"/>
      <c r="H895" s="78"/>
      <c r="I895" s="134"/>
      <c r="J895" s="78"/>
      <c r="K895" s="78"/>
      <c r="L895" s="65"/>
      <c r="M895" s="65"/>
      <c r="N895" s="65"/>
      <c r="O895" s="65"/>
    </row>
    <row r="896" spans="1:15" ht="15">
      <c r="A896" s="78"/>
      <c r="B896" s="65"/>
      <c r="C896" s="65"/>
      <c r="D896" s="65"/>
      <c r="E896" s="65"/>
      <c r="F896" s="65"/>
      <c r="G896" s="65"/>
      <c r="H896" s="78"/>
      <c r="I896" s="134"/>
      <c r="J896" s="78"/>
      <c r="K896" s="78"/>
      <c r="L896" s="65"/>
      <c r="M896" s="65"/>
      <c r="N896" s="65"/>
      <c r="O896" s="65"/>
    </row>
    <row r="897" spans="1:15" ht="15">
      <c r="A897" s="78"/>
      <c r="B897" s="65"/>
      <c r="C897" s="65"/>
      <c r="D897" s="65"/>
      <c r="E897" s="65"/>
      <c r="F897" s="65"/>
      <c r="G897" s="65"/>
      <c r="H897" s="78"/>
      <c r="I897" s="134"/>
      <c r="J897" s="78"/>
      <c r="K897" s="78"/>
      <c r="L897" s="65"/>
      <c r="M897" s="65"/>
      <c r="N897" s="65"/>
      <c r="O897" s="65"/>
    </row>
    <row r="898" spans="1:15" ht="15">
      <c r="A898" s="78"/>
      <c r="B898" s="65"/>
      <c r="C898" s="65"/>
      <c r="D898" s="65"/>
      <c r="E898" s="65"/>
      <c r="F898" s="65"/>
      <c r="G898" s="65"/>
      <c r="H898" s="78"/>
      <c r="I898" s="134"/>
      <c r="J898" s="78"/>
      <c r="K898" s="78"/>
      <c r="L898" s="65"/>
      <c r="M898" s="65"/>
      <c r="N898" s="65"/>
      <c r="O898" s="65"/>
    </row>
    <row r="899" spans="1:15" ht="15">
      <c r="A899" s="78"/>
      <c r="B899" s="65"/>
      <c r="C899" s="65"/>
      <c r="D899" s="65"/>
      <c r="E899" s="65"/>
      <c r="F899" s="65"/>
      <c r="G899" s="65"/>
      <c r="H899" s="78"/>
      <c r="I899" s="134"/>
      <c r="J899" s="78"/>
      <c r="K899" s="78"/>
      <c r="L899" s="65"/>
      <c r="M899" s="65"/>
      <c r="N899" s="65"/>
      <c r="O899" s="65"/>
    </row>
    <row r="900" spans="1:15" ht="15">
      <c r="A900" s="78"/>
      <c r="B900" s="65"/>
      <c r="C900" s="65"/>
      <c r="D900" s="65"/>
      <c r="E900" s="65"/>
      <c r="F900" s="65"/>
      <c r="G900" s="65"/>
      <c r="H900" s="78"/>
      <c r="I900" s="134"/>
      <c r="J900" s="78"/>
      <c r="K900" s="78"/>
      <c r="L900" s="65"/>
      <c r="M900" s="65"/>
      <c r="N900" s="65"/>
      <c r="O900" s="65"/>
    </row>
    <row r="901" spans="1:15" ht="15">
      <c r="A901" s="78"/>
      <c r="B901" s="65"/>
      <c r="C901" s="65"/>
      <c r="D901" s="65"/>
      <c r="E901" s="65"/>
      <c r="F901" s="65"/>
      <c r="G901" s="65"/>
      <c r="H901" s="78"/>
      <c r="I901" s="134"/>
      <c r="J901" s="78"/>
      <c r="K901" s="78"/>
      <c r="L901" s="65"/>
      <c r="M901" s="65"/>
      <c r="N901" s="65"/>
      <c r="O901" s="65"/>
    </row>
    <row r="902" spans="1:15" ht="15">
      <c r="A902" s="78"/>
      <c r="B902" s="65"/>
      <c r="C902" s="65"/>
      <c r="D902" s="65"/>
      <c r="E902" s="65"/>
      <c r="F902" s="65"/>
      <c r="G902" s="65"/>
      <c r="H902" s="78"/>
      <c r="I902" s="134"/>
      <c r="J902" s="78"/>
      <c r="K902" s="78"/>
      <c r="L902" s="65"/>
      <c r="M902" s="65"/>
      <c r="N902" s="65"/>
      <c r="O902" s="65"/>
    </row>
    <row r="903" spans="1:15" ht="15">
      <c r="A903" s="78"/>
      <c r="B903" s="65"/>
      <c r="C903" s="65"/>
      <c r="D903" s="65"/>
      <c r="E903" s="65"/>
      <c r="F903" s="65"/>
      <c r="G903" s="65"/>
      <c r="H903" s="78"/>
      <c r="I903" s="134"/>
      <c r="J903" s="78"/>
      <c r="K903" s="78"/>
      <c r="L903" s="65"/>
      <c r="M903" s="65"/>
      <c r="N903" s="65"/>
      <c r="O903" s="65"/>
    </row>
    <row r="904" spans="1:15" ht="15">
      <c r="A904" s="78"/>
      <c r="B904" s="65"/>
      <c r="C904" s="65"/>
      <c r="D904" s="65"/>
      <c r="E904" s="65"/>
      <c r="F904" s="65"/>
      <c r="G904" s="65"/>
      <c r="H904" s="78"/>
      <c r="I904" s="134"/>
      <c r="J904" s="78"/>
      <c r="K904" s="78"/>
      <c r="L904" s="65"/>
      <c r="M904" s="65"/>
      <c r="N904" s="65"/>
      <c r="O904" s="65"/>
    </row>
    <row r="905" spans="1:15" ht="15">
      <c r="A905" s="78"/>
      <c r="B905" s="65"/>
      <c r="C905" s="65"/>
      <c r="D905" s="65"/>
      <c r="E905" s="65"/>
      <c r="F905" s="65"/>
      <c r="G905" s="65"/>
      <c r="H905" s="78"/>
      <c r="I905" s="134"/>
      <c r="J905" s="78"/>
      <c r="K905" s="78"/>
      <c r="L905" s="65"/>
      <c r="M905" s="65"/>
      <c r="N905" s="65"/>
      <c r="O905" s="65"/>
    </row>
    <row r="906" spans="1:15" ht="15">
      <c r="A906" s="78"/>
      <c r="B906" s="65"/>
      <c r="C906" s="65"/>
      <c r="D906" s="65"/>
      <c r="E906" s="65"/>
      <c r="F906" s="65"/>
      <c r="G906" s="65"/>
      <c r="H906" s="78"/>
      <c r="I906" s="134"/>
      <c r="J906" s="78"/>
      <c r="K906" s="78"/>
      <c r="L906" s="65"/>
      <c r="M906" s="65"/>
      <c r="N906" s="65"/>
      <c r="O906" s="65"/>
    </row>
    <row r="907" spans="1:15" ht="15">
      <c r="A907" s="78"/>
      <c r="B907" s="65"/>
      <c r="C907" s="65"/>
      <c r="D907" s="65"/>
      <c r="E907" s="65"/>
      <c r="F907" s="65"/>
      <c r="G907" s="65"/>
      <c r="H907" s="78"/>
      <c r="I907" s="134"/>
      <c r="J907" s="78"/>
      <c r="K907" s="78"/>
      <c r="L907" s="65"/>
      <c r="M907" s="65"/>
      <c r="N907" s="65"/>
      <c r="O907" s="65"/>
    </row>
    <row r="908" spans="1:15" ht="15">
      <c r="A908" s="78"/>
      <c r="B908" s="65"/>
      <c r="C908" s="65"/>
      <c r="D908" s="65"/>
      <c r="E908" s="65"/>
      <c r="F908" s="65"/>
      <c r="G908" s="65"/>
      <c r="H908" s="78"/>
      <c r="I908" s="134"/>
      <c r="J908" s="78"/>
      <c r="K908" s="78"/>
      <c r="L908" s="65"/>
      <c r="M908" s="65"/>
      <c r="N908" s="65"/>
      <c r="O908" s="65"/>
    </row>
    <row r="909" spans="1:15" ht="15">
      <c r="A909" s="78"/>
      <c r="B909" s="65"/>
      <c r="C909" s="65"/>
      <c r="D909" s="65"/>
      <c r="E909" s="65"/>
      <c r="F909" s="65"/>
      <c r="G909" s="65"/>
      <c r="H909" s="78"/>
      <c r="I909" s="134"/>
      <c r="J909" s="78"/>
      <c r="K909" s="78"/>
      <c r="L909" s="65"/>
      <c r="M909" s="65"/>
      <c r="N909" s="65"/>
      <c r="O909" s="65"/>
    </row>
    <row r="910" spans="1:15" ht="15">
      <c r="A910" s="78"/>
      <c r="B910" s="65"/>
      <c r="C910" s="65"/>
      <c r="D910" s="65"/>
      <c r="E910" s="65"/>
      <c r="F910" s="65"/>
      <c r="G910" s="65"/>
      <c r="H910" s="78"/>
      <c r="I910" s="134"/>
      <c r="J910" s="78"/>
      <c r="K910" s="78"/>
      <c r="L910" s="65"/>
      <c r="M910" s="65"/>
      <c r="N910" s="65"/>
      <c r="O910" s="65"/>
    </row>
    <row r="911" spans="1:15" ht="15">
      <c r="A911" s="78"/>
      <c r="B911" s="65"/>
      <c r="C911" s="65"/>
      <c r="D911" s="65"/>
      <c r="E911" s="65"/>
      <c r="F911" s="65"/>
      <c r="G911" s="65"/>
      <c r="H911" s="78"/>
      <c r="I911" s="134"/>
      <c r="J911" s="78"/>
      <c r="K911" s="78"/>
      <c r="L911" s="65"/>
      <c r="M911" s="65"/>
      <c r="N911" s="65"/>
      <c r="O911" s="65"/>
    </row>
    <row r="912" spans="1:15" ht="15">
      <c r="A912" s="78"/>
      <c r="B912" s="65"/>
      <c r="C912" s="65"/>
      <c r="D912" s="65"/>
      <c r="E912" s="65"/>
      <c r="F912" s="65"/>
      <c r="G912" s="65"/>
      <c r="H912" s="78"/>
      <c r="I912" s="134"/>
      <c r="J912" s="78"/>
      <c r="K912" s="78"/>
      <c r="L912" s="65"/>
      <c r="M912" s="65"/>
      <c r="N912" s="65"/>
      <c r="O912" s="65"/>
    </row>
    <row r="913" spans="1:15" ht="15">
      <c r="A913" s="78"/>
      <c r="B913" s="65"/>
      <c r="C913" s="65"/>
      <c r="D913" s="65"/>
      <c r="E913" s="65"/>
      <c r="F913" s="65"/>
      <c r="G913" s="65"/>
      <c r="H913" s="78"/>
      <c r="I913" s="134"/>
      <c r="J913" s="78"/>
      <c r="K913" s="78"/>
      <c r="L913" s="65"/>
      <c r="M913" s="65"/>
      <c r="N913" s="65"/>
      <c r="O913" s="65"/>
    </row>
    <row r="914" spans="1:15" ht="15">
      <c r="A914" s="78"/>
      <c r="B914" s="65"/>
      <c r="C914" s="65"/>
      <c r="D914" s="65"/>
      <c r="E914" s="65"/>
      <c r="F914" s="65"/>
      <c r="G914" s="65"/>
      <c r="H914" s="78"/>
      <c r="I914" s="134"/>
      <c r="J914" s="78"/>
      <c r="K914" s="78"/>
      <c r="L914" s="65"/>
      <c r="M914" s="65"/>
      <c r="N914" s="65"/>
      <c r="O914" s="65"/>
    </row>
    <row r="915" spans="1:15" ht="15">
      <c r="A915" s="78"/>
      <c r="B915" s="65"/>
      <c r="C915" s="65"/>
      <c r="D915" s="65"/>
      <c r="E915" s="65"/>
      <c r="F915" s="65"/>
      <c r="G915" s="65"/>
      <c r="H915" s="78"/>
      <c r="I915" s="134"/>
      <c r="J915" s="78"/>
      <c r="K915" s="78"/>
      <c r="L915" s="65"/>
      <c r="M915" s="65"/>
      <c r="N915" s="65"/>
      <c r="O915" s="65"/>
    </row>
    <row r="916" spans="1:15" ht="15">
      <c r="A916" s="78"/>
      <c r="B916" s="65"/>
      <c r="C916" s="65"/>
      <c r="D916" s="65"/>
      <c r="E916" s="65"/>
      <c r="F916" s="65"/>
      <c r="G916" s="65"/>
      <c r="H916" s="78"/>
      <c r="I916" s="134"/>
      <c r="J916" s="78"/>
      <c r="K916" s="78"/>
      <c r="L916" s="65"/>
      <c r="M916" s="65"/>
      <c r="N916" s="65"/>
      <c r="O916" s="65"/>
    </row>
    <row r="917" spans="1:15" ht="15">
      <c r="A917" s="78"/>
      <c r="B917" s="65"/>
      <c r="C917" s="65"/>
      <c r="D917" s="65"/>
      <c r="E917" s="65"/>
      <c r="F917" s="65"/>
      <c r="G917" s="65"/>
      <c r="H917" s="78"/>
      <c r="I917" s="134"/>
      <c r="J917" s="78"/>
      <c r="K917" s="78"/>
      <c r="L917" s="65"/>
      <c r="M917" s="65"/>
      <c r="N917" s="65"/>
      <c r="O917" s="65"/>
    </row>
    <row r="918" spans="1:15" ht="15">
      <c r="A918" s="78"/>
      <c r="B918" s="65"/>
      <c r="C918" s="65"/>
      <c r="D918" s="65"/>
      <c r="E918" s="65"/>
      <c r="F918" s="65"/>
      <c r="G918" s="65"/>
      <c r="H918" s="78"/>
      <c r="I918" s="134"/>
      <c r="J918" s="78"/>
      <c r="K918" s="78"/>
      <c r="L918" s="65"/>
      <c r="M918" s="65"/>
      <c r="N918" s="65"/>
      <c r="O918" s="65"/>
    </row>
    <row r="919" spans="1:15" ht="15">
      <c r="A919" s="78"/>
      <c r="B919" s="65"/>
      <c r="C919" s="65"/>
      <c r="D919" s="65"/>
      <c r="E919" s="65"/>
      <c r="F919" s="65"/>
      <c r="G919" s="65"/>
      <c r="H919" s="78"/>
      <c r="I919" s="134"/>
      <c r="J919" s="78"/>
      <c r="K919" s="78"/>
      <c r="L919" s="65"/>
      <c r="M919" s="65"/>
      <c r="N919" s="65"/>
      <c r="O919" s="65"/>
    </row>
    <row r="920" spans="1:15" ht="15">
      <c r="A920" s="78"/>
      <c r="B920" s="65"/>
      <c r="C920" s="65"/>
      <c r="D920" s="65"/>
      <c r="E920" s="65"/>
      <c r="F920" s="65"/>
      <c r="G920" s="65"/>
      <c r="H920" s="78"/>
      <c r="I920" s="134"/>
      <c r="J920" s="78"/>
      <c r="K920" s="78"/>
      <c r="L920" s="65"/>
      <c r="M920" s="65"/>
      <c r="N920" s="65"/>
      <c r="O920" s="65"/>
    </row>
    <row r="921" spans="1:15" ht="15">
      <c r="A921" s="78"/>
      <c r="B921" s="65"/>
      <c r="C921" s="65"/>
      <c r="D921" s="65"/>
      <c r="E921" s="65"/>
      <c r="F921" s="65"/>
      <c r="G921" s="65"/>
      <c r="H921" s="78"/>
      <c r="I921" s="134"/>
      <c r="J921" s="78"/>
      <c r="K921" s="78"/>
      <c r="L921" s="65"/>
      <c r="M921" s="65"/>
      <c r="N921" s="65"/>
      <c r="O921" s="65"/>
    </row>
    <row r="922" spans="1:15" ht="15">
      <c r="A922" s="78"/>
      <c r="B922" s="65"/>
      <c r="C922" s="65"/>
      <c r="D922" s="65"/>
      <c r="E922" s="65"/>
      <c r="F922" s="65"/>
      <c r="G922" s="65"/>
      <c r="H922" s="78"/>
      <c r="I922" s="134"/>
      <c r="J922" s="78"/>
      <c r="K922" s="78"/>
      <c r="L922" s="65"/>
      <c r="M922" s="65"/>
      <c r="N922" s="65"/>
      <c r="O922" s="65"/>
    </row>
    <row r="923" spans="1:15" ht="15">
      <c r="A923" s="78"/>
      <c r="B923" s="65"/>
      <c r="C923" s="65"/>
      <c r="D923" s="65"/>
      <c r="E923" s="65"/>
      <c r="F923" s="65"/>
      <c r="G923" s="65"/>
      <c r="H923" s="78"/>
      <c r="I923" s="134"/>
      <c r="J923" s="78"/>
      <c r="K923" s="78"/>
      <c r="L923" s="65"/>
      <c r="M923" s="65"/>
      <c r="N923" s="65"/>
      <c r="O923" s="65"/>
    </row>
    <row r="924" spans="1:15" ht="15">
      <c r="A924" s="78"/>
      <c r="B924" s="65"/>
      <c r="C924" s="65"/>
      <c r="D924" s="65"/>
      <c r="E924" s="65"/>
      <c r="F924" s="65"/>
      <c r="G924" s="65"/>
      <c r="H924" s="78"/>
      <c r="I924" s="134"/>
      <c r="J924" s="78"/>
      <c r="K924" s="78"/>
      <c r="L924" s="65"/>
      <c r="M924" s="65"/>
      <c r="N924" s="65"/>
      <c r="O924" s="65"/>
    </row>
    <row r="925" spans="1:15" ht="15">
      <c r="A925" s="78"/>
      <c r="B925" s="65"/>
      <c r="C925" s="65"/>
      <c r="D925" s="65"/>
      <c r="E925" s="65"/>
      <c r="F925" s="65"/>
      <c r="G925" s="65"/>
      <c r="H925" s="78"/>
      <c r="I925" s="134"/>
      <c r="J925" s="78"/>
      <c r="K925" s="78"/>
      <c r="L925" s="65"/>
      <c r="M925" s="65"/>
      <c r="N925" s="65"/>
      <c r="O925" s="65"/>
    </row>
    <row r="926" spans="1:15" ht="15">
      <c r="A926" s="78"/>
      <c r="B926" s="65"/>
      <c r="C926" s="65"/>
      <c r="D926" s="65"/>
      <c r="E926" s="65"/>
      <c r="F926" s="65"/>
      <c r="G926" s="65"/>
      <c r="H926" s="78"/>
      <c r="I926" s="134"/>
      <c r="J926" s="78"/>
      <c r="K926" s="78"/>
      <c r="L926" s="65"/>
      <c r="M926" s="65"/>
      <c r="N926" s="65"/>
      <c r="O926" s="65"/>
    </row>
    <row r="927" spans="1:15" ht="15">
      <c r="A927" s="78"/>
      <c r="B927" s="65"/>
      <c r="C927" s="65"/>
      <c r="D927" s="65"/>
      <c r="E927" s="65"/>
      <c r="F927" s="65"/>
      <c r="G927" s="65"/>
      <c r="H927" s="78"/>
      <c r="I927" s="134"/>
      <c r="J927" s="78"/>
      <c r="K927" s="78"/>
      <c r="L927" s="65"/>
      <c r="M927" s="65"/>
      <c r="N927" s="65"/>
      <c r="O927" s="65"/>
    </row>
    <row r="928" spans="1:15" ht="15">
      <c r="A928" s="78"/>
      <c r="B928" s="65"/>
      <c r="C928" s="65"/>
      <c r="D928" s="65"/>
      <c r="E928" s="65"/>
      <c r="F928" s="65"/>
      <c r="G928" s="65"/>
      <c r="H928" s="78"/>
      <c r="I928" s="134"/>
      <c r="J928" s="78"/>
      <c r="K928" s="78"/>
      <c r="L928" s="65"/>
      <c r="M928" s="65"/>
      <c r="N928" s="65"/>
      <c r="O928" s="65"/>
    </row>
    <row r="929" spans="1:15" ht="15">
      <c r="A929" s="78"/>
      <c r="B929" s="65"/>
      <c r="C929" s="65"/>
      <c r="D929" s="65"/>
      <c r="E929" s="65"/>
      <c r="F929" s="65"/>
      <c r="G929" s="65"/>
      <c r="H929" s="78"/>
      <c r="I929" s="134"/>
      <c r="J929" s="78"/>
      <c r="K929" s="78"/>
      <c r="L929" s="65"/>
      <c r="M929" s="65"/>
      <c r="N929" s="65"/>
      <c r="O929" s="65"/>
    </row>
    <row r="930" spans="1:15" ht="15">
      <c r="A930" s="78"/>
      <c r="B930" s="65"/>
      <c r="C930" s="65"/>
      <c r="D930" s="65"/>
      <c r="E930" s="65"/>
      <c r="F930" s="65"/>
      <c r="G930" s="65"/>
      <c r="H930" s="78"/>
      <c r="I930" s="134"/>
      <c r="J930" s="78"/>
      <c r="K930" s="78"/>
      <c r="L930" s="65"/>
      <c r="M930" s="65"/>
      <c r="N930" s="65"/>
      <c r="O930" s="65"/>
    </row>
    <row r="931" spans="1:15" ht="15">
      <c r="A931" s="78"/>
      <c r="B931" s="65"/>
      <c r="C931" s="65"/>
      <c r="D931" s="65"/>
      <c r="E931" s="65"/>
      <c r="F931" s="65"/>
      <c r="G931" s="65"/>
      <c r="H931" s="78"/>
      <c r="I931" s="134"/>
      <c r="J931" s="78"/>
      <c r="K931" s="78"/>
      <c r="L931" s="65"/>
      <c r="M931" s="65"/>
      <c r="N931" s="65"/>
      <c r="O931" s="65"/>
    </row>
    <row r="932" spans="1:15" ht="15">
      <c r="A932" s="78"/>
      <c r="B932" s="65"/>
      <c r="C932" s="65"/>
      <c r="D932" s="65"/>
      <c r="E932" s="65"/>
      <c r="F932" s="65"/>
      <c r="G932" s="65"/>
      <c r="H932" s="78"/>
      <c r="I932" s="134"/>
      <c r="J932" s="78"/>
      <c r="K932" s="78"/>
      <c r="L932" s="65"/>
      <c r="M932" s="65"/>
      <c r="N932" s="65"/>
      <c r="O932" s="65"/>
    </row>
    <row r="933" spans="1:15" ht="15">
      <c r="A933" s="78"/>
      <c r="B933" s="65"/>
      <c r="C933" s="65"/>
      <c r="D933" s="65"/>
      <c r="E933" s="65"/>
      <c r="F933" s="65"/>
      <c r="G933" s="65"/>
      <c r="H933" s="78"/>
      <c r="I933" s="134"/>
      <c r="J933" s="78"/>
      <c r="K933" s="78"/>
      <c r="L933" s="65"/>
      <c r="M933" s="65"/>
      <c r="N933" s="65"/>
      <c r="O933" s="65"/>
    </row>
    <row r="934" spans="1:15" ht="15">
      <c r="A934" s="78"/>
      <c r="B934" s="65"/>
      <c r="C934" s="65"/>
      <c r="D934" s="65"/>
      <c r="E934" s="65"/>
      <c r="F934" s="65"/>
      <c r="G934" s="65"/>
      <c r="H934" s="78"/>
      <c r="I934" s="134"/>
      <c r="J934" s="78"/>
      <c r="K934" s="78"/>
      <c r="L934" s="65"/>
      <c r="M934" s="65"/>
      <c r="N934" s="65"/>
      <c r="O934" s="65"/>
    </row>
    <row r="935" spans="1:15" ht="15">
      <c r="A935" s="78"/>
      <c r="B935" s="65"/>
      <c r="C935" s="65"/>
      <c r="D935" s="65"/>
      <c r="E935" s="65"/>
      <c r="F935" s="65"/>
      <c r="G935" s="65"/>
      <c r="H935" s="78"/>
      <c r="I935" s="134"/>
      <c r="J935" s="78"/>
      <c r="K935" s="78"/>
      <c r="L935" s="65"/>
      <c r="M935" s="65"/>
      <c r="N935" s="65"/>
      <c r="O935" s="65"/>
    </row>
    <row r="936" spans="1:15" ht="15">
      <c r="A936" s="78"/>
      <c r="B936" s="65"/>
      <c r="C936" s="65"/>
      <c r="D936" s="65"/>
      <c r="E936" s="65"/>
      <c r="F936" s="65"/>
      <c r="G936" s="65"/>
      <c r="H936" s="78"/>
      <c r="I936" s="134"/>
      <c r="J936" s="78"/>
      <c r="K936" s="78"/>
      <c r="L936" s="65"/>
      <c r="M936" s="65"/>
      <c r="N936" s="65"/>
      <c r="O936" s="65"/>
    </row>
    <row r="937" spans="1:15" ht="15">
      <c r="A937" s="78"/>
      <c r="B937" s="65"/>
      <c r="C937" s="65"/>
      <c r="D937" s="65"/>
      <c r="E937" s="65"/>
      <c r="F937" s="65"/>
      <c r="G937" s="65"/>
      <c r="H937" s="78"/>
      <c r="I937" s="134"/>
      <c r="J937" s="78"/>
      <c r="K937" s="78"/>
      <c r="L937" s="65"/>
      <c r="M937" s="65"/>
      <c r="N937" s="65"/>
      <c r="O937" s="65"/>
    </row>
    <row r="938" spans="1:15" ht="15">
      <c r="A938" s="78"/>
      <c r="B938" s="65"/>
      <c r="C938" s="65"/>
      <c r="D938" s="65"/>
      <c r="E938" s="65"/>
      <c r="F938" s="65"/>
      <c r="G938" s="65"/>
      <c r="H938" s="78"/>
      <c r="I938" s="134"/>
      <c r="J938" s="78"/>
      <c r="K938" s="78"/>
      <c r="L938" s="65"/>
      <c r="M938" s="65"/>
      <c r="N938" s="65"/>
      <c r="O938" s="65"/>
    </row>
    <row r="939" spans="1:15" ht="15">
      <c r="A939" s="78"/>
      <c r="B939" s="65"/>
      <c r="C939" s="65"/>
      <c r="D939" s="65"/>
      <c r="E939" s="65"/>
      <c r="F939" s="65"/>
      <c r="G939" s="65"/>
      <c r="H939" s="78"/>
      <c r="I939" s="134"/>
      <c r="J939" s="78"/>
      <c r="K939" s="78"/>
      <c r="L939" s="65"/>
      <c r="M939" s="65"/>
      <c r="N939" s="65"/>
      <c r="O939" s="65"/>
    </row>
    <row r="940" spans="1:15" ht="15">
      <c r="A940" s="78"/>
      <c r="B940" s="65"/>
      <c r="C940" s="65"/>
      <c r="D940" s="65"/>
      <c r="E940" s="65"/>
      <c r="F940" s="65"/>
      <c r="G940" s="65"/>
      <c r="H940" s="78"/>
      <c r="I940" s="134"/>
      <c r="J940" s="78"/>
      <c r="K940" s="78"/>
      <c r="L940" s="65"/>
      <c r="M940" s="65"/>
      <c r="N940" s="65"/>
      <c r="O940" s="65"/>
    </row>
    <row r="941" spans="1:15" ht="15">
      <c r="A941" s="78"/>
      <c r="B941" s="65"/>
      <c r="C941" s="65"/>
      <c r="D941" s="65"/>
      <c r="E941" s="65"/>
      <c r="F941" s="65"/>
      <c r="G941" s="65"/>
      <c r="H941" s="78"/>
      <c r="I941" s="134"/>
      <c r="J941" s="78"/>
      <c r="K941" s="78"/>
      <c r="L941" s="65"/>
      <c r="M941" s="65"/>
      <c r="N941" s="65"/>
      <c r="O941" s="65"/>
    </row>
    <row r="942" spans="1:15" ht="15">
      <c r="A942" s="78"/>
      <c r="B942" s="65"/>
      <c r="C942" s="65"/>
      <c r="D942" s="65"/>
      <c r="E942" s="65"/>
      <c r="F942" s="65"/>
      <c r="G942" s="65"/>
      <c r="H942" s="78"/>
      <c r="I942" s="134"/>
      <c r="J942" s="78"/>
      <c r="K942" s="78"/>
      <c r="L942" s="65"/>
      <c r="M942" s="65"/>
      <c r="N942" s="65"/>
      <c r="O942" s="65"/>
    </row>
    <row r="943" spans="1:15" ht="15">
      <c r="A943" s="78"/>
      <c r="B943" s="65"/>
      <c r="C943" s="65"/>
      <c r="D943" s="65"/>
      <c r="E943" s="65"/>
      <c r="F943" s="65"/>
      <c r="G943" s="65"/>
      <c r="H943" s="78"/>
      <c r="I943" s="134"/>
      <c r="J943" s="78"/>
      <c r="K943" s="78"/>
      <c r="L943" s="65"/>
      <c r="M943" s="65"/>
      <c r="N943" s="65"/>
      <c r="O943" s="65"/>
    </row>
    <row r="944" spans="1:15" ht="15">
      <c r="A944" s="78"/>
      <c r="B944" s="65"/>
      <c r="C944" s="65"/>
      <c r="D944" s="65"/>
      <c r="E944" s="65"/>
      <c r="F944" s="65"/>
      <c r="G944" s="65"/>
      <c r="H944" s="78"/>
      <c r="I944" s="134"/>
      <c r="J944" s="78"/>
      <c r="K944" s="78"/>
      <c r="L944" s="65"/>
      <c r="M944" s="65"/>
      <c r="N944" s="65"/>
      <c r="O944" s="65"/>
    </row>
    <row r="945" spans="1:15" ht="15">
      <c r="A945" s="78"/>
      <c r="B945" s="65"/>
      <c r="C945" s="65"/>
      <c r="D945" s="65"/>
      <c r="E945" s="65"/>
      <c r="F945" s="65"/>
      <c r="G945" s="65"/>
      <c r="H945" s="78"/>
      <c r="I945" s="134"/>
      <c r="J945" s="78"/>
      <c r="K945" s="78"/>
      <c r="L945" s="65"/>
      <c r="M945" s="65"/>
      <c r="N945" s="65"/>
      <c r="O945" s="65"/>
    </row>
    <row r="946" spans="1:15" ht="15">
      <c r="A946" s="78"/>
      <c r="B946" s="65"/>
      <c r="C946" s="65"/>
      <c r="D946" s="65"/>
      <c r="E946" s="65"/>
      <c r="F946" s="65"/>
      <c r="G946" s="65"/>
      <c r="H946" s="78"/>
      <c r="I946" s="134"/>
      <c r="J946" s="78"/>
      <c r="K946" s="78"/>
      <c r="L946" s="65"/>
      <c r="M946" s="65"/>
      <c r="N946" s="65"/>
      <c r="O946" s="65"/>
    </row>
    <row r="947" spans="1:15" ht="15">
      <c r="A947" s="78"/>
      <c r="B947" s="65"/>
      <c r="C947" s="65"/>
      <c r="D947" s="65"/>
      <c r="E947" s="65"/>
      <c r="F947" s="65"/>
      <c r="G947" s="65"/>
      <c r="H947" s="78"/>
      <c r="I947" s="134"/>
      <c r="J947" s="78"/>
      <c r="K947" s="78"/>
      <c r="L947" s="65"/>
      <c r="M947" s="65"/>
      <c r="N947" s="65"/>
      <c r="O947" s="65"/>
    </row>
    <row r="948" spans="1:15" ht="15">
      <c r="A948" s="78"/>
      <c r="B948" s="65"/>
      <c r="C948" s="65"/>
      <c r="D948" s="65"/>
      <c r="E948" s="65"/>
      <c r="F948" s="65"/>
      <c r="G948" s="65"/>
      <c r="H948" s="78"/>
      <c r="I948" s="134"/>
      <c r="J948" s="78"/>
      <c r="K948" s="78"/>
      <c r="L948" s="65"/>
      <c r="M948" s="65"/>
      <c r="N948" s="65"/>
      <c r="O948" s="65"/>
    </row>
    <row r="949" spans="1:15" ht="15">
      <c r="A949" s="78"/>
      <c r="B949" s="65"/>
      <c r="C949" s="65"/>
      <c r="D949" s="65"/>
      <c r="E949" s="65"/>
      <c r="F949" s="65"/>
      <c r="G949" s="65"/>
      <c r="H949" s="78"/>
      <c r="I949" s="134"/>
      <c r="J949" s="78"/>
      <c r="K949" s="78"/>
      <c r="L949" s="65"/>
      <c r="M949" s="65"/>
      <c r="N949" s="65"/>
      <c r="O949" s="65"/>
    </row>
    <row r="950" spans="1:15" ht="15">
      <c r="A950" s="78"/>
      <c r="B950" s="65"/>
      <c r="C950" s="65"/>
      <c r="D950" s="65"/>
      <c r="E950" s="65"/>
      <c r="F950" s="65"/>
      <c r="G950" s="65"/>
      <c r="H950" s="78"/>
      <c r="I950" s="134"/>
      <c r="J950" s="78"/>
      <c r="K950" s="78"/>
      <c r="L950" s="65"/>
      <c r="M950" s="65"/>
      <c r="N950" s="65"/>
      <c r="O950" s="65"/>
    </row>
    <row r="951" spans="1:15" ht="15">
      <c r="A951" s="78"/>
      <c r="B951" s="65"/>
      <c r="C951" s="65"/>
      <c r="D951" s="65"/>
      <c r="E951" s="65"/>
      <c r="F951" s="65"/>
      <c r="G951" s="65"/>
      <c r="H951" s="78"/>
      <c r="I951" s="134"/>
      <c r="J951" s="78"/>
      <c r="K951" s="78"/>
      <c r="L951" s="65"/>
      <c r="M951" s="65"/>
      <c r="N951" s="65"/>
      <c r="O951" s="65"/>
    </row>
    <row r="952" spans="1:15" ht="15">
      <c r="A952" s="78"/>
      <c r="B952" s="65"/>
      <c r="C952" s="65"/>
      <c r="D952" s="65"/>
      <c r="E952" s="65"/>
      <c r="F952" s="65"/>
      <c r="G952" s="65"/>
      <c r="H952" s="78"/>
      <c r="I952" s="134"/>
      <c r="J952" s="78"/>
      <c r="K952" s="78"/>
      <c r="L952" s="65"/>
      <c r="M952" s="65"/>
      <c r="N952" s="65"/>
      <c r="O952" s="65"/>
    </row>
    <row r="953" spans="1:15" ht="15">
      <c r="A953" s="78"/>
      <c r="B953" s="65"/>
      <c r="C953" s="65"/>
      <c r="D953" s="65"/>
      <c r="E953" s="65"/>
      <c r="F953" s="65"/>
      <c r="G953" s="65"/>
      <c r="H953" s="78"/>
      <c r="I953" s="134"/>
      <c r="J953" s="78"/>
      <c r="K953" s="78"/>
      <c r="L953" s="65"/>
      <c r="M953" s="65"/>
      <c r="N953" s="65"/>
      <c r="O953" s="65"/>
    </row>
    <row r="954" spans="1:15" ht="15">
      <c r="A954" s="78"/>
      <c r="B954" s="65"/>
      <c r="C954" s="65"/>
      <c r="D954" s="65"/>
      <c r="E954" s="65"/>
      <c r="F954" s="65"/>
      <c r="G954" s="65"/>
      <c r="H954" s="78"/>
      <c r="I954" s="134"/>
      <c r="J954" s="78"/>
      <c r="K954" s="78"/>
      <c r="L954" s="65"/>
      <c r="M954" s="65"/>
      <c r="N954" s="65"/>
      <c r="O954" s="65"/>
    </row>
    <row r="955" spans="1:15" ht="15">
      <c r="A955" s="78"/>
      <c r="B955" s="65"/>
      <c r="C955" s="65"/>
      <c r="D955" s="65"/>
      <c r="E955" s="65"/>
      <c r="F955" s="65"/>
      <c r="G955" s="65"/>
      <c r="H955" s="78"/>
      <c r="I955" s="134"/>
      <c r="J955" s="78"/>
      <c r="K955" s="78"/>
      <c r="L955" s="65"/>
      <c r="M955" s="65"/>
      <c r="N955" s="65"/>
      <c r="O955" s="65"/>
    </row>
    <row r="956" spans="1:15" ht="15">
      <c r="A956" s="78"/>
      <c r="B956" s="65"/>
      <c r="C956" s="65"/>
      <c r="D956" s="65"/>
      <c r="E956" s="65"/>
      <c r="F956" s="65"/>
      <c r="G956" s="65"/>
      <c r="H956" s="78"/>
      <c r="I956" s="134"/>
      <c r="J956" s="78"/>
      <c r="K956" s="78"/>
      <c r="L956" s="65"/>
      <c r="M956" s="65"/>
      <c r="N956" s="65"/>
      <c r="O956" s="65"/>
    </row>
    <row r="957" spans="1:15" ht="15">
      <c r="A957" s="78"/>
      <c r="B957" s="65"/>
      <c r="C957" s="65"/>
      <c r="D957" s="65"/>
      <c r="E957" s="65"/>
      <c r="F957" s="65"/>
      <c r="G957" s="65"/>
      <c r="H957" s="78"/>
      <c r="I957" s="134"/>
      <c r="J957" s="78"/>
      <c r="K957" s="78"/>
      <c r="L957" s="65"/>
      <c r="M957" s="65"/>
      <c r="N957" s="65"/>
      <c r="O957" s="65"/>
    </row>
    <row r="958" spans="1:15" ht="15">
      <c r="A958" s="78"/>
      <c r="B958" s="65"/>
      <c r="C958" s="65"/>
      <c r="D958" s="65"/>
      <c r="E958" s="65"/>
      <c r="F958" s="65"/>
      <c r="G958" s="65"/>
      <c r="H958" s="78"/>
      <c r="I958" s="134"/>
      <c r="J958" s="78"/>
      <c r="K958" s="78"/>
      <c r="L958" s="65"/>
      <c r="M958" s="65"/>
      <c r="N958" s="65"/>
      <c r="O958" s="65"/>
    </row>
    <row r="959" spans="1:15" ht="15">
      <c r="A959" s="78"/>
      <c r="B959" s="65"/>
      <c r="C959" s="65"/>
      <c r="D959" s="65"/>
      <c r="E959" s="65"/>
      <c r="F959" s="65"/>
      <c r="G959" s="65"/>
      <c r="H959" s="78"/>
      <c r="I959" s="134"/>
      <c r="J959" s="78"/>
      <c r="K959" s="78"/>
      <c r="L959" s="65"/>
      <c r="M959" s="65"/>
      <c r="N959" s="65"/>
      <c r="O959" s="65"/>
    </row>
    <row r="960" spans="1:15" ht="15">
      <c r="A960" s="78"/>
      <c r="B960" s="65"/>
      <c r="C960" s="65"/>
      <c r="D960" s="65"/>
      <c r="E960" s="65"/>
      <c r="F960" s="65"/>
      <c r="G960" s="65"/>
      <c r="H960" s="78"/>
      <c r="I960" s="134"/>
      <c r="J960" s="78"/>
      <c r="K960" s="78"/>
      <c r="L960" s="65"/>
      <c r="M960" s="65"/>
      <c r="N960" s="65"/>
      <c r="O960" s="65"/>
    </row>
    <row r="961" spans="1:15" ht="15">
      <c r="A961" s="78"/>
      <c r="B961" s="65"/>
      <c r="C961" s="65"/>
      <c r="D961" s="65"/>
      <c r="E961" s="65"/>
      <c r="F961" s="65"/>
      <c r="G961" s="65"/>
      <c r="H961" s="78"/>
      <c r="I961" s="134"/>
      <c r="J961" s="78"/>
      <c r="K961" s="78"/>
      <c r="L961" s="65"/>
      <c r="M961" s="65"/>
      <c r="N961" s="65"/>
      <c r="O961" s="65"/>
    </row>
    <row r="962" spans="1:15" ht="15">
      <c r="A962" s="78"/>
      <c r="B962" s="65"/>
      <c r="C962" s="65"/>
      <c r="D962" s="65"/>
      <c r="E962" s="65"/>
      <c r="F962" s="65"/>
      <c r="G962" s="65"/>
      <c r="H962" s="78"/>
      <c r="I962" s="134"/>
      <c r="J962" s="78"/>
      <c r="K962" s="78"/>
      <c r="L962" s="65"/>
      <c r="M962" s="65"/>
      <c r="N962" s="65"/>
      <c r="O962" s="65"/>
    </row>
    <row r="963" spans="1:15" ht="15">
      <c r="A963" s="78"/>
      <c r="B963" s="65"/>
      <c r="C963" s="65"/>
      <c r="D963" s="65"/>
      <c r="E963" s="65"/>
      <c r="F963" s="65"/>
      <c r="G963" s="65"/>
      <c r="H963" s="78"/>
      <c r="I963" s="134"/>
      <c r="J963" s="78"/>
      <c r="K963" s="78"/>
      <c r="L963" s="65"/>
      <c r="M963" s="65"/>
      <c r="N963" s="65"/>
      <c r="O963" s="65"/>
    </row>
    <row r="964" spans="1:15" ht="15">
      <c r="A964" s="78"/>
      <c r="B964" s="65"/>
      <c r="C964" s="65"/>
      <c r="D964" s="65"/>
      <c r="E964" s="65"/>
      <c r="F964" s="65"/>
      <c r="G964" s="65"/>
      <c r="H964" s="78"/>
      <c r="I964" s="134"/>
      <c r="J964" s="78"/>
      <c r="K964" s="78"/>
      <c r="L964" s="65"/>
      <c r="M964" s="65"/>
      <c r="N964" s="65"/>
      <c r="O964" s="65"/>
    </row>
    <row r="965" spans="1:15" ht="15">
      <c r="A965" s="78"/>
      <c r="B965" s="65"/>
      <c r="C965" s="65"/>
      <c r="D965" s="65"/>
      <c r="E965" s="65"/>
      <c r="F965" s="65"/>
      <c r="G965" s="65"/>
      <c r="H965" s="78"/>
      <c r="I965" s="134"/>
      <c r="J965" s="78"/>
      <c r="K965" s="78"/>
      <c r="L965" s="65"/>
      <c r="M965" s="65"/>
      <c r="N965" s="65"/>
      <c r="O965" s="65"/>
    </row>
    <row r="966" spans="1:15" ht="15">
      <c r="A966" s="78"/>
      <c r="B966" s="65"/>
      <c r="C966" s="65"/>
      <c r="D966" s="65"/>
      <c r="E966" s="65"/>
      <c r="F966" s="65"/>
      <c r="G966" s="65"/>
      <c r="H966" s="78"/>
      <c r="I966" s="134"/>
      <c r="J966" s="78"/>
      <c r="K966" s="78"/>
      <c r="L966" s="65"/>
      <c r="M966" s="65"/>
      <c r="N966" s="65"/>
      <c r="O966" s="65"/>
    </row>
    <row r="967" spans="1:15" ht="15">
      <c r="A967" s="78"/>
      <c r="B967" s="65"/>
      <c r="C967" s="65"/>
      <c r="D967" s="65"/>
      <c r="E967" s="65"/>
      <c r="F967" s="65"/>
      <c r="G967" s="65"/>
      <c r="H967" s="78"/>
      <c r="I967" s="134"/>
      <c r="J967" s="78"/>
      <c r="K967" s="78"/>
      <c r="L967" s="65"/>
      <c r="M967" s="65"/>
      <c r="N967" s="65"/>
      <c r="O967" s="65"/>
    </row>
    <row r="968" spans="1:15" ht="15">
      <c r="A968" s="78"/>
      <c r="B968" s="65"/>
      <c r="C968" s="65"/>
      <c r="D968" s="65"/>
      <c r="E968" s="65"/>
      <c r="F968" s="65"/>
      <c r="G968" s="65"/>
      <c r="H968" s="78"/>
      <c r="I968" s="134"/>
      <c r="J968" s="78"/>
      <c r="K968" s="78"/>
      <c r="L968" s="65"/>
      <c r="M968" s="65"/>
      <c r="N968" s="65"/>
      <c r="O968" s="65"/>
    </row>
    <row r="969" spans="1:15" ht="15">
      <c r="A969" s="78"/>
      <c r="B969" s="65"/>
      <c r="C969" s="65"/>
      <c r="D969" s="65"/>
      <c r="E969" s="65"/>
      <c r="F969" s="65"/>
      <c r="G969" s="65"/>
      <c r="H969" s="78"/>
      <c r="I969" s="134"/>
      <c r="J969" s="78"/>
      <c r="K969" s="78"/>
      <c r="L969" s="65"/>
      <c r="M969" s="65"/>
      <c r="N969" s="65"/>
      <c r="O969" s="65"/>
    </row>
    <row r="970" spans="1:15" ht="15">
      <c r="A970" s="78"/>
      <c r="B970" s="65"/>
      <c r="C970" s="65"/>
      <c r="D970" s="65"/>
      <c r="E970" s="65"/>
      <c r="F970" s="65"/>
      <c r="G970" s="65"/>
      <c r="H970" s="78"/>
      <c r="I970" s="134"/>
      <c r="J970" s="78"/>
      <c r="K970" s="78"/>
      <c r="L970" s="65"/>
      <c r="M970" s="65"/>
      <c r="N970" s="65"/>
      <c r="O970" s="65"/>
    </row>
    <row r="971" spans="1:15" ht="15">
      <c r="A971" s="78"/>
      <c r="B971" s="65"/>
      <c r="C971" s="65"/>
      <c r="D971" s="65"/>
      <c r="E971" s="65"/>
      <c r="F971" s="65"/>
      <c r="G971" s="65"/>
      <c r="H971" s="78"/>
      <c r="I971" s="134"/>
      <c r="J971" s="78"/>
      <c r="K971" s="78"/>
      <c r="L971" s="65"/>
      <c r="M971" s="65"/>
      <c r="N971" s="65"/>
      <c r="O971" s="65"/>
    </row>
    <row r="972" spans="1:15" ht="15">
      <c r="A972" s="78"/>
      <c r="B972" s="65"/>
      <c r="C972" s="65"/>
      <c r="D972" s="65"/>
      <c r="E972" s="65"/>
      <c r="F972" s="65"/>
      <c r="G972" s="65"/>
      <c r="H972" s="78"/>
      <c r="I972" s="134"/>
      <c r="J972" s="78"/>
      <c r="K972" s="78"/>
      <c r="L972" s="65"/>
      <c r="M972" s="65"/>
      <c r="N972" s="65"/>
      <c r="O972" s="65"/>
    </row>
    <row r="973" spans="1:15" ht="15">
      <c r="A973" s="78"/>
      <c r="B973" s="65"/>
      <c r="C973" s="65"/>
      <c r="D973" s="65"/>
      <c r="E973" s="65"/>
      <c r="F973" s="65"/>
      <c r="G973" s="65"/>
      <c r="H973" s="78"/>
      <c r="I973" s="134"/>
      <c r="J973" s="78"/>
      <c r="K973" s="78"/>
      <c r="L973" s="65"/>
      <c r="M973" s="65"/>
      <c r="N973" s="65"/>
      <c r="O973" s="65"/>
    </row>
    <row r="974" spans="1:15" ht="15">
      <c r="A974" s="78"/>
      <c r="B974" s="65"/>
      <c r="C974" s="65"/>
      <c r="D974" s="65"/>
      <c r="E974" s="65"/>
      <c r="F974" s="65"/>
      <c r="G974" s="65"/>
      <c r="H974" s="78"/>
      <c r="I974" s="134"/>
      <c r="J974" s="78"/>
      <c r="K974" s="78"/>
      <c r="L974" s="65"/>
      <c r="M974" s="65"/>
      <c r="N974" s="65"/>
      <c r="O974" s="65"/>
    </row>
    <row r="975" spans="1:15" ht="15">
      <c r="A975" s="78"/>
      <c r="B975" s="65"/>
      <c r="C975" s="65"/>
      <c r="D975" s="65"/>
      <c r="E975" s="65"/>
      <c r="F975" s="65"/>
      <c r="G975" s="65"/>
      <c r="H975" s="78"/>
      <c r="I975" s="134"/>
      <c r="J975" s="78"/>
      <c r="K975" s="78"/>
      <c r="L975" s="65"/>
      <c r="M975" s="65"/>
      <c r="N975" s="65"/>
      <c r="O975" s="65"/>
    </row>
    <row r="976" spans="1:15" ht="15">
      <c r="A976" s="78"/>
      <c r="B976" s="65"/>
      <c r="C976" s="65"/>
      <c r="D976" s="65"/>
      <c r="E976" s="65"/>
      <c r="F976" s="65"/>
      <c r="G976" s="65"/>
      <c r="H976" s="78"/>
      <c r="I976" s="134"/>
      <c r="J976" s="78"/>
      <c r="K976" s="78"/>
      <c r="L976" s="65"/>
      <c r="M976" s="65"/>
      <c r="N976" s="65"/>
      <c r="O976" s="65"/>
    </row>
    <row r="977" spans="1:15" ht="15">
      <c r="A977" s="78"/>
      <c r="B977" s="65"/>
      <c r="C977" s="65"/>
      <c r="D977" s="65"/>
      <c r="E977" s="65"/>
      <c r="F977" s="65"/>
      <c r="G977" s="65"/>
      <c r="H977" s="78"/>
      <c r="I977" s="134"/>
      <c r="J977" s="78"/>
      <c r="K977" s="78"/>
      <c r="L977" s="65"/>
      <c r="M977" s="65"/>
      <c r="N977" s="65"/>
      <c r="O977" s="65"/>
    </row>
    <row r="978" spans="1:15" ht="15">
      <c r="A978" s="78"/>
      <c r="B978" s="65"/>
      <c r="C978" s="65"/>
      <c r="D978" s="65"/>
      <c r="E978" s="65"/>
      <c r="F978" s="65"/>
      <c r="G978" s="65"/>
      <c r="H978" s="78"/>
      <c r="I978" s="134"/>
      <c r="J978" s="78"/>
      <c r="K978" s="78"/>
      <c r="L978" s="65"/>
      <c r="M978" s="65"/>
      <c r="N978" s="65"/>
      <c r="O978" s="65"/>
    </row>
    <row r="979" spans="1:15" ht="15">
      <c r="A979" s="78"/>
      <c r="B979" s="65"/>
      <c r="C979" s="65"/>
      <c r="D979" s="65"/>
      <c r="E979" s="65"/>
      <c r="F979" s="65"/>
      <c r="G979" s="65"/>
      <c r="H979" s="78"/>
      <c r="I979" s="134"/>
      <c r="J979" s="78"/>
      <c r="K979" s="78"/>
      <c r="L979" s="65"/>
      <c r="M979" s="65"/>
      <c r="N979" s="65"/>
      <c r="O979" s="65"/>
    </row>
    <row r="980" spans="1:15" ht="15">
      <c r="A980" s="78"/>
      <c r="B980" s="65"/>
      <c r="C980" s="65"/>
      <c r="D980" s="65"/>
      <c r="E980" s="65"/>
      <c r="F980" s="65"/>
      <c r="G980" s="65"/>
      <c r="H980" s="78"/>
      <c r="I980" s="134"/>
      <c r="J980" s="78"/>
      <c r="K980" s="78"/>
      <c r="L980" s="65"/>
      <c r="M980" s="65"/>
      <c r="N980" s="65"/>
      <c r="O980" s="65"/>
    </row>
    <row r="981" spans="1:15" ht="15">
      <c r="A981" s="78"/>
      <c r="B981" s="65"/>
      <c r="C981" s="65"/>
      <c r="D981" s="65"/>
      <c r="E981" s="65"/>
      <c r="F981" s="65"/>
      <c r="G981" s="65"/>
      <c r="H981" s="78"/>
      <c r="I981" s="134"/>
      <c r="J981" s="78"/>
      <c r="K981" s="78"/>
      <c r="L981" s="65"/>
      <c r="M981" s="65"/>
      <c r="N981" s="65"/>
      <c r="O981" s="65"/>
    </row>
    <row r="982" spans="1:15" ht="15">
      <c r="A982" s="78"/>
      <c r="B982" s="65"/>
      <c r="C982" s="65"/>
      <c r="D982" s="65"/>
      <c r="E982" s="65"/>
      <c r="F982" s="65"/>
      <c r="G982" s="65"/>
      <c r="H982" s="78"/>
      <c r="I982" s="134"/>
      <c r="J982" s="78"/>
      <c r="K982" s="78"/>
      <c r="L982" s="65"/>
      <c r="M982" s="65"/>
      <c r="N982" s="65"/>
      <c r="O982" s="65"/>
    </row>
    <row r="983" spans="1:15" ht="15">
      <c r="A983" s="78"/>
      <c r="B983" s="65"/>
      <c r="C983" s="65"/>
      <c r="D983" s="65"/>
      <c r="E983" s="65"/>
      <c r="F983" s="65"/>
      <c r="G983" s="65"/>
      <c r="H983" s="78"/>
      <c r="I983" s="134"/>
      <c r="J983" s="78"/>
      <c r="K983" s="78"/>
      <c r="L983" s="65"/>
      <c r="M983" s="65"/>
      <c r="N983" s="65"/>
      <c r="O983" s="65"/>
    </row>
    <row r="984" spans="1:15" ht="15">
      <c r="A984" s="78"/>
      <c r="B984" s="65"/>
      <c r="C984" s="65"/>
      <c r="D984" s="65"/>
      <c r="E984" s="65"/>
      <c r="F984" s="65"/>
      <c r="G984" s="65"/>
      <c r="H984" s="78"/>
      <c r="I984" s="134"/>
      <c r="J984" s="78"/>
      <c r="K984" s="78"/>
      <c r="L984" s="65"/>
      <c r="M984" s="65"/>
      <c r="N984" s="65"/>
      <c r="O984" s="65"/>
    </row>
    <row r="985" spans="1:15" ht="15">
      <c r="A985" s="78"/>
      <c r="B985" s="65"/>
      <c r="C985" s="65"/>
      <c r="D985" s="65"/>
      <c r="E985" s="65"/>
      <c r="F985" s="65"/>
      <c r="G985" s="65"/>
      <c r="H985" s="78"/>
      <c r="I985" s="134"/>
      <c r="J985" s="78"/>
      <c r="K985" s="78"/>
      <c r="L985" s="65"/>
      <c r="M985" s="65"/>
      <c r="N985" s="65"/>
      <c r="O985" s="65"/>
    </row>
    <row r="986" spans="1:15" ht="15">
      <c r="A986" s="78"/>
      <c r="B986" s="65"/>
      <c r="C986" s="65"/>
      <c r="D986" s="65"/>
      <c r="E986" s="65"/>
      <c r="F986" s="65"/>
      <c r="G986" s="65"/>
      <c r="H986" s="78"/>
      <c r="I986" s="134"/>
      <c r="J986" s="78"/>
      <c r="K986" s="78"/>
      <c r="L986" s="65"/>
      <c r="M986" s="65"/>
      <c r="N986" s="65"/>
      <c r="O986" s="65"/>
    </row>
    <row r="987" spans="1:15" ht="15">
      <c r="A987" s="78"/>
      <c r="B987" s="65"/>
      <c r="C987" s="65"/>
      <c r="D987" s="65"/>
      <c r="E987" s="65"/>
      <c r="F987" s="65"/>
      <c r="G987" s="65"/>
      <c r="H987" s="78"/>
      <c r="I987" s="134"/>
      <c r="J987" s="78"/>
      <c r="K987" s="78"/>
      <c r="L987" s="65"/>
      <c r="M987" s="65"/>
      <c r="N987" s="65"/>
      <c r="O987" s="65"/>
    </row>
    <row r="988" spans="1:15" ht="15">
      <c r="A988" s="78"/>
      <c r="B988" s="65"/>
      <c r="C988" s="65"/>
      <c r="D988" s="65"/>
      <c r="E988" s="65"/>
      <c r="F988" s="65"/>
      <c r="G988" s="65"/>
      <c r="H988" s="78"/>
      <c r="I988" s="134"/>
      <c r="J988" s="78"/>
      <c r="K988" s="78"/>
      <c r="L988" s="65"/>
      <c r="M988" s="65"/>
      <c r="N988" s="65"/>
      <c r="O988" s="65"/>
    </row>
    <row r="989" spans="1:15" ht="15">
      <c r="A989" s="78"/>
      <c r="B989" s="65"/>
      <c r="C989" s="65"/>
      <c r="D989" s="65"/>
      <c r="E989" s="65"/>
      <c r="F989" s="65"/>
      <c r="G989" s="65"/>
      <c r="H989" s="78"/>
      <c r="I989" s="134"/>
      <c r="J989" s="78"/>
      <c r="K989" s="78"/>
      <c r="L989" s="65"/>
      <c r="M989" s="65"/>
      <c r="N989" s="65"/>
      <c r="O989" s="65"/>
    </row>
    <row r="990" spans="1:15" ht="15">
      <c r="A990" s="78"/>
      <c r="B990" s="65"/>
      <c r="C990" s="65"/>
      <c r="D990" s="65"/>
      <c r="E990" s="65"/>
      <c r="F990" s="65"/>
      <c r="G990" s="65"/>
      <c r="H990" s="78"/>
      <c r="I990" s="134"/>
      <c r="J990" s="78"/>
      <c r="K990" s="78"/>
      <c r="L990" s="65"/>
      <c r="M990" s="65"/>
      <c r="N990" s="65"/>
      <c r="O990" s="65"/>
    </row>
    <row r="991" spans="1:15" ht="15">
      <c r="A991" s="78"/>
      <c r="B991" s="65"/>
      <c r="C991" s="65"/>
      <c r="D991" s="65"/>
      <c r="E991" s="65"/>
      <c r="F991" s="65"/>
      <c r="G991" s="65"/>
      <c r="H991" s="78"/>
      <c r="I991" s="134"/>
      <c r="J991" s="78"/>
      <c r="K991" s="78"/>
      <c r="L991" s="65"/>
      <c r="M991" s="65"/>
      <c r="N991" s="65"/>
      <c r="O991" s="65"/>
    </row>
    <row r="992" spans="1:15" ht="15">
      <c r="A992" s="78"/>
      <c r="B992" s="65"/>
      <c r="C992" s="65"/>
      <c r="D992" s="65"/>
      <c r="E992" s="65"/>
      <c r="F992" s="65"/>
      <c r="G992" s="65"/>
      <c r="H992" s="78"/>
      <c r="I992" s="134"/>
      <c r="J992" s="78"/>
      <c r="K992" s="78"/>
      <c r="L992" s="65"/>
      <c r="M992" s="65"/>
      <c r="N992" s="65"/>
      <c r="O992" s="65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00"/>
    <outlinePr summaryBelow="0" summaryRight="0"/>
  </sheetPr>
  <dimension ref="A1:T994"/>
  <sheetViews>
    <sheetView showGridLines="0" workbookViewId="0">
      <selection activeCell="B14" sqref="B14"/>
    </sheetView>
  </sheetViews>
  <sheetFormatPr defaultColWidth="12.5703125" defaultRowHeight="15.75" customHeight="1"/>
  <cols>
    <col min="1" max="1" width="12.28515625" customWidth="1"/>
    <col min="2" max="2" width="65.7109375" customWidth="1"/>
    <col min="3" max="6" width="12.5703125" hidden="1" customWidth="1"/>
    <col min="7" max="7" width="7.5703125" style="146" customWidth="1"/>
    <col min="8" max="8" width="9.5703125" style="146" customWidth="1"/>
    <col min="9" max="9" width="13.140625" customWidth="1"/>
  </cols>
  <sheetData>
    <row r="1" spans="1:20" ht="15.75" customHeight="1">
      <c r="A1" s="61"/>
      <c r="B1" s="61"/>
      <c r="C1" s="61"/>
      <c r="D1" s="61"/>
      <c r="E1" s="83"/>
      <c r="F1" s="61"/>
      <c r="G1" s="147"/>
      <c r="H1" s="68"/>
      <c r="I1" s="107"/>
      <c r="J1" s="108"/>
      <c r="K1" s="61"/>
      <c r="L1" s="61"/>
      <c r="M1" s="61"/>
      <c r="N1" s="61"/>
      <c r="O1" s="26"/>
      <c r="P1" s="26"/>
      <c r="Q1" s="26"/>
      <c r="R1" s="26"/>
      <c r="S1" s="26"/>
      <c r="T1" s="26"/>
    </row>
    <row r="2" spans="1:20" ht="15.75" customHeight="1">
      <c r="A2" s="61"/>
      <c r="B2" s="82" t="s">
        <v>256</v>
      </c>
      <c r="C2" s="83"/>
      <c r="D2" s="83"/>
      <c r="E2" s="83"/>
      <c r="F2" s="83"/>
      <c r="G2" s="147"/>
      <c r="H2" s="147"/>
      <c r="I2" s="109"/>
      <c r="J2" s="110"/>
      <c r="K2" s="60"/>
      <c r="L2" s="61"/>
      <c r="M2" s="61"/>
      <c r="N2" s="61"/>
      <c r="O2" s="26"/>
      <c r="P2" s="26"/>
      <c r="Q2" s="26"/>
      <c r="R2" s="26"/>
      <c r="S2" s="26"/>
      <c r="T2" s="26"/>
    </row>
    <row r="3" spans="1:20" ht="15.75" customHeight="1">
      <c r="A3" s="61"/>
      <c r="B3" s="62"/>
      <c r="C3" s="62"/>
      <c r="D3" s="62"/>
      <c r="E3" s="62"/>
      <c r="F3" s="63"/>
      <c r="G3" s="147"/>
      <c r="H3" s="71"/>
      <c r="I3" s="111"/>
      <c r="J3" s="112"/>
      <c r="K3" s="65"/>
      <c r="L3" s="61"/>
      <c r="M3" s="61"/>
      <c r="N3" s="61"/>
      <c r="O3" s="26"/>
      <c r="P3" s="26"/>
      <c r="Q3" s="26"/>
      <c r="R3" s="26"/>
      <c r="S3" s="26"/>
      <c r="T3" s="26"/>
    </row>
    <row r="4" spans="1:20" ht="15.75" customHeight="1">
      <c r="A4" s="61"/>
      <c r="B4" s="85" t="s">
        <v>220</v>
      </c>
      <c r="C4" s="83"/>
      <c r="D4" s="83"/>
      <c r="E4" s="83"/>
      <c r="F4" s="83"/>
      <c r="G4" s="73"/>
      <c r="H4" s="147"/>
      <c r="I4" s="111"/>
      <c r="J4" s="112"/>
      <c r="K4" s="65"/>
      <c r="L4" s="61"/>
      <c r="M4" s="61"/>
      <c r="N4" s="61"/>
      <c r="O4" s="26"/>
      <c r="P4" s="26"/>
      <c r="Q4" s="26"/>
      <c r="R4" s="26"/>
      <c r="S4" s="26"/>
      <c r="T4" s="26"/>
    </row>
    <row r="5" spans="1:20" ht="15.75" customHeight="1">
      <c r="A5" s="61"/>
      <c r="B5" s="67"/>
      <c r="C5" s="62"/>
      <c r="D5" s="62"/>
      <c r="E5" s="62"/>
      <c r="F5" s="63"/>
      <c r="G5" s="147"/>
      <c r="H5" s="71"/>
      <c r="I5" s="113"/>
      <c r="J5" s="114"/>
      <c r="K5" s="61"/>
      <c r="L5" s="61"/>
      <c r="M5" s="61"/>
      <c r="N5" s="61"/>
      <c r="O5" s="26"/>
      <c r="P5" s="26"/>
      <c r="Q5" s="26"/>
      <c r="R5" s="26"/>
      <c r="S5" s="26"/>
      <c r="T5" s="26"/>
    </row>
    <row r="6" spans="1:20" ht="15.75" customHeight="1">
      <c r="A6" s="120"/>
      <c r="B6" s="163" t="s">
        <v>221</v>
      </c>
      <c r="C6" s="154"/>
      <c r="D6" s="154"/>
      <c r="E6" s="164"/>
      <c r="F6" s="154"/>
      <c r="G6" s="165" t="s">
        <v>222</v>
      </c>
      <c r="H6" s="166" t="s">
        <v>285</v>
      </c>
      <c r="I6" s="158" t="s">
        <v>223</v>
      </c>
      <c r="J6" s="158" t="s">
        <v>281</v>
      </c>
      <c r="K6" s="65"/>
      <c r="L6" s="61"/>
      <c r="M6" s="61"/>
      <c r="N6" s="61"/>
      <c r="O6" s="26"/>
      <c r="P6" s="26"/>
      <c r="Q6" s="26"/>
      <c r="R6" s="26"/>
      <c r="S6" s="26"/>
      <c r="T6" s="26"/>
    </row>
    <row r="7" spans="1:20" ht="15.75" customHeight="1">
      <c r="A7" s="152" t="s">
        <v>228</v>
      </c>
      <c r="B7" s="153" t="s">
        <v>274</v>
      </c>
      <c r="C7" s="154"/>
      <c r="D7" s="154"/>
      <c r="E7" s="154"/>
      <c r="F7" s="154"/>
      <c r="G7" s="126">
        <v>1</v>
      </c>
      <c r="H7" s="125" t="s">
        <v>282</v>
      </c>
      <c r="I7" s="127">
        <f>VLOOKUP(B7,Tabela_preços[[DESCRIÇÃO]:[VALOR]],3,FALSE)</f>
        <v>463.02499999999998</v>
      </c>
      <c r="J7" s="127">
        <f>I7*G7</f>
        <v>463.02499999999998</v>
      </c>
      <c r="K7" s="70"/>
      <c r="L7" s="61"/>
      <c r="M7" s="61"/>
      <c r="N7" s="61"/>
      <c r="O7" s="26"/>
      <c r="P7" s="26"/>
      <c r="Q7" s="26"/>
      <c r="R7" s="26"/>
      <c r="S7" s="26"/>
      <c r="T7" s="26"/>
    </row>
    <row r="8" spans="1:20" ht="15.75" customHeight="1">
      <c r="A8" s="152" t="s">
        <v>225</v>
      </c>
      <c r="B8" s="153" t="s">
        <v>226</v>
      </c>
      <c r="C8" s="154"/>
      <c r="D8" s="154"/>
      <c r="E8" s="154"/>
      <c r="F8" s="154"/>
      <c r="G8" s="126">
        <v>1</v>
      </c>
      <c r="H8" s="125" t="s">
        <v>282</v>
      </c>
      <c r="I8" s="127">
        <f>VLOOKUP(B8,Tabela_preços[[DESCRIÇÃO]:[VALOR]],3,FALSE)</f>
        <v>17.512</v>
      </c>
      <c r="J8" s="127">
        <f t="shared" ref="J8:J11" si="0">I8*G8</f>
        <v>17.512</v>
      </c>
      <c r="K8" s="65"/>
      <c r="L8" s="61"/>
      <c r="M8" s="61"/>
      <c r="N8" s="61"/>
      <c r="O8" s="26"/>
      <c r="P8" s="26"/>
      <c r="Q8" s="26"/>
      <c r="R8" s="26"/>
      <c r="S8" s="26"/>
      <c r="T8" s="26"/>
    </row>
    <row r="9" spans="1:20" ht="15.75" customHeight="1">
      <c r="A9" s="152" t="s">
        <v>227</v>
      </c>
      <c r="B9" s="153" t="s">
        <v>304</v>
      </c>
      <c r="C9" s="154"/>
      <c r="D9" s="154"/>
      <c r="E9" s="154"/>
      <c r="F9" s="154"/>
      <c r="G9" s="126">
        <v>4</v>
      </c>
      <c r="H9" s="125" t="s">
        <v>282</v>
      </c>
      <c r="I9" s="127">
        <f>VLOOKUP(B9,Tabela_preços[[DESCRIÇÃO]:[VALOR]],3,FALSE)</f>
        <v>17.850000000000001</v>
      </c>
      <c r="J9" s="127">
        <f t="shared" si="0"/>
        <v>71.400000000000006</v>
      </c>
      <c r="K9" s="65"/>
      <c r="L9" s="61"/>
      <c r="M9" s="61"/>
      <c r="N9" s="61"/>
      <c r="O9" s="26"/>
      <c r="P9" s="26"/>
      <c r="Q9" s="26"/>
      <c r="R9" s="26"/>
      <c r="S9" s="26"/>
      <c r="T9" s="26"/>
    </row>
    <row r="10" spans="1:20" ht="15.75" customHeight="1">
      <c r="A10" s="152" t="s">
        <v>262</v>
      </c>
      <c r="B10" s="153" t="s">
        <v>291</v>
      </c>
      <c r="C10" s="154"/>
      <c r="D10" s="154"/>
      <c r="E10" s="154"/>
      <c r="F10" s="154"/>
      <c r="G10" s="162">
        <v>1</v>
      </c>
      <c r="H10" s="125" t="s">
        <v>282</v>
      </c>
      <c r="I10" s="127">
        <f>VLOOKUP(B10,Tabela_preços[[DESCRIÇÃO]:[VALOR]],3,FALSE)</f>
        <v>13.6</v>
      </c>
      <c r="J10" s="127">
        <f t="shared" si="0"/>
        <v>13.6</v>
      </c>
      <c r="K10" s="65"/>
      <c r="L10" s="61"/>
      <c r="M10" s="61"/>
      <c r="N10" s="61"/>
      <c r="O10" s="26"/>
      <c r="P10" s="26"/>
      <c r="Q10" s="26"/>
      <c r="R10" s="26"/>
      <c r="S10" s="26"/>
      <c r="T10" s="26"/>
    </row>
    <row r="11" spans="1:20" ht="15.75" customHeight="1">
      <c r="A11" s="152" t="s">
        <v>257</v>
      </c>
      <c r="B11" s="153" t="s">
        <v>258</v>
      </c>
      <c r="C11" s="154"/>
      <c r="D11" s="154"/>
      <c r="E11" s="154"/>
      <c r="F11" s="154"/>
      <c r="G11" s="126">
        <v>1</v>
      </c>
      <c r="H11" s="125" t="s">
        <v>282</v>
      </c>
      <c r="I11" s="127">
        <f>VLOOKUP(B11,Tabela_preços[[DESCRIÇÃO]:[VALOR]],3,FALSE)</f>
        <v>25</v>
      </c>
      <c r="J11" s="127">
        <f t="shared" si="0"/>
        <v>25</v>
      </c>
      <c r="K11" s="65"/>
      <c r="L11" s="220"/>
      <c r="M11" s="220"/>
      <c r="N11" s="220"/>
      <c r="O11" s="26"/>
      <c r="P11" s="26"/>
      <c r="Q11" s="26"/>
      <c r="R11" s="26"/>
      <c r="S11" s="26"/>
      <c r="T11" s="26"/>
    </row>
    <row r="12" spans="1:20" ht="15.75" customHeight="1">
      <c r="A12" s="152" t="s">
        <v>259</v>
      </c>
      <c r="B12" s="153" t="s">
        <v>260</v>
      </c>
      <c r="C12" s="154"/>
      <c r="D12" s="154"/>
      <c r="E12" s="154"/>
      <c r="F12" s="154"/>
      <c r="G12" s="126">
        <v>1</v>
      </c>
      <c r="H12" s="125" t="s">
        <v>282</v>
      </c>
      <c r="I12" s="125">
        <f>VLOOKUP(B12,Tabela_preços[[DESCRIÇÃO]:[VALOR]],3,FALSE)</f>
        <v>33.26</v>
      </c>
      <c r="J12" s="125">
        <f t="shared" ref="J12:J13" si="1">I12*G12</f>
        <v>33.26</v>
      </c>
      <c r="L12" s="220"/>
      <c r="M12" s="220"/>
      <c r="N12" s="220"/>
      <c r="O12" s="26"/>
      <c r="P12" s="26"/>
      <c r="Q12" s="26"/>
      <c r="R12" s="26"/>
      <c r="S12" s="26"/>
      <c r="T12" s="26"/>
    </row>
    <row r="13" spans="1:20" ht="15.75" customHeight="1">
      <c r="A13" s="152" t="s">
        <v>231</v>
      </c>
      <c r="B13" s="153" t="s">
        <v>232</v>
      </c>
      <c r="C13" s="154"/>
      <c r="D13" s="154"/>
      <c r="E13" s="154"/>
      <c r="F13" s="154"/>
      <c r="G13" s="126">
        <v>1</v>
      </c>
      <c r="H13" s="125" t="s">
        <v>282</v>
      </c>
      <c r="I13" s="125">
        <f>VLOOKUP(B13,Tabela_preços[[DESCRIÇÃO]:[VALOR]],3,FALSE)</f>
        <v>105.20399999999999</v>
      </c>
      <c r="J13" s="125">
        <f t="shared" si="1"/>
        <v>105.20399999999999</v>
      </c>
      <c r="L13" s="220"/>
      <c r="M13" s="220"/>
      <c r="N13" s="220"/>
      <c r="O13" s="26"/>
      <c r="P13" s="26"/>
      <c r="Q13" s="26"/>
      <c r="R13" s="26"/>
      <c r="S13" s="26"/>
      <c r="T13" s="26"/>
    </row>
    <row r="14" spans="1:20" ht="15.75" customHeight="1">
      <c r="A14" s="149"/>
      <c r="B14" s="175"/>
      <c r="C14" s="83"/>
      <c r="D14" s="83"/>
      <c r="E14" s="83"/>
      <c r="F14" s="83"/>
      <c r="G14" s="180"/>
      <c r="H14" s="79"/>
      <c r="I14" s="79"/>
      <c r="J14" s="79"/>
      <c r="L14" s="220"/>
      <c r="M14" s="220"/>
      <c r="N14" s="220"/>
      <c r="O14" s="26"/>
      <c r="P14" s="26"/>
      <c r="Q14" s="26"/>
      <c r="R14" s="26"/>
      <c r="S14" s="26"/>
      <c r="T14" s="26"/>
    </row>
    <row r="15" spans="1:20" ht="15.75" customHeight="1">
      <c r="A15" s="61"/>
      <c r="B15" s="61"/>
      <c r="C15" s="61"/>
      <c r="D15" s="61"/>
      <c r="E15" s="61"/>
      <c r="F15" s="61"/>
      <c r="G15" s="68"/>
      <c r="H15" s="68"/>
      <c r="I15" s="61"/>
      <c r="J15" s="61"/>
      <c r="K15" s="65"/>
      <c r="L15" s="199"/>
      <c r="M15" s="199"/>
      <c r="N15" s="220"/>
      <c r="O15" s="26"/>
      <c r="P15" s="26"/>
      <c r="Q15" s="26"/>
      <c r="R15" s="26"/>
      <c r="S15" s="26"/>
      <c r="T15" s="26"/>
    </row>
    <row r="16" spans="1:20" ht="15.75" customHeight="1">
      <c r="A16" s="120"/>
      <c r="B16" s="156" t="s">
        <v>235</v>
      </c>
      <c r="C16" s="154"/>
      <c r="D16" s="154"/>
      <c r="E16" s="119"/>
      <c r="F16" s="122"/>
      <c r="G16" s="165" t="s">
        <v>222</v>
      </c>
      <c r="H16" s="166" t="s">
        <v>285</v>
      </c>
      <c r="I16" s="158" t="s">
        <v>223</v>
      </c>
      <c r="J16" s="158" t="s">
        <v>281</v>
      </c>
      <c r="K16" s="65"/>
      <c r="L16" s="220"/>
      <c r="M16" s="220"/>
      <c r="N16" s="220"/>
      <c r="O16" s="26"/>
      <c r="P16" s="26"/>
      <c r="Q16" s="26"/>
      <c r="R16" s="26"/>
      <c r="S16" s="26"/>
      <c r="T16" s="26"/>
    </row>
    <row r="17" spans="1:20" ht="15.75" customHeight="1">
      <c r="A17" s="152" t="s">
        <v>236</v>
      </c>
      <c r="B17" s="153" t="s">
        <v>237</v>
      </c>
      <c r="C17" s="154"/>
      <c r="D17" s="154"/>
      <c r="E17" s="154"/>
      <c r="F17" s="154"/>
      <c r="G17" s="126">
        <v>2</v>
      </c>
      <c r="H17" s="125" t="s">
        <v>282</v>
      </c>
      <c r="I17" s="127">
        <f>VLOOKUP(B17,Tabela_preços[[DESCRIÇÃO]:[VALOR]],3,FALSE)</f>
        <v>185</v>
      </c>
      <c r="J17" s="127">
        <f t="shared" ref="J17" si="2">I17*G17</f>
        <v>370</v>
      </c>
      <c r="K17" s="62"/>
      <c r="L17" s="61"/>
      <c r="M17" s="61"/>
      <c r="N17" s="61"/>
      <c r="O17" s="26"/>
      <c r="P17" s="26"/>
      <c r="Q17" s="26"/>
      <c r="R17" s="26"/>
      <c r="S17" s="26"/>
      <c r="T17" s="26"/>
    </row>
    <row r="18" spans="1:20" ht="15.75" customHeight="1">
      <c r="A18" s="152">
        <v>865</v>
      </c>
      <c r="B18" s="153" t="s">
        <v>305</v>
      </c>
      <c r="C18" s="154"/>
      <c r="D18" s="154"/>
      <c r="E18" s="154"/>
      <c r="F18" s="154"/>
      <c r="G18" s="126">
        <v>20</v>
      </c>
      <c r="H18" s="125" t="s">
        <v>282</v>
      </c>
      <c r="I18" s="127">
        <f>VLOOKUP(B18,Tabela_preços[[DESCRIÇÃO]:[VALOR]],3,FALSE)</f>
        <v>65</v>
      </c>
      <c r="J18" s="127">
        <f t="shared" ref="J18:J27" si="3">I18*G18</f>
        <v>1300</v>
      </c>
      <c r="K18" s="62"/>
      <c r="L18" s="61"/>
      <c r="M18" s="61"/>
      <c r="N18" s="61"/>
      <c r="O18" s="26"/>
      <c r="P18" s="26"/>
      <c r="Q18" s="26"/>
      <c r="R18" s="26"/>
      <c r="S18" s="26"/>
      <c r="T18" s="26"/>
    </row>
    <row r="19" spans="1:20" ht="15.75" customHeight="1">
      <c r="A19" s="152" t="s">
        <v>240</v>
      </c>
      <c r="B19" s="153" t="s">
        <v>241</v>
      </c>
      <c r="C19" s="154"/>
      <c r="D19" s="154"/>
      <c r="E19" s="154"/>
      <c r="F19" s="154"/>
      <c r="G19" s="126">
        <v>0.1</v>
      </c>
      <c r="H19" s="125">
        <v>0.1</v>
      </c>
      <c r="I19" s="127">
        <f>VLOOKUP(B19,Tabela_preços[[DESCRIÇÃO]:[VALOR]],3,FALSE)</f>
        <v>2900</v>
      </c>
      <c r="J19" s="127">
        <f t="shared" si="3"/>
        <v>290</v>
      </c>
      <c r="K19" s="65"/>
      <c r="L19" s="61"/>
      <c r="M19" s="61"/>
      <c r="N19" s="61"/>
      <c r="O19" s="26"/>
      <c r="P19" s="26"/>
      <c r="Q19" s="26"/>
      <c r="R19" s="26"/>
      <c r="S19" s="26"/>
      <c r="T19" s="26"/>
    </row>
    <row r="20" spans="1:20" ht="15.75" customHeight="1">
      <c r="A20" s="152" t="s">
        <v>243</v>
      </c>
      <c r="B20" s="153" t="s">
        <v>244</v>
      </c>
      <c r="C20" s="154"/>
      <c r="D20" s="154"/>
      <c r="E20" s="154"/>
      <c r="F20" s="154"/>
      <c r="G20" s="126">
        <v>0.1</v>
      </c>
      <c r="H20" s="125">
        <v>0.1</v>
      </c>
      <c r="I20" s="127">
        <f>VLOOKUP(B20,Tabela_preços[[DESCRIÇÃO]:[VALOR]],3,FALSE)</f>
        <v>2900</v>
      </c>
      <c r="J20" s="127">
        <f t="shared" si="3"/>
        <v>290</v>
      </c>
      <c r="K20" s="65"/>
      <c r="L20" s="220"/>
      <c r="M20" s="220"/>
      <c r="N20" s="220"/>
      <c r="O20" s="26"/>
      <c r="P20" s="26"/>
      <c r="Q20" s="26"/>
      <c r="R20" s="26"/>
      <c r="S20" s="26"/>
      <c r="T20" s="26"/>
    </row>
    <row r="21" spans="1:20" ht="15.75" customHeight="1">
      <c r="A21" s="152" t="s">
        <v>245</v>
      </c>
      <c r="B21" s="153" t="s">
        <v>302</v>
      </c>
      <c r="C21" s="154"/>
      <c r="D21" s="154"/>
      <c r="E21" s="154"/>
      <c r="F21" s="154"/>
      <c r="G21" s="126">
        <v>2</v>
      </c>
      <c r="H21" s="125" t="s">
        <v>282</v>
      </c>
      <c r="I21" s="127">
        <f>VLOOKUP(B21,Tabela_preços[[DESCRIÇÃO]:[VALOR]],3,FALSE)</f>
        <v>46.15</v>
      </c>
      <c r="J21" s="127">
        <f t="shared" si="3"/>
        <v>92.3</v>
      </c>
      <c r="K21" s="65"/>
      <c r="L21" s="61"/>
      <c r="M21" s="61"/>
      <c r="N21" s="61"/>
      <c r="O21" s="26"/>
      <c r="P21" s="26"/>
      <c r="Q21" s="26"/>
      <c r="R21" s="26"/>
      <c r="S21" s="26"/>
      <c r="T21" s="26"/>
    </row>
    <row r="22" spans="1:20" ht="15.75" customHeight="1">
      <c r="A22" s="152" t="s">
        <v>246</v>
      </c>
      <c r="B22" s="153" t="s">
        <v>297</v>
      </c>
      <c r="C22" s="154"/>
      <c r="D22" s="154"/>
      <c r="E22" s="154"/>
      <c r="F22" s="154"/>
      <c r="G22" s="126">
        <v>3</v>
      </c>
      <c r="H22" s="125" t="s">
        <v>282</v>
      </c>
      <c r="I22" s="127">
        <f>VLOOKUP(B22,Tabela_preços[[DESCRIÇÃO]:[VALOR]],3,FALSE)</f>
        <v>58.65</v>
      </c>
      <c r="J22" s="127">
        <f t="shared" si="3"/>
        <v>175.95</v>
      </c>
      <c r="K22" s="65"/>
      <c r="L22" s="61"/>
      <c r="M22" s="61"/>
      <c r="N22" s="61"/>
      <c r="O22" s="26"/>
      <c r="P22" s="26"/>
      <c r="Q22" s="26"/>
      <c r="R22" s="26"/>
      <c r="S22" s="26"/>
      <c r="T22" s="26"/>
    </row>
    <row r="23" spans="1:20" ht="15.75" customHeight="1">
      <c r="A23" s="152" t="s">
        <v>247</v>
      </c>
      <c r="B23" s="153" t="s">
        <v>261</v>
      </c>
      <c r="C23" s="154"/>
      <c r="D23" s="154"/>
      <c r="E23" s="154"/>
      <c r="F23" s="154"/>
      <c r="G23" s="126">
        <v>1.5</v>
      </c>
      <c r="H23" s="125" t="s">
        <v>282</v>
      </c>
      <c r="I23" s="127">
        <f>VLOOKUP(B23,Tabela_preços[[DESCRIÇÃO]:[VALOR]],3,FALSE)</f>
        <v>87.706800000000001</v>
      </c>
      <c r="J23" s="127">
        <f t="shared" si="3"/>
        <v>131.56020000000001</v>
      </c>
      <c r="K23" s="65"/>
      <c r="L23" s="61"/>
      <c r="M23" s="61"/>
      <c r="N23" s="61"/>
      <c r="O23" s="26"/>
      <c r="P23" s="26"/>
      <c r="Q23" s="26"/>
      <c r="R23" s="26"/>
      <c r="S23" s="26"/>
      <c r="T23" s="26"/>
    </row>
    <row r="24" spans="1:20" ht="15.75" customHeight="1">
      <c r="A24" s="152" t="s">
        <v>248</v>
      </c>
      <c r="B24" s="153" t="s">
        <v>301</v>
      </c>
      <c r="C24" s="154"/>
      <c r="D24" s="154"/>
      <c r="E24" s="154"/>
      <c r="F24" s="154"/>
      <c r="G24" s="126">
        <v>1</v>
      </c>
      <c r="H24" s="125" t="s">
        <v>282</v>
      </c>
      <c r="I24" s="127">
        <f>VLOOKUP(B24,Tabela_preços[[DESCRIÇÃO]:[VALOR]],3,FALSE)</f>
        <v>33.64</v>
      </c>
      <c r="J24" s="127">
        <f t="shared" si="3"/>
        <v>33.64</v>
      </c>
      <c r="K24" s="65"/>
      <c r="L24" s="61"/>
      <c r="M24" s="61"/>
      <c r="N24" s="61"/>
      <c r="O24" s="26"/>
      <c r="P24" s="26"/>
      <c r="Q24" s="26"/>
      <c r="R24" s="26"/>
      <c r="S24" s="26"/>
      <c r="T24" s="26"/>
    </row>
    <row r="25" spans="1:20" ht="15.75" customHeight="1">
      <c r="A25" s="152" t="s">
        <v>249</v>
      </c>
      <c r="B25" s="153" t="s">
        <v>299</v>
      </c>
      <c r="C25" s="154"/>
      <c r="D25" s="154"/>
      <c r="E25" s="154"/>
      <c r="F25" s="154"/>
      <c r="G25" s="126">
        <v>1</v>
      </c>
      <c r="H25" s="125" t="s">
        <v>282</v>
      </c>
      <c r="I25" s="127">
        <f>VLOOKUP(B25,Tabela_preços[[DESCRIÇÃO]:[VALOR]],3,FALSE)</f>
        <v>99</v>
      </c>
      <c r="J25" s="127">
        <f t="shared" si="3"/>
        <v>99</v>
      </c>
      <c r="K25" s="65"/>
      <c r="L25" s="61"/>
      <c r="M25" s="61"/>
      <c r="N25" s="61"/>
      <c r="O25" s="26"/>
      <c r="P25" s="26"/>
      <c r="Q25" s="26"/>
      <c r="R25" s="26"/>
      <c r="S25" s="26"/>
      <c r="T25" s="26"/>
    </row>
    <row r="26" spans="1:20" ht="15.75" customHeight="1">
      <c r="A26" s="152" t="s">
        <v>250</v>
      </c>
      <c r="B26" s="153" t="s">
        <v>310</v>
      </c>
      <c r="C26" s="154"/>
      <c r="D26" s="154"/>
      <c r="E26" s="154"/>
      <c r="F26" s="154"/>
      <c r="G26" s="126">
        <v>100</v>
      </c>
      <c r="H26" s="125" t="s">
        <v>282</v>
      </c>
      <c r="I26" s="127">
        <f>VLOOKUP(B26,Tabela_preços[[DESCRIÇÃO]:[VALOR]],3,FALSE)</f>
        <v>2</v>
      </c>
      <c r="J26" s="127">
        <f t="shared" si="3"/>
        <v>200</v>
      </c>
      <c r="K26" s="65"/>
      <c r="L26" s="61"/>
      <c r="M26" s="61"/>
      <c r="N26" s="61"/>
      <c r="O26" s="26"/>
      <c r="P26" s="26"/>
      <c r="Q26" s="26"/>
      <c r="R26" s="26"/>
      <c r="S26" s="26"/>
      <c r="T26" s="26"/>
    </row>
    <row r="27" spans="1:20" ht="15.75" customHeight="1">
      <c r="A27" s="152" t="s">
        <v>251</v>
      </c>
      <c r="B27" s="153" t="s">
        <v>307</v>
      </c>
      <c r="C27" s="154"/>
      <c r="D27" s="154"/>
      <c r="E27" s="154"/>
      <c r="F27" s="154"/>
      <c r="G27" s="126">
        <v>100</v>
      </c>
      <c r="H27" s="125" t="s">
        <v>282</v>
      </c>
      <c r="I27" s="127">
        <f>VLOOKUP(B27,Tabela_preços[[DESCRIÇÃO]:[VALOR]],3,FALSE)</f>
        <v>0.45200000000000001</v>
      </c>
      <c r="J27" s="127">
        <f t="shared" si="3"/>
        <v>45.2</v>
      </c>
      <c r="K27" s="65"/>
      <c r="L27" s="61"/>
      <c r="M27" s="61"/>
      <c r="N27" s="61"/>
      <c r="O27" s="26"/>
      <c r="P27" s="26"/>
      <c r="Q27" s="26"/>
      <c r="R27" s="26"/>
      <c r="S27" s="26"/>
      <c r="T27" s="26"/>
    </row>
    <row r="28" spans="1:20" ht="15.75" customHeight="1">
      <c r="A28" s="61"/>
      <c r="B28" s="61"/>
      <c r="C28" s="61"/>
      <c r="D28" s="61"/>
      <c r="E28" s="83"/>
      <c r="F28" s="61"/>
      <c r="G28" s="68"/>
      <c r="H28" s="90"/>
      <c r="I28" s="93"/>
      <c r="J28" s="62"/>
      <c r="K28" s="65"/>
      <c r="L28" s="61"/>
      <c r="M28" s="61"/>
      <c r="N28" s="61"/>
      <c r="O28" s="26"/>
      <c r="P28" s="26"/>
      <c r="Q28" s="26"/>
      <c r="R28" s="26"/>
      <c r="S28" s="26"/>
      <c r="T28" s="26"/>
    </row>
    <row r="29" spans="1:20" ht="15.75" customHeight="1">
      <c r="A29" s="120"/>
      <c r="B29" s="156" t="s">
        <v>252</v>
      </c>
      <c r="C29" s="154"/>
      <c r="D29" s="154"/>
      <c r="E29" s="119"/>
      <c r="F29" s="122"/>
      <c r="G29" s="165" t="s">
        <v>222</v>
      </c>
      <c r="H29" s="166" t="s">
        <v>285</v>
      </c>
      <c r="I29" s="158" t="s">
        <v>223</v>
      </c>
      <c r="J29" s="158" t="s">
        <v>281</v>
      </c>
      <c r="K29" s="65"/>
      <c r="L29" s="61"/>
      <c r="M29" s="61"/>
      <c r="N29" s="61"/>
      <c r="O29" s="26"/>
      <c r="P29" s="26"/>
      <c r="Q29" s="26"/>
      <c r="R29" s="26"/>
      <c r="S29" s="26"/>
      <c r="T29" s="26"/>
    </row>
    <row r="30" spans="1:20" ht="15.75" customHeight="1">
      <c r="A30" s="152" t="s">
        <v>253</v>
      </c>
      <c r="B30" s="153" t="s">
        <v>306</v>
      </c>
      <c r="C30" s="154"/>
      <c r="D30" s="154"/>
      <c r="E30" s="154"/>
      <c r="F30" s="154"/>
      <c r="G30" s="126">
        <v>0.2</v>
      </c>
      <c r="H30" s="125" t="s">
        <v>300</v>
      </c>
      <c r="I30" s="127">
        <f>VLOOKUP(B30,Tabela_preços[[DESCRIÇÃO]:[VALOR]],3,FALSE)</f>
        <v>28.000000000000004</v>
      </c>
      <c r="J30" s="127">
        <f t="shared" ref="J30" si="4">I30*G30</f>
        <v>5.6000000000000014</v>
      </c>
      <c r="K30" s="62"/>
      <c r="L30" s="61"/>
      <c r="M30" s="61"/>
      <c r="N30" s="61"/>
      <c r="O30" s="26"/>
      <c r="P30" s="26"/>
      <c r="Q30" s="26"/>
      <c r="R30" s="26"/>
      <c r="S30" s="26"/>
      <c r="T30" s="26"/>
    </row>
    <row r="31" spans="1:20" ht="15.75" customHeight="1">
      <c r="A31" s="152" t="s">
        <v>254</v>
      </c>
      <c r="B31" s="153" t="s">
        <v>298</v>
      </c>
      <c r="C31" s="154"/>
      <c r="D31" s="154"/>
      <c r="E31" s="154"/>
      <c r="F31" s="154"/>
      <c r="G31" s="126">
        <v>0.2</v>
      </c>
      <c r="H31" s="125" t="s">
        <v>300</v>
      </c>
      <c r="I31" s="127">
        <f>VLOOKUP(B31,Tabela_preços[[DESCRIÇÃO]:[VALOR]],3,FALSE)</f>
        <v>18</v>
      </c>
      <c r="J31" s="127">
        <f t="shared" ref="J31" si="5">I31*G31</f>
        <v>3.6</v>
      </c>
      <c r="K31" s="62"/>
      <c r="L31" s="61"/>
      <c r="M31" s="61"/>
      <c r="N31" s="61"/>
      <c r="O31" s="26"/>
      <c r="P31" s="26"/>
      <c r="Q31" s="26"/>
      <c r="R31" s="26"/>
      <c r="S31" s="26"/>
      <c r="T31" s="26"/>
    </row>
    <row r="32" spans="1:20" ht="15.75" customHeight="1">
      <c r="A32" s="61"/>
      <c r="B32" s="61"/>
      <c r="C32" s="61"/>
      <c r="D32" s="61"/>
      <c r="E32" s="83"/>
      <c r="F32" s="61"/>
      <c r="G32" s="147"/>
      <c r="H32" s="76"/>
      <c r="I32" s="115"/>
      <c r="J32" s="100"/>
      <c r="K32" s="61"/>
      <c r="L32" s="61"/>
      <c r="M32" s="61"/>
      <c r="N32" s="61"/>
      <c r="O32" s="26"/>
      <c r="P32" s="26"/>
      <c r="Q32" s="26"/>
      <c r="R32" s="26"/>
      <c r="S32" s="26"/>
      <c r="T32" s="26"/>
    </row>
    <row r="33" spans="1:20" ht="12.75">
      <c r="A33" s="26"/>
      <c r="B33" s="26"/>
      <c r="C33" s="26"/>
      <c r="D33" s="26"/>
      <c r="E33" s="26"/>
      <c r="F33" s="26"/>
      <c r="G33" s="76"/>
      <c r="H33" s="76"/>
      <c r="I33" s="95" t="s">
        <v>288</v>
      </c>
      <c r="J33" s="94">
        <f>SUM(J6:J30)</f>
        <v>3762.2511999999997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2.75">
      <c r="A34" s="26"/>
      <c r="B34" s="26"/>
      <c r="C34" s="26"/>
      <c r="D34" s="26"/>
      <c r="E34" s="26"/>
      <c r="F34" s="26"/>
      <c r="G34" s="76"/>
      <c r="H34" s="76"/>
      <c r="I34" s="115"/>
      <c r="J34" s="100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2.75">
      <c r="A35" s="26"/>
      <c r="B35" s="26"/>
      <c r="C35" s="26"/>
      <c r="D35" s="26"/>
      <c r="E35" s="26"/>
      <c r="F35" s="26"/>
      <c r="G35" s="76"/>
      <c r="H35" s="76"/>
      <c r="I35" s="115"/>
      <c r="J35" s="100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2.75">
      <c r="A36" s="26"/>
      <c r="B36" s="26"/>
      <c r="C36" s="26"/>
      <c r="D36" s="26"/>
      <c r="E36" s="26"/>
      <c r="F36" s="26"/>
      <c r="G36" s="76"/>
      <c r="H36" s="76"/>
      <c r="I36" s="115"/>
      <c r="J36" s="100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2.75">
      <c r="A37" s="26"/>
      <c r="B37" s="26"/>
      <c r="C37" s="26"/>
      <c r="D37" s="26"/>
      <c r="E37" s="26"/>
      <c r="F37" s="26"/>
      <c r="G37" s="76"/>
      <c r="H37" s="76"/>
      <c r="I37" s="115"/>
      <c r="J37" s="100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2.75">
      <c r="A38" s="26"/>
      <c r="B38" s="26"/>
      <c r="C38" s="26"/>
      <c r="D38" s="26"/>
      <c r="E38" s="26"/>
      <c r="F38" s="26"/>
      <c r="G38" s="76"/>
      <c r="H38" s="76"/>
      <c r="I38" s="115"/>
      <c r="J38" s="100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ht="12.75">
      <c r="A39" s="26"/>
      <c r="B39" s="26"/>
      <c r="C39" s="26"/>
      <c r="D39" s="26"/>
      <c r="E39" s="26"/>
      <c r="F39" s="26"/>
      <c r="G39" s="76"/>
      <c r="H39" s="76"/>
      <c r="I39" s="115"/>
      <c r="J39" s="100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ht="12.75">
      <c r="A40" s="26"/>
      <c r="B40" s="26"/>
      <c r="C40" s="26"/>
      <c r="D40" s="26"/>
      <c r="E40" s="26"/>
      <c r="F40" s="26"/>
      <c r="G40" s="76"/>
      <c r="H40" s="76"/>
      <c r="I40" s="115"/>
      <c r="J40" s="100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ht="12.75">
      <c r="A41" s="26"/>
      <c r="B41" s="26"/>
      <c r="C41" s="26"/>
      <c r="D41" s="26"/>
      <c r="E41" s="26"/>
      <c r="F41" s="26"/>
      <c r="G41" s="76"/>
      <c r="H41" s="76"/>
      <c r="I41" s="115"/>
      <c r="J41" s="100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 spans="1:20" ht="12.75">
      <c r="A42" s="26"/>
      <c r="B42" s="26"/>
      <c r="C42" s="26"/>
      <c r="D42" s="26"/>
      <c r="E42" s="26"/>
      <c r="F42" s="26"/>
      <c r="G42" s="76"/>
      <c r="H42" s="76"/>
      <c r="I42" s="115"/>
      <c r="J42" s="100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 spans="1:20" ht="12.75">
      <c r="A43" s="26"/>
      <c r="B43" s="26"/>
      <c r="C43" s="26"/>
      <c r="D43" s="26"/>
      <c r="E43" s="26"/>
      <c r="F43" s="26"/>
      <c r="G43" s="76"/>
      <c r="H43" s="76"/>
      <c r="I43" s="115"/>
      <c r="J43" s="100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ht="12.75">
      <c r="A44" s="26"/>
      <c r="B44" s="26"/>
      <c r="C44" s="26"/>
      <c r="D44" s="26"/>
      <c r="E44" s="26"/>
      <c r="F44" s="26"/>
      <c r="G44" s="76"/>
      <c r="H44" s="76"/>
      <c r="I44" s="115"/>
      <c r="J44" s="100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spans="1:20" ht="12.75">
      <c r="A45" s="26"/>
      <c r="B45" s="26"/>
      <c r="C45" s="26"/>
      <c r="D45" s="26"/>
      <c r="E45" s="26"/>
      <c r="F45" s="26"/>
      <c r="G45" s="76"/>
      <c r="H45" s="76"/>
      <c r="I45" s="115"/>
      <c r="J45" s="100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 spans="1:20" ht="12.75">
      <c r="A46" s="26"/>
      <c r="B46" s="26"/>
      <c r="C46" s="26"/>
      <c r="D46" s="26"/>
      <c r="E46" s="26"/>
      <c r="F46" s="26"/>
      <c r="G46" s="76"/>
      <c r="H46" s="76"/>
      <c r="I46" s="115"/>
      <c r="J46" s="100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ht="12.75">
      <c r="A47" s="26"/>
      <c r="B47" s="26"/>
      <c r="C47" s="26"/>
      <c r="D47" s="26"/>
      <c r="E47" s="26"/>
      <c r="F47" s="26"/>
      <c r="G47" s="76"/>
      <c r="H47" s="76"/>
      <c r="I47" s="115"/>
      <c r="J47" s="100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 spans="1:20" ht="12.75">
      <c r="A48" s="26"/>
      <c r="B48" s="26"/>
      <c r="C48" s="26"/>
      <c r="D48" s="26"/>
      <c r="E48" s="26"/>
      <c r="F48" s="26"/>
      <c r="G48" s="76"/>
      <c r="H48" s="76"/>
      <c r="I48" s="115"/>
      <c r="J48" s="100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20" ht="12.75">
      <c r="A49" s="26"/>
      <c r="B49" s="26"/>
      <c r="C49" s="26"/>
      <c r="D49" s="26"/>
      <c r="E49" s="26"/>
      <c r="F49" s="26"/>
      <c r="G49" s="76"/>
      <c r="H49" s="76"/>
      <c r="I49" s="115"/>
      <c r="J49" s="100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 ht="12.75">
      <c r="A50" s="26"/>
      <c r="B50" s="26"/>
      <c r="C50" s="26"/>
      <c r="D50" s="26"/>
      <c r="E50" s="26"/>
      <c r="F50" s="26"/>
      <c r="G50" s="76"/>
      <c r="H50" s="76"/>
      <c r="I50" s="115"/>
      <c r="J50" s="100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0" ht="12.75">
      <c r="A51" s="26"/>
      <c r="B51" s="26"/>
      <c r="C51" s="26"/>
      <c r="D51" s="26"/>
      <c r="E51" s="26"/>
      <c r="F51" s="26"/>
      <c r="G51" s="76"/>
      <c r="H51" s="76"/>
      <c r="I51" s="115"/>
      <c r="J51" s="100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ht="12.75">
      <c r="A52" s="26"/>
      <c r="B52" s="26"/>
      <c r="C52" s="26"/>
      <c r="D52" s="26"/>
      <c r="E52" s="26"/>
      <c r="F52" s="26"/>
      <c r="G52" s="76"/>
      <c r="H52" s="76"/>
      <c r="I52" s="115"/>
      <c r="J52" s="100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ht="12.75">
      <c r="A53" s="26"/>
      <c r="B53" s="26"/>
      <c r="C53" s="26"/>
      <c r="D53" s="26"/>
      <c r="E53" s="26"/>
      <c r="F53" s="26"/>
      <c r="G53" s="76"/>
      <c r="H53" s="76"/>
      <c r="I53" s="115"/>
      <c r="J53" s="100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spans="1:20" ht="12.75">
      <c r="A54" s="26"/>
      <c r="B54" s="26"/>
      <c r="C54" s="26"/>
      <c r="D54" s="26"/>
      <c r="E54" s="26"/>
      <c r="F54" s="26"/>
      <c r="G54" s="76"/>
      <c r="H54" s="76"/>
      <c r="I54" s="115"/>
      <c r="J54" s="100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spans="1:20" ht="12.75">
      <c r="A55" s="26"/>
      <c r="B55" s="26"/>
      <c r="C55" s="26"/>
      <c r="D55" s="26"/>
      <c r="E55" s="26"/>
      <c r="F55" s="26"/>
      <c r="G55" s="76"/>
      <c r="H55" s="76"/>
      <c r="I55" s="115"/>
      <c r="J55" s="100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spans="1:20" ht="12.75">
      <c r="A56" s="26"/>
      <c r="B56" s="26"/>
      <c r="C56" s="26"/>
      <c r="D56" s="26"/>
      <c r="E56" s="26"/>
      <c r="F56" s="26"/>
      <c r="G56" s="76"/>
      <c r="H56" s="76"/>
      <c r="I56" s="115"/>
      <c r="J56" s="100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 spans="1:20" ht="12.75">
      <c r="A57" s="26"/>
      <c r="B57" s="26"/>
      <c r="C57" s="26"/>
      <c r="D57" s="26"/>
      <c r="E57" s="26"/>
      <c r="F57" s="26"/>
      <c r="G57" s="76"/>
      <c r="H57" s="76"/>
      <c r="I57" s="115"/>
      <c r="J57" s="100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 spans="1:20" ht="12.75">
      <c r="A58" s="26"/>
      <c r="B58" s="26"/>
      <c r="C58" s="26"/>
      <c r="D58" s="26"/>
      <c r="E58" s="26"/>
      <c r="F58" s="26"/>
      <c r="G58" s="76"/>
      <c r="H58" s="76"/>
      <c r="I58" s="115"/>
      <c r="J58" s="100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ht="12.75">
      <c r="A59" s="26"/>
      <c r="B59" s="26"/>
      <c r="C59" s="26"/>
      <c r="D59" s="26"/>
      <c r="E59" s="26"/>
      <c r="F59" s="26"/>
      <c r="G59" s="76"/>
      <c r="H59" s="76"/>
      <c r="I59" s="115"/>
      <c r="J59" s="100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20" ht="12.75">
      <c r="A60" s="26"/>
      <c r="B60" s="26"/>
      <c r="C60" s="26"/>
      <c r="D60" s="26"/>
      <c r="E60" s="26"/>
      <c r="F60" s="26"/>
      <c r="G60" s="76"/>
      <c r="H60" s="76"/>
      <c r="I60" s="115"/>
      <c r="J60" s="100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 ht="12.75">
      <c r="A61" s="26"/>
      <c r="B61" s="26"/>
      <c r="C61" s="26"/>
      <c r="D61" s="26"/>
      <c r="E61" s="26"/>
      <c r="F61" s="26"/>
      <c r="G61" s="76"/>
      <c r="H61" s="76"/>
      <c r="I61" s="115"/>
      <c r="J61" s="100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 ht="12.75">
      <c r="A62" s="26"/>
      <c r="B62" s="26"/>
      <c r="C62" s="26"/>
      <c r="D62" s="26"/>
      <c r="E62" s="26"/>
      <c r="F62" s="26"/>
      <c r="G62" s="76"/>
      <c r="H62" s="76"/>
      <c r="I62" s="115"/>
      <c r="J62" s="100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ht="12.75">
      <c r="A63" s="26"/>
      <c r="B63" s="26"/>
      <c r="C63" s="26"/>
      <c r="D63" s="26"/>
      <c r="E63" s="26"/>
      <c r="F63" s="26"/>
      <c r="G63" s="76"/>
      <c r="H63" s="76"/>
      <c r="I63" s="115"/>
      <c r="J63" s="100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ht="12.75">
      <c r="A64" s="26"/>
      <c r="B64" s="26"/>
      <c r="C64" s="26"/>
      <c r="D64" s="26"/>
      <c r="E64" s="26"/>
      <c r="F64" s="26"/>
      <c r="G64" s="76"/>
      <c r="H64" s="76"/>
      <c r="I64" s="115"/>
      <c r="J64" s="100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ht="12.75">
      <c r="A65" s="26"/>
      <c r="B65" s="26"/>
      <c r="C65" s="26"/>
      <c r="D65" s="26"/>
      <c r="E65" s="26"/>
      <c r="F65" s="26"/>
      <c r="G65" s="76"/>
      <c r="H65" s="76"/>
      <c r="I65" s="115"/>
      <c r="J65" s="100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ht="12.75">
      <c r="A66" s="26"/>
      <c r="B66" s="26"/>
      <c r="C66" s="26"/>
      <c r="D66" s="26"/>
      <c r="E66" s="26"/>
      <c r="F66" s="26"/>
      <c r="G66" s="76"/>
      <c r="H66" s="76"/>
      <c r="I66" s="115"/>
      <c r="J66" s="100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 ht="12.75">
      <c r="A67" s="26"/>
      <c r="B67" s="26"/>
      <c r="C67" s="26"/>
      <c r="D67" s="26"/>
      <c r="E67" s="26"/>
      <c r="F67" s="26"/>
      <c r="G67" s="76"/>
      <c r="H67" s="76"/>
      <c r="I67" s="115"/>
      <c r="J67" s="100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20" ht="12.75">
      <c r="A68" s="26"/>
      <c r="B68" s="26"/>
      <c r="C68" s="26"/>
      <c r="D68" s="26"/>
      <c r="E68" s="26"/>
      <c r="F68" s="26"/>
      <c r="G68" s="76"/>
      <c r="H68" s="76"/>
      <c r="I68" s="115"/>
      <c r="J68" s="100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 ht="12.75">
      <c r="A69" s="26"/>
      <c r="B69" s="26"/>
      <c r="C69" s="26"/>
      <c r="D69" s="26"/>
      <c r="E69" s="26"/>
      <c r="F69" s="26"/>
      <c r="G69" s="76"/>
      <c r="H69" s="76"/>
      <c r="I69" s="115"/>
      <c r="J69" s="100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spans="1:20" ht="12.75">
      <c r="A70" s="26"/>
      <c r="B70" s="26"/>
      <c r="C70" s="26"/>
      <c r="D70" s="26"/>
      <c r="E70" s="26"/>
      <c r="F70" s="26"/>
      <c r="G70" s="76"/>
      <c r="H70" s="76"/>
      <c r="I70" s="115"/>
      <c r="J70" s="100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spans="1:20" ht="12.75">
      <c r="A71" s="26"/>
      <c r="B71" s="26"/>
      <c r="C71" s="26"/>
      <c r="D71" s="26"/>
      <c r="E71" s="26"/>
      <c r="F71" s="26"/>
      <c r="G71" s="76"/>
      <c r="H71" s="76"/>
      <c r="I71" s="115"/>
      <c r="J71" s="100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spans="1:20" ht="12.75">
      <c r="A72" s="26"/>
      <c r="B72" s="26"/>
      <c r="C72" s="26"/>
      <c r="D72" s="26"/>
      <c r="E72" s="26"/>
      <c r="F72" s="26"/>
      <c r="G72" s="76"/>
      <c r="H72" s="76"/>
      <c r="I72" s="115"/>
      <c r="J72" s="100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ht="12.75">
      <c r="A73" s="26"/>
      <c r="B73" s="26"/>
      <c r="C73" s="26"/>
      <c r="D73" s="26"/>
      <c r="E73" s="26"/>
      <c r="F73" s="26"/>
      <c r="G73" s="76"/>
      <c r="H73" s="76"/>
      <c r="I73" s="115"/>
      <c r="J73" s="100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1:20" ht="12.75">
      <c r="A74" s="26"/>
      <c r="B74" s="26"/>
      <c r="C74" s="26"/>
      <c r="D74" s="26"/>
      <c r="E74" s="26"/>
      <c r="F74" s="26"/>
      <c r="G74" s="76"/>
      <c r="H74" s="76"/>
      <c r="I74" s="115"/>
      <c r="J74" s="100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1:20" ht="12.75">
      <c r="A75" s="26"/>
      <c r="B75" s="26"/>
      <c r="C75" s="26"/>
      <c r="D75" s="26"/>
      <c r="E75" s="26"/>
      <c r="F75" s="26"/>
      <c r="G75" s="76"/>
      <c r="H75" s="76"/>
      <c r="I75" s="115"/>
      <c r="J75" s="100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20" ht="12.75">
      <c r="A76" s="26"/>
      <c r="B76" s="26"/>
      <c r="C76" s="26"/>
      <c r="D76" s="26"/>
      <c r="E76" s="26"/>
      <c r="F76" s="26"/>
      <c r="G76" s="76"/>
      <c r="H76" s="76"/>
      <c r="I76" s="115"/>
      <c r="J76" s="100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spans="1:20" ht="12.75">
      <c r="A77" s="26"/>
      <c r="B77" s="26"/>
      <c r="C77" s="26"/>
      <c r="D77" s="26"/>
      <c r="E77" s="26"/>
      <c r="F77" s="26"/>
      <c r="G77" s="76"/>
      <c r="H77" s="76"/>
      <c r="I77" s="115"/>
      <c r="J77" s="100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spans="1:20" ht="12.75">
      <c r="A78" s="26"/>
      <c r="B78" s="26"/>
      <c r="C78" s="26"/>
      <c r="D78" s="26"/>
      <c r="E78" s="26"/>
      <c r="F78" s="26"/>
      <c r="G78" s="76"/>
      <c r="H78" s="76"/>
      <c r="I78" s="115"/>
      <c r="J78" s="100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spans="1:20" ht="12.75">
      <c r="A79" s="26"/>
      <c r="B79" s="26"/>
      <c r="C79" s="26"/>
      <c r="D79" s="26"/>
      <c r="E79" s="26"/>
      <c r="F79" s="26"/>
      <c r="G79" s="76"/>
      <c r="H79" s="76"/>
      <c r="I79" s="115"/>
      <c r="J79" s="100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 ht="12.75">
      <c r="A80" s="26"/>
      <c r="B80" s="26"/>
      <c r="C80" s="26"/>
      <c r="D80" s="26"/>
      <c r="E80" s="26"/>
      <c r="F80" s="26"/>
      <c r="G80" s="76"/>
      <c r="H80" s="76"/>
      <c r="I80" s="115"/>
      <c r="J80" s="100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20" ht="12.75">
      <c r="A81" s="26"/>
      <c r="B81" s="26"/>
      <c r="C81" s="26"/>
      <c r="D81" s="26"/>
      <c r="E81" s="26"/>
      <c r="F81" s="26"/>
      <c r="G81" s="76"/>
      <c r="H81" s="76"/>
      <c r="I81" s="115"/>
      <c r="J81" s="100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spans="1:20" ht="12.75">
      <c r="A82" s="26"/>
      <c r="B82" s="26"/>
      <c r="C82" s="26"/>
      <c r="D82" s="26"/>
      <c r="E82" s="26"/>
      <c r="F82" s="26"/>
      <c r="G82" s="76"/>
      <c r="H82" s="76"/>
      <c r="I82" s="115"/>
      <c r="J82" s="100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spans="1:20" ht="12.75">
      <c r="A83" s="26"/>
      <c r="B83" s="26"/>
      <c r="C83" s="26"/>
      <c r="D83" s="26"/>
      <c r="E83" s="26"/>
      <c r="F83" s="26"/>
      <c r="G83" s="76"/>
      <c r="H83" s="76"/>
      <c r="I83" s="115"/>
      <c r="J83" s="100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spans="1:20" ht="12.75">
      <c r="A84" s="26"/>
      <c r="B84" s="26"/>
      <c r="C84" s="26"/>
      <c r="D84" s="26"/>
      <c r="E84" s="26"/>
      <c r="F84" s="26"/>
      <c r="G84" s="76"/>
      <c r="H84" s="76"/>
      <c r="I84" s="115"/>
      <c r="J84" s="100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 spans="1:20" ht="12.75">
      <c r="A85" s="26"/>
      <c r="B85" s="26"/>
      <c r="C85" s="26"/>
      <c r="D85" s="26"/>
      <c r="E85" s="26"/>
      <c r="F85" s="26"/>
      <c r="G85" s="76"/>
      <c r="H85" s="76"/>
      <c r="I85" s="115"/>
      <c r="J85" s="100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 spans="1:20" ht="12.75">
      <c r="A86" s="26"/>
      <c r="B86" s="26"/>
      <c r="C86" s="26"/>
      <c r="D86" s="26"/>
      <c r="E86" s="26"/>
      <c r="F86" s="26"/>
      <c r="G86" s="76"/>
      <c r="H86" s="76"/>
      <c r="I86" s="115"/>
      <c r="J86" s="100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spans="1:20" ht="12.75">
      <c r="A87" s="26"/>
      <c r="B87" s="26"/>
      <c r="C87" s="26"/>
      <c r="D87" s="26"/>
      <c r="E87" s="26"/>
      <c r="F87" s="26"/>
      <c r="G87" s="76"/>
      <c r="H87" s="76"/>
      <c r="I87" s="115"/>
      <c r="J87" s="100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 spans="1:20" ht="12.75">
      <c r="A88" s="26"/>
      <c r="B88" s="26"/>
      <c r="C88" s="26"/>
      <c r="D88" s="26"/>
      <c r="E88" s="26"/>
      <c r="F88" s="26"/>
      <c r="G88" s="76"/>
      <c r="H88" s="76"/>
      <c r="I88" s="115"/>
      <c r="J88" s="100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spans="1:20" ht="12.75">
      <c r="A89" s="26"/>
      <c r="B89" s="26"/>
      <c r="C89" s="26"/>
      <c r="D89" s="26"/>
      <c r="E89" s="26"/>
      <c r="F89" s="26"/>
      <c r="G89" s="76"/>
      <c r="H89" s="76"/>
      <c r="I89" s="115"/>
      <c r="J89" s="100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 ht="12.75">
      <c r="A90" s="26"/>
      <c r="B90" s="26"/>
      <c r="C90" s="26"/>
      <c r="D90" s="26"/>
      <c r="E90" s="26"/>
      <c r="F90" s="26"/>
      <c r="G90" s="76"/>
      <c r="H90" s="76"/>
      <c r="I90" s="115"/>
      <c r="J90" s="100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1:20" ht="12.75">
      <c r="A91" s="26"/>
      <c r="B91" s="26"/>
      <c r="C91" s="26"/>
      <c r="D91" s="26"/>
      <c r="E91" s="26"/>
      <c r="F91" s="26"/>
      <c r="G91" s="76"/>
      <c r="H91" s="76"/>
      <c r="I91" s="115"/>
      <c r="J91" s="100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spans="1:20" ht="12.75">
      <c r="A92" s="26"/>
      <c r="B92" s="26"/>
      <c r="C92" s="26"/>
      <c r="D92" s="26"/>
      <c r="E92" s="26"/>
      <c r="F92" s="26"/>
      <c r="G92" s="76"/>
      <c r="H92" s="76"/>
      <c r="I92" s="115"/>
      <c r="J92" s="100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spans="1:20" ht="12.75">
      <c r="A93" s="26"/>
      <c r="B93" s="26"/>
      <c r="C93" s="26"/>
      <c r="D93" s="26"/>
      <c r="E93" s="26"/>
      <c r="F93" s="26"/>
      <c r="G93" s="76"/>
      <c r="H93" s="76"/>
      <c r="I93" s="115"/>
      <c r="J93" s="100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spans="1:20" ht="12.75">
      <c r="A94" s="26"/>
      <c r="B94" s="26"/>
      <c r="C94" s="26"/>
      <c r="D94" s="26"/>
      <c r="E94" s="26"/>
      <c r="F94" s="26"/>
      <c r="G94" s="76"/>
      <c r="H94" s="76"/>
      <c r="I94" s="115"/>
      <c r="J94" s="100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spans="1:20" ht="12.75">
      <c r="A95" s="26"/>
      <c r="B95" s="26"/>
      <c r="C95" s="26"/>
      <c r="D95" s="26"/>
      <c r="E95" s="26"/>
      <c r="F95" s="26"/>
      <c r="G95" s="76"/>
      <c r="H95" s="76"/>
      <c r="I95" s="115"/>
      <c r="J95" s="100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spans="1:20" ht="12.75">
      <c r="A96" s="26"/>
      <c r="B96" s="26"/>
      <c r="C96" s="26"/>
      <c r="D96" s="26"/>
      <c r="E96" s="26"/>
      <c r="F96" s="26"/>
      <c r="G96" s="76"/>
      <c r="H96" s="76"/>
      <c r="I96" s="115"/>
      <c r="J96" s="100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1:20" ht="12.75">
      <c r="A97" s="26"/>
      <c r="B97" s="26"/>
      <c r="C97" s="26"/>
      <c r="D97" s="26"/>
      <c r="E97" s="26"/>
      <c r="F97" s="26"/>
      <c r="G97" s="76"/>
      <c r="H97" s="76"/>
      <c r="I97" s="115"/>
      <c r="J97" s="100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spans="1:20" ht="12.75">
      <c r="A98" s="26"/>
      <c r="B98" s="26"/>
      <c r="C98" s="26"/>
      <c r="D98" s="26"/>
      <c r="E98" s="26"/>
      <c r="F98" s="26"/>
      <c r="G98" s="76"/>
      <c r="H98" s="76"/>
      <c r="I98" s="115"/>
      <c r="J98" s="100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spans="1:20" ht="12.75">
      <c r="A99" s="26"/>
      <c r="B99" s="26"/>
      <c r="C99" s="26"/>
      <c r="D99" s="26"/>
      <c r="E99" s="26"/>
      <c r="F99" s="26"/>
      <c r="G99" s="76"/>
      <c r="H99" s="76"/>
      <c r="I99" s="115"/>
      <c r="J99" s="100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spans="1:20" ht="12.75">
      <c r="A100" s="26"/>
      <c r="B100" s="26"/>
      <c r="C100" s="26"/>
      <c r="D100" s="26"/>
      <c r="E100" s="26"/>
      <c r="F100" s="26"/>
      <c r="G100" s="76"/>
      <c r="H100" s="76"/>
      <c r="I100" s="115"/>
      <c r="J100" s="100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ht="12.75">
      <c r="A101" s="26"/>
      <c r="B101" s="26"/>
      <c r="C101" s="26"/>
      <c r="D101" s="26"/>
      <c r="E101" s="26"/>
      <c r="F101" s="26"/>
      <c r="G101" s="76"/>
      <c r="H101" s="76"/>
      <c r="I101" s="115"/>
      <c r="J101" s="100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ht="12.75">
      <c r="A102" s="26"/>
      <c r="B102" s="26"/>
      <c r="C102" s="26"/>
      <c r="D102" s="26"/>
      <c r="E102" s="26"/>
      <c r="F102" s="26"/>
      <c r="G102" s="76"/>
      <c r="H102" s="76"/>
      <c r="I102" s="115"/>
      <c r="J102" s="100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ht="12.75">
      <c r="A103" s="26"/>
      <c r="B103" s="26"/>
      <c r="C103" s="26"/>
      <c r="D103" s="26"/>
      <c r="E103" s="26"/>
      <c r="F103" s="26"/>
      <c r="G103" s="76"/>
      <c r="H103" s="76"/>
      <c r="I103" s="115"/>
      <c r="J103" s="100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ht="12.75">
      <c r="A104" s="26"/>
      <c r="B104" s="26"/>
      <c r="C104" s="26"/>
      <c r="D104" s="26"/>
      <c r="E104" s="26"/>
      <c r="F104" s="26"/>
      <c r="G104" s="76"/>
      <c r="H104" s="76"/>
      <c r="I104" s="115"/>
      <c r="J104" s="100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ht="12.75">
      <c r="A105" s="26"/>
      <c r="B105" s="26"/>
      <c r="C105" s="26"/>
      <c r="D105" s="26"/>
      <c r="E105" s="26"/>
      <c r="F105" s="26"/>
      <c r="G105" s="76"/>
      <c r="H105" s="76"/>
      <c r="I105" s="115"/>
      <c r="J105" s="100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ht="12.75">
      <c r="A106" s="26"/>
      <c r="B106" s="26"/>
      <c r="C106" s="26"/>
      <c r="D106" s="26"/>
      <c r="E106" s="26"/>
      <c r="F106" s="26"/>
      <c r="G106" s="76"/>
      <c r="H106" s="76"/>
      <c r="I106" s="115"/>
      <c r="J106" s="100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ht="12.75">
      <c r="A107" s="26"/>
      <c r="B107" s="26"/>
      <c r="C107" s="26"/>
      <c r="D107" s="26"/>
      <c r="E107" s="26"/>
      <c r="F107" s="26"/>
      <c r="G107" s="76"/>
      <c r="H107" s="76"/>
      <c r="I107" s="115"/>
      <c r="J107" s="100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ht="12.75">
      <c r="A108" s="26"/>
      <c r="B108" s="26"/>
      <c r="C108" s="26"/>
      <c r="D108" s="26"/>
      <c r="E108" s="26"/>
      <c r="F108" s="26"/>
      <c r="G108" s="76"/>
      <c r="H108" s="76"/>
      <c r="I108" s="115"/>
      <c r="J108" s="100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ht="12.75">
      <c r="A109" s="26"/>
      <c r="B109" s="26"/>
      <c r="C109" s="26"/>
      <c r="D109" s="26"/>
      <c r="E109" s="26"/>
      <c r="F109" s="26"/>
      <c r="G109" s="76"/>
      <c r="H109" s="76"/>
      <c r="I109" s="115"/>
      <c r="J109" s="100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ht="12.75">
      <c r="A110" s="26"/>
      <c r="B110" s="26"/>
      <c r="C110" s="26"/>
      <c r="D110" s="26"/>
      <c r="E110" s="26"/>
      <c r="F110" s="26"/>
      <c r="G110" s="76"/>
      <c r="H110" s="76"/>
      <c r="I110" s="115"/>
      <c r="J110" s="100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ht="12.75">
      <c r="A111" s="26"/>
      <c r="B111" s="26"/>
      <c r="C111" s="26"/>
      <c r="D111" s="26"/>
      <c r="E111" s="26"/>
      <c r="F111" s="26"/>
      <c r="G111" s="76"/>
      <c r="H111" s="76"/>
      <c r="I111" s="115"/>
      <c r="J111" s="100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ht="12.75">
      <c r="A112" s="26"/>
      <c r="B112" s="26"/>
      <c r="C112" s="26"/>
      <c r="D112" s="26"/>
      <c r="E112" s="26"/>
      <c r="F112" s="26"/>
      <c r="G112" s="76"/>
      <c r="H112" s="76"/>
      <c r="I112" s="115"/>
      <c r="J112" s="100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1:20" ht="12.75">
      <c r="A113" s="26"/>
      <c r="B113" s="26"/>
      <c r="C113" s="26"/>
      <c r="D113" s="26"/>
      <c r="E113" s="26"/>
      <c r="F113" s="26"/>
      <c r="G113" s="76"/>
      <c r="H113" s="76"/>
      <c r="I113" s="115"/>
      <c r="J113" s="100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1:20" ht="12.75">
      <c r="A114" s="26"/>
      <c r="B114" s="26"/>
      <c r="C114" s="26"/>
      <c r="D114" s="26"/>
      <c r="E114" s="26"/>
      <c r="F114" s="26"/>
      <c r="G114" s="76"/>
      <c r="H114" s="76"/>
      <c r="I114" s="115"/>
      <c r="J114" s="100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1:20" ht="12.75">
      <c r="A115" s="26"/>
      <c r="B115" s="26"/>
      <c r="C115" s="26"/>
      <c r="D115" s="26"/>
      <c r="E115" s="26"/>
      <c r="F115" s="26"/>
      <c r="G115" s="76"/>
      <c r="H115" s="76"/>
      <c r="I115" s="115"/>
      <c r="J115" s="100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1:20" ht="12.75">
      <c r="A116" s="26"/>
      <c r="B116" s="26"/>
      <c r="C116" s="26"/>
      <c r="D116" s="26"/>
      <c r="E116" s="26"/>
      <c r="F116" s="26"/>
      <c r="G116" s="76"/>
      <c r="H116" s="76"/>
      <c r="I116" s="115"/>
      <c r="J116" s="100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1:20" ht="12.75">
      <c r="A117" s="26"/>
      <c r="B117" s="26"/>
      <c r="C117" s="26"/>
      <c r="D117" s="26"/>
      <c r="E117" s="26"/>
      <c r="F117" s="26"/>
      <c r="G117" s="76"/>
      <c r="H117" s="76"/>
      <c r="I117" s="115"/>
      <c r="J117" s="100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1:20" ht="12.75">
      <c r="A118" s="26"/>
      <c r="B118" s="26"/>
      <c r="C118" s="26"/>
      <c r="D118" s="26"/>
      <c r="E118" s="26"/>
      <c r="F118" s="26"/>
      <c r="G118" s="76"/>
      <c r="H118" s="76"/>
      <c r="I118" s="115"/>
      <c r="J118" s="100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1:20" ht="12.75">
      <c r="A119" s="26"/>
      <c r="B119" s="26"/>
      <c r="C119" s="26"/>
      <c r="D119" s="26"/>
      <c r="E119" s="26"/>
      <c r="F119" s="26"/>
      <c r="G119" s="76"/>
      <c r="H119" s="76"/>
      <c r="I119" s="115"/>
      <c r="J119" s="100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1:20" ht="12.75">
      <c r="A120" s="26"/>
      <c r="B120" s="26"/>
      <c r="C120" s="26"/>
      <c r="D120" s="26"/>
      <c r="E120" s="26"/>
      <c r="F120" s="26"/>
      <c r="G120" s="76"/>
      <c r="H120" s="76"/>
      <c r="I120" s="115"/>
      <c r="J120" s="100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1:20" ht="12.75">
      <c r="A121" s="26"/>
      <c r="B121" s="26"/>
      <c r="C121" s="26"/>
      <c r="D121" s="26"/>
      <c r="E121" s="26"/>
      <c r="F121" s="26"/>
      <c r="G121" s="76"/>
      <c r="H121" s="76"/>
      <c r="I121" s="115"/>
      <c r="J121" s="100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1:20" ht="12.75">
      <c r="A122" s="26"/>
      <c r="B122" s="26"/>
      <c r="C122" s="26"/>
      <c r="D122" s="26"/>
      <c r="E122" s="26"/>
      <c r="F122" s="26"/>
      <c r="G122" s="76"/>
      <c r="H122" s="76"/>
      <c r="I122" s="115"/>
      <c r="J122" s="100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1:20" ht="12.75">
      <c r="A123" s="26"/>
      <c r="B123" s="26"/>
      <c r="C123" s="26"/>
      <c r="D123" s="26"/>
      <c r="E123" s="26"/>
      <c r="F123" s="26"/>
      <c r="G123" s="76"/>
      <c r="H123" s="76"/>
      <c r="I123" s="115"/>
      <c r="J123" s="100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1:20" ht="12.75">
      <c r="A124" s="26"/>
      <c r="B124" s="26"/>
      <c r="C124" s="26"/>
      <c r="D124" s="26"/>
      <c r="E124" s="26"/>
      <c r="F124" s="26"/>
      <c r="G124" s="76"/>
      <c r="H124" s="76"/>
      <c r="I124" s="115"/>
      <c r="J124" s="100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1:20" ht="12.75">
      <c r="A125" s="26"/>
      <c r="B125" s="26"/>
      <c r="C125" s="26"/>
      <c r="D125" s="26"/>
      <c r="E125" s="26"/>
      <c r="F125" s="26"/>
      <c r="G125" s="76"/>
      <c r="H125" s="76"/>
      <c r="I125" s="115"/>
      <c r="J125" s="100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1:20" ht="12.75">
      <c r="A126" s="26"/>
      <c r="B126" s="26"/>
      <c r="C126" s="26"/>
      <c r="D126" s="26"/>
      <c r="E126" s="26"/>
      <c r="F126" s="26"/>
      <c r="G126" s="76"/>
      <c r="H126" s="76"/>
      <c r="I126" s="115"/>
      <c r="J126" s="100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1:20" ht="12.75">
      <c r="A127" s="26"/>
      <c r="B127" s="26"/>
      <c r="C127" s="26"/>
      <c r="D127" s="26"/>
      <c r="E127" s="26"/>
      <c r="F127" s="26"/>
      <c r="G127" s="76"/>
      <c r="H127" s="76"/>
      <c r="I127" s="115"/>
      <c r="J127" s="100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1:20" ht="12.75">
      <c r="A128" s="26"/>
      <c r="B128" s="26"/>
      <c r="C128" s="26"/>
      <c r="D128" s="26"/>
      <c r="E128" s="26"/>
      <c r="F128" s="26"/>
      <c r="G128" s="76"/>
      <c r="H128" s="76"/>
      <c r="I128" s="115"/>
      <c r="J128" s="100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1:20" ht="12.75">
      <c r="A129" s="26"/>
      <c r="B129" s="26"/>
      <c r="C129" s="26"/>
      <c r="D129" s="26"/>
      <c r="E129" s="26"/>
      <c r="F129" s="26"/>
      <c r="G129" s="76"/>
      <c r="H129" s="76"/>
      <c r="I129" s="115"/>
      <c r="J129" s="100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1:20" ht="12.75">
      <c r="A130" s="26"/>
      <c r="B130" s="26"/>
      <c r="C130" s="26"/>
      <c r="D130" s="26"/>
      <c r="E130" s="26"/>
      <c r="F130" s="26"/>
      <c r="G130" s="76"/>
      <c r="H130" s="76"/>
      <c r="I130" s="115"/>
      <c r="J130" s="100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1:20" ht="12.75">
      <c r="A131" s="26"/>
      <c r="B131" s="26"/>
      <c r="C131" s="26"/>
      <c r="D131" s="26"/>
      <c r="E131" s="26"/>
      <c r="F131" s="26"/>
      <c r="G131" s="76"/>
      <c r="H131" s="76"/>
      <c r="I131" s="115"/>
      <c r="J131" s="100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1:20" ht="12.75">
      <c r="A132" s="26"/>
      <c r="B132" s="26"/>
      <c r="C132" s="26"/>
      <c r="D132" s="26"/>
      <c r="E132" s="26"/>
      <c r="F132" s="26"/>
      <c r="G132" s="76"/>
      <c r="H132" s="76"/>
      <c r="I132" s="115"/>
      <c r="J132" s="100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 spans="1:20" ht="12.75">
      <c r="A133" s="26"/>
      <c r="B133" s="26"/>
      <c r="C133" s="26"/>
      <c r="D133" s="26"/>
      <c r="E133" s="26"/>
      <c r="F133" s="26"/>
      <c r="G133" s="76"/>
      <c r="H133" s="76"/>
      <c r="I133" s="115"/>
      <c r="J133" s="100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 spans="1:20" ht="12.75">
      <c r="A134" s="26"/>
      <c r="B134" s="26"/>
      <c r="C134" s="26"/>
      <c r="D134" s="26"/>
      <c r="E134" s="26"/>
      <c r="F134" s="26"/>
      <c r="G134" s="76"/>
      <c r="H134" s="76"/>
      <c r="I134" s="115"/>
      <c r="J134" s="100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 spans="1:20" ht="12.75">
      <c r="A135" s="26"/>
      <c r="B135" s="26"/>
      <c r="C135" s="26"/>
      <c r="D135" s="26"/>
      <c r="E135" s="26"/>
      <c r="F135" s="26"/>
      <c r="G135" s="76"/>
      <c r="H135" s="76"/>
      <c r="I135" s="115"/>
      <c r="J135" s="100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 spans="1:20" ht="12.75">
      <c r="A136" s="26"/>
      <c r="B136" s="26"/>
      <c r="C136" s="26"/>
      <c r="D136" s="26"/>
      <c r="E136" s="26"/>
      <c r="F136" s="26"/>
      <c r="G136" s="76"/>
      <c r="H136" s="76"/>
      <c r="I136" s="115"/>
      <c r="J136" s="100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 spans="1:20" ht="12.75">
      <c r="A137" s="26"/>
      <c r="B137" s="26"/>
      <c r="C137" s="26"/>
      <c r="D137" s="26"/>
      <c r="E137" s="26"/>
      <c r="F137" s="26"/>
      <c r="G137" s="76"/>
      <c r="H137" s="76"/>
      <c r="I137" s="115"/>
      <c r="J137" s="100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 spans="1:20" ht="12.75">
      <c r="A138" s="26"/>
      <c r="B138" s="26"/>
      <c r="C138" s="26"/>
      <c r="D138" s="26"/>
      <c r="E138" s="26"/>
      <c r="F138" s="26"/>
      <c r="G138" s="76"/>
      <c r="H138" s="76"/>
      <c r="I138" s="115"/>
      <c r="J138" s="100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 spans="1:20" ht="12.75">
      <c r="A139" s="26"/>
      <c r="B139" s="26"/>
      <c r="C139" s="26"/>
      <c r="D139" s="26"/>
      <c r="E139" s="26"/>
      <c r="F139" s="26"/>
      <c r="G139" s="76"/>
      <c r="H139" s="76"/>
      <c r="I139" s="115"/>
      <c r="J139" s="100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 spans="1:20" ht="12.75">
      <c r="A140" s="26"/>
      <c r="B140" s="26"/>
      <c r="C140" s="26"/>
      <c r="D140" s="26"/>
      <c r="E140" s="26"/>
      <c r="F140" s="26"/>
      <c r="G140" s="76"/>
      <c r="H140" s="76"/>
      <c r="I140" s="115"/>
      <c r="J140" s="100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 spans="1:20" ht="12.75">
      <c r="A141" s="26"/>
      <c r="B141" s="26"/>
      <c r="C141" s="26"/>
      <c r="D141" s="26"/>
      <c r="E141" s="26"/>
      <c r="F141" s="26"/>
      <c r="G141" s="76"/>
      <c r="H141" s="76"/>
      <c r="I141" s="115"/>
      <c r="J141" s="100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 spans="1:20" ht="12.75">
      <c r="A142" s="26"/>
      <c r="B142" s="26"/>
      <c r="C142" s="26"/>
      <c r="D142" s="26"/>
      <c r="E142" s="26"/>
      <c r="F142" s="26"/>
      <c r="G142" s="76"/>
      <c r="H142" s="76"/>
      <c r="I142" s="115"/>
      <c r="J142" s="100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 spans="1:20" ht="12.75">
      <c r="A143" s="26"/>
      <c r="B143" s="26"/>
      <c r="C143" s="26"/>
      <c r="D143" s="26"/>
      <c r="E143" s="26"/>
      <c r="F143" s="26"/>
      <c r="G143" s="76"/>
      <c r="H143" s="76"/>
      <c r="I143" s="115"/>
      <c r="J143" s="100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 spans="1:20" ht="12.75">
      <c r="A144" s="26"/>
      <c r="B144" s="26"/>
      <c r="C144" s="26"/>
      <c r="D144" s="26"/>
      <c r="E144" s="26"/>
      <c r="F144" s="26"/>
      <c r="G144" s="76"/>
      <c r="H144" s="76"/>
      <c r="I144" s="115"/>
      <c r="J144" s="100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 spans="1:20" ht="12.75">
      <c r="A145" s="26"/>
      <c r="B145" s="26"/>
      <c r="C145" s="26"/>
      <c r="D145" s="26"/>
      <c r="E145" s="26"/>
      <c r="F145" s="26"/>
      <c r="G145" s="76"/>
      <c r="H145" s="76"/>
      <c r="I145" s="115"/>
      <c r="J145" s="100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 spans="1:20" ht="12.75">
      <c r="A146" s="26"/>
      <c r="B146" s="26"/>
      <c r="C146" s="26"/>
      <c r="D146" s="26"/>
      <c r="E146" s="26"/>
      <c r="F146" s="26"/>
      <c r="G146" s="76"/>
      <c r="H146" s="76"/>
      <c r="I146" s="115"/>
      <c r="J146" s="100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 spans="1:20" ht="12.75">
      <c r="A147" s="26"/>
      <c r="B147" s="26"/>
      <c r="C147" s="26"/>
      <c r="D147" s="26"/>
      <c r="E147" s="26"/>
      <c r="F147" s="26"/>
      <c r="G147" s="76"/>
      <c r="H147" s="76"/>
      <c r="I147" s="115"/>
      <c r="J147" s="100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0" ht="12.75">
      <c r="A148" s="26"/>
      <c r="B148" s="26"/>
      <c r="C148" s="26"/>
      <c r="D148" s="26"/>
      <c r="E148" s="26"/>
      <c r="F148" s="26"/>
      <c r="G148" s="76"/>
      <c r="H148" s="76"/>
      <c r="I148" s="115"/>
      <c r="J148" s="100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 spans="1:20" ht="12.75">
      <c r="A149" s="26"/>
      <c r="B149" s="26"/>
      <c r="C149" s="26"/>
      <c r="D149" s="26"/>
      <c r="E149" s="26"/>
      <c r="F149" s="26"/>
      <c r="G149" s="76"/>
      <c r="H149" s="76"/>
      <c r="I149" s="115"/>
      <c r="J149" s="100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 spans="1:20" ht="12.75">
      <c r="A150" s="26"/>
      <c r="B150" s="26"/>
      <c r="C150" s="26"/>
      <c r="D150" s="26"/>
      <c r="E150" s="26"/>
      <c r="F150" s="26"/>
      <c r="G150" s="76"/>
      <c r="H150" s="76"/>
      <c r="I150" s="115"/>
      <c r="J150" s="100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 spans="1:20" ht="12.75">
      <c r="A151" s="26"/>
      <c r="B151" s="26"/>
      <c r="C151" s="26"/>
      <c r="D151" s="26"/>
      <c r="E151" s="26"/>
      <c r="F151" s="26"/>
      <c r="G151" s="76"/>
      <c r="H151" s="76"/>
      <c r="I151" s="115"/>
      <c r="J151" s="100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spans="1:20" ht="12.75">
      <c r="A152" s="26"/>
      <c r="B152" s="26"/>
      <c r="C152" s="26"/>
      <c r="D152" s="26"/>
      <c r="E152" s="26"/>
      <c r="F152" s="26"/>
      <c r="G152" s="76"/>
      <c r="H152" s="76"/>
      <c r="I152" s="115"/>
      <c r="J152" s="100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 spans="1:20" ht="12.75">
      <c r="A153" s="26"/>
      <c r="B153" s="26"/>
      <c r="C153" s="26"/>
      <c r="D153" s="26"/>
      <c r="E153" s="26"/>
      <c r="F153" s="26"/>
      <c r="G153" s="76"/>
      <c r="H153" s="76"/>
      <c r="I153" s="115"/>
      <c r="J153" s="100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 spans="1:20" ht="12.75">
      <c r="A154" s="26"/>
      <c r="B154" s="26"/>
      <c r="C154" s="26"/>
      <c r="D154" s="26"/>
      <c r="E154" s="26"/>
      <c r="F154" s="26"/>
      <c r="G154" s="76"/>
      <c r="H154" s="76"/>
      <c r="I154" s="115"/>
      <c r="J154" s="100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 spans="1:20" ht="12.75">
      <c r="A155" s="26"/>
      <c r="B155" s="26"/>
      <c r="C155" s="26"/>
      <c r="D155" s="26"/>
      <c r="E155" s="26"/>
      <c r="F155" s="26"/>
      <c r="G155" s="76"/>
      <c r="H155" s="76"/>
      <c r="I155" s="115"/>
      <c r="J155" s="100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spans="1:20" ht="12.75">
      <c r="A156" s="26"/>
      <c r="B156" s="26"/>
      <c r="C156" s="26"/>
      <c r="D156" s="26"/>
      <c r="E156" s="26"/>
      <c r="F156" s="26"/>
      <c r="G156" s="76"/>
      <c r="H156" s="76"/>
      <c r="I156" s="115"/>
      <c r="J156" s="100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1:20" ht="12.75">
      <c r="A157" s="26"/>
      <c r="B157" s="26"/>
      <c r="C157" s="26"/>
      <c r="D157" s="26"/>
      <c r="E157" s="26"/>
      <c r="F157" s="26"/>
      <c r="G157" s="76"/>
      <c r="H157" s="76"/>
      <c r="I157" s="115"/>
      <c r="J157" s="100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1:20" ht="12.75">
      <c r="A158" s="26"/>
      <c r="B158" s="26"/>
      <c r="C158" s="26"/>
      <c r="D158" s="26"/>
      <c r="E158" s="26"/>
      <c r="F158" s="26"/>
      <c r="G158" s="76"/>
      <c r="H158" s="76"/>
      <c r="I158" s="115"/>
      <c r="J158" s="100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 spans="1:20" ht="12.75">
      <c r="A159" s="26"/>
      <c r="B159" s="26"/>
      <c r="C159" s="26"/>
      <c r="D159" s="26"/>
      <c r="E159" s="26"/>
      <c r="F159" s="26"/>
      <c r="G159" s="76"/>
      <c r="H159" s="76"/>
      <c r="I159" s="115"/>
      <c r="J159" s="100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 spans="1:20" ht="12.75">
      <c r="A160" s="26"/>
      <c r="B160" s="26"/>
      <c r="C160" s="26"/>
      <c r="D160" s="26"/>
      <c r="E160" s="26"/>
      <c r="F160" s="26"/>
      <c r="G160" s="76"/>
      <c r="H160" s="76"/>
      <c r="I160" s="115"/>
      <c r="J160" s="100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 spans="1:20" ht="12.75">
      <c r="A161" s="26"/>
      <c r="B161" s="26"/>
      <c r="C161" s="26"/>
      <c r="D161" s="26"/>
      <c r="E161" s="26"/>
      <c r="F161" s="26"/>
      <c r="G161" s="76"/>
      <c r="H161" s="76"/>
      <c r="I161" s="115"/>
      <c r="J161" s="100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 spans="1:20" ht="12.75">
      <c r="A162" s="26"/>
      <c r="B162" s="26"/>
      <c r="C162" s="26"/>
      <c r="D162" s="26"/>
      <c r="E162" s="26"/>
      <c r="F162" s="26"/>
      <c r="G162" s="76"/>
      <c r="H162" s="76"/>
      <c r="I162" s="115"/>
      <c r="J162" s="100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 spans="1:20" ht="12.75">
      <c r="A163" s="26"/>
      <c r="B163" s="26"/>
      <c r="C163" s="26"/>
      <c r="D163" s="26"/>
      <c r="E163" s="26"/>
      <c r="F163" s="26"/>
      <c r="G163" s="76"/>
      <c r="H163" s="76"/>
      <c r="I163" s="115"/>
      <c r="J163" s="100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 spans="1:20" ht="12.75">
      <c r="A164" s="26"/>
      <c r="B164" s="26"/>
      <c r="C164" s="26"/>
      <c r="D164" s="26"/>
      <c r="E164" s="26"/>
      <c r="F164" s="26"/>
      <c r="G164" s="76"/>
      <c r="H164" s="76"/>
      <c r="I164" s="115"/>
      <c r="J164" s="100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 spans="1:20" ht="12.75">
      <c r="A165" s="26"/>
      <c r="B165" s="26"/>
      <c r="C165" s="26"/>
      <c r="D165" s="26"/>
      <c r="E165" s="26"/>
      <c r="F165" s="26"/>
      <c r="G165" s="76"/>
      <c r="H165" s="76"/>
      <c r="I165" s="115"/>
      <c r="J165" s="100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 spans="1:20" ht="12.75">
      <c r="A166" s="26"/>
      <c r="B166" s="26"/>
      <c r="C166" s="26"/>
      <c r="D166" s="26"/>
      <c r="E166" s="26"/>
      <c r="F166" s="26"/>
      <c r="G166" s="76"/>
      <c r="H166" s="76"/>
      <c r="I166" s="115"/>
      <c r="J166" s="100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 spans="1:20" ht="12.75">
      <c r="A167" s="26"/>
      <c r="B167" s="26"/>
      <c r="C167" s="26"/>
      <c r="D167" s="26"/>
      <c r="E167" s="26"/>
      <c r="F167" s="26"/>
      <c r="G167" s="76"/>
      <c r="H167" s="76"/>
      <c r="I167" s="115"/>
      <c r="J167" s="100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 spans="1:20" ht="12.75">
      <c r="A168" s="26"/>
      <c r="B168" s="26"/>
      <c r="C168" s="26"/>
      <c r="D168" s="26"/>
      <c r="E168" s="26"/>
      <c r="F168" s="26"/>
      <c r="G168" s="76"/>
      <c r="H168" s="76"/>
      <c r="I168" s="115"/>
      <c r="J168" s="100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spans="1:20" ht="12.75">
      <c r="A169" s="26"/>
      <c r="B169" s="26"/>
      <c r="C169" s="26"/>
      <c r="D169" s="26"/>
      <c r="E169" s="26"/>
      <c r="F169" s="26"/>
      <c r="G169" s="76"/>
      <c r="H169" s="76"/>
      <c r="I169" s="115"/>
      <c r="J169" s="100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 spans="1:20" ht="12.75">
      <c r="A170" s="26"/>
      <c r="B170" s="26"/>
      <c r="C170" s="26"/>
      <c r="D170" s="26"/>
      <c r="E170" s="26"/>
      <c r="F170" s="26"/>
      <c r="G170" s="76"/>
      <c r="H170" s="76"/>
      <c r="I170" s="115"/>
      <c r="J170" s="100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 spans="1:20" ht="12.75">
      <c r="A171" s="26"/>
      <c r="B171" s="26"/>
      <c r="C171" s="26"/>
      <c r="D171" s="26"/>
      <c r="E171" s="26"/>
      <c r="F171" s="26"/>
      <c r="G171" s="76"/>
      <c r="H171" s="76"/>
      <c r="I171" s="115"/>
      <c r="J171" s="100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 spans="1:20" ht="12.75">
      <c r="A172" s="26"/>
      <c r="B172" s="26"/>
      <c r="C172" s="26"/>
      <c r="D172" s="26"/>
      <c r="E172" s="26"/>
      <c r="F172" s="26"/>
      <c r="G172" s="76"/>
      <c r="H172" s="76"/>
      <c r="I172" s="115"/>
      <c r="J172" s="100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 spans="1:20" ht="12.75">
      <c r="A173" s="26"/>
      <c r="B173" s="26"/>
      <c r="C173" s="26"/>
      <c r="D173" s="26"/>
      <c r="E173" s="26"/>
      <c r="F173" s="26"/>
      <c r="G173" s="76"/>
      <c r="H173" s="76"/>
      <c r="I173" s="115"/>
      <c r="J173" s="100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 spans="1:20" ht="12.75">
      <c r="A174" s="26"/>
      <c r="B174" s="26"/>
      <c r="C174" s="26"/>
      <c r="D174" s="26"/>
      <c r="E174" s="26"/>
      <c r="F174" s="26"/>
      <c r="G174" s="76"/>
      <c r="H174" s="76"/>
      <c r="I174" s="115"/>
      <c r="J174" s="100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 spans="1:20" ht="12.75">
      <c r="A175" s="26"/>
      <c r="B175" s="26"/>
      <c r="C175" s="26"/>
      <c r="D175" s="26"/>
      <c r="E175" s="26"/>
      <c r="F175" s="26"/>
      <c r="G175" s="76"/>
      <c r="H175" s="76"/>
      <c r="I175" s="115"/>
      <c r="J175" s="100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 spans="1:20" ht="12.75">
      <c r="A176" s="26"/>
      <c r="B176" s="26"/>
      <c r="C176" s="26"/>
      <c r="D176" s="26"/>
      <c r="E176" s="26"/>
      <c r="F176" s="26"/>
      <c r="G176" s="76"/>
      <c r="H176" s="76"/>
      <c r="I176" s="115"/>
      <c r="J176" s="100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 spans="1:20" ht="12.75">
      <c r="A177" s="26"/>
      <c r="B177" s="26"/>
      <c r="C177" s="26"/>
      <c r="D177" s="26"/>
      <c r="E177" s="26"/>
      <c r="F177" s="26"/>
      <c r="G177" s="76"/>
      <c r="H177" s="76"/>
      <c r="I177" s="115"/>
      <c r="J177" s="100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 spans="1:20" ht="12.75">
      <c r="A178" s="26"/>
      <c r="B178" s="26"/>
      <c r="C178" s="26"/>
      <c r="D178" s="26"/>
      <c r="E178" s="26"/>
      <c r="F178" s="26"/>
      <c r="G178" s="76"/>
      <c r="H178" s="76"/>
      <c r="I178" s="115"/>
      <c r="J178" s="100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 spans="1:20" ht="12.75">
      <c r="A179" s="26"/>
      <c r="B179" s="26"/>
      <c r="C179" s="26"/>
      <c r="D179" s="26"/>
      <c r="E179" s="26"/>
      <c r="F179" s="26"/>
      <c r="G179" s="76"/>
      <c r="H179" s="76"/>
      <c r="I179" s="115"/>
      <c r="J179" s="100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 spans="1:20" ht="12.75">
      <c r="A180" s="26"/>
      <c r="B180" s="26"/>
      <c r="C180" s="26"/>
      <c r="D180" s="26"/>
      <c r="E180" s="26"/>
      <c r="F180" s="26"/>
      <c r="G180" s="76"/>
      <c r="H180" s="76"/>
      <c r="I180" s="115"/>
      <c r="J180" s="100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 spans="1:20" ht="12.75">
      <c r="A181" s="26"/>
      <c r="B181" s="26"/>
      <c r="C181" s="26"/>
      <c r="D181" s="26"/>
      <c r="E181" s="26"/>
      <c r="F181" s="26"/>
      <c r="G181" s="76"/>
      <c r="H181" s="76"/>
      <c r="I181" s="115"/>
      <c r="J181" s="100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 spans="1:20" ht="12.75">
      <c r="A182" s="26"/>
      <c r="B182" s="26"/>
      <c r="C182" s="26"/>
      <c r="D182" s="26"/>
      <c r="E182" s="26"/>
      <c r="F182" s="26"/>
      <c r="G182" s="76"/>
      <c r="H182" s="76"/>
      <c r="I182" s="115"/>
      <c r="J182" s="100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 spans="1:20" ht="12.75">
      <c r="A183" s="26"/>
      <c r="B183" s="26"/>
      <c r="C183" s="26"/>
      <c r="D183" s="26"/>
      <c r="E183" s="26"/>
      <c r="F183" s="26"/>
      <c r="G183" s="76"/>
      <c r="H183" s="76"/>
      <c r="I183" s="115"/>
      <c r="J183" s="100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 spans="1:20" ht="12.75">
      <c r="A184" s="26"/>
      <c r="B184" s="26"/>
      <c r="C184" s="26"/>
      <c r="D184" s="26"/>
      <c r="E184" s="26"/>
      <c r="F184" s="26"/>
      <c r="G184" s="76"/>
      <c r="H184" s="76"/>
      <c r="I184" s="115"/>
      <c r="J184" s="100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 spans="1:20" ht="12.75">
      <c r="A185" s="26"/>
      <c r="B185" s="26"/>
      <c r="C185" s="26"/>
      <c r="D185" s="26"/>
      <c r="E185" s="26"/>
      <c r="F185" s="26"/>
      <c r="G185" s="76"/>
      <c r="H185" s="76"/>
      <c r="I185" s="115"/>
      <c r="J185" s="100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 spans="1:20" ht="12.75">
      <c r="A186" s="26"/>
      <c r="B186" s="26"/>
      <c r="C186" s="26"/>
      <c r="D186" s="26"/>
      <c r="E186" s="26"/>
      <c r="F186" s="26"/>
      <c r="G186" s="76"/>
      <c r="H186" s="76"/>
      <c r="I186" s="115"/>
      <c r="J186" s="100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 spans="1:20" ht="12.75">
      <c r="A187" s="26"/>
      <c r="B187" s="26"/>
      <c r="C187" s="26"/>
      <c r="D187" s="26"/>
      <c r="E187" s="26"/>
      <c r="F187" s="26"/>
      <c r="G187" s="76"/>
      <c r="H187" s="76"/>
      <c r="I187" s="115"/>
      <c r="J187" s="100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 spans="1:20" ht="12.75">
      <c r="A188" s="26"/>
      <c r="B188" s="26"/>
      <c r="C188" s="26"/>
      <c r="D188" s="26"/>
      <c r="E188" s="26"/>
      <c r="F188" s="26"/>
      <c r="G188" s="76"/>
      <c r="H188" s="76"/>
      <c r="I188" s="115"/>
      <c r="J188" s="100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 spans="1:20" ht="12.75">
      <c r="A189" s="26"/>
      <c r="B189" s="26"/>
      <c r="C189" s="26"/>
      <c r="D189" s="26"/>
      <c r="E189" s="26"/>
      <c r="F189" s="26"/>
      <c r="G189" s="76"/>
      <c r="H189" s="76"/>
      <c r="I189" s="115"/>
      <c r="J189" s="100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 spans="1:20" ht="12.75">
      <c r="A190" s="26"/>
      <c r="B190" s="26"/>
      <c r="C190" s="26"/>
      <c r="D190" s="26"/>
      <c r="E190" s="26"/>
      <c r="F190" s="26"/>
      <c r="G190" s="76"/>
      <c r="H190" s="76"/>
      <c r="I190" s="115"/>
      <c r="J190" s="100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 spans="1:20" ht="12.75">
      <c r="A191" s="26"/>
      <c r="B191" s="26"/>
      <c r="C191" s="26"/>
      <c r="D191" s="26"/>
      <c r="E191" s="26"/>
      <c r="F191" s="26"/>
      <c r="G191" s="76"/>
      <c r="H191" s="76"/>
      <c r="I191" s="115"/>
      <c r="J191" s="100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 spans="1:20" ht="12.75">
      <c r="A192" s="26"/>
      <c r="B192" s="26"/>
      <c r="C192" s="26"/>
      <c r="D192" s="26"/>
      <c r="E192" s="26"/>
      <c r="F192" s="26"/>
      <c r="G192" s="76"/>
      <c r="H192" s="76"/>
      <c r="I192" s="115"/>
      <c r="J192" s="100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 spans="1:20" ht="12.75">
      <c r="A193" s="26"/>
      <c r="B193" s="26"/>
      <c r="C193" s="26"/>
      <c r="D193" s="26"/>
      <c r="E193" s="26"/>
      <c r="F193" s="26"/>
      <c r="G193" s="76"/>
      <c r="H193" s="76"/>
      <c r="I193" s="115"/>
      <c r="J193" s="100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 spans="1:20" ht="12.75">
      <c r="A194" s="26"/>
      <c r="B194" s="26"/>
      <c r="C194" s="26"/>
      <c r="D194" s="26"/>
      <c r="E194" s="26"/>
      <c r="F194" s="26"/>
      <c r="G194" s="76"/>
      <c r="H194" s="76"/>
      <c r="I194" s="115"/>
      <c r="J194" s="100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 spans="1:20" ht="12.75">
      <c r="A195" s="26"/>
      <c r="B195" s="26"/>
      <c r="C195" s="26"/>
      <c r="D195" s="26"/>
      <c r="E195" s="26"/>
      <c r="F195" s="26"/>
      <c r="G195" s="76"/>
      <c r="H195" s="76"/>
      <c r="I195" s="115"/>
      <c r="J195" s="100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 spans="1:20" ht="12.75">
      <c r="A196" s="26"/>
      <c r="B196" s="26"/>
      <c r="C196" s="26"/>
      <c r="D196" s="26"/>
      <c r="E196" s="26"/>
      <c r="F196" s="26"/>
      <c r="G196" s="76"/>
      <c r="H196" s="76"/>
      <c r="I196" s="115"/>
      <c r="J196" s="100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1:20" ht="12.75">
      <c r="A197" s="26"/>
      <c r="B197" s="26"/>
      <c r="C197" s="26"/>
      <c r="D197" s="26"/>
      <c r="E197" s="26"/>
      <c r="F197" s="26"/>
      <c r="G197" s="76"/>
      <c r="H197" s="76"/>
      <c r="I197" s="115"/>
      <c r="J197" s="100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1:20" ht="12.75">
      <c r="A198" s="26"/>
      <c r="B198" s="26"/>
      <c r="C198" s="26"/>
      <c r="D198" s="26"/>
      <c r="E198" s="26"/>
      <c r="F198" s="26"/>
      <c r="G198" s="76"/>
      <c r="H198" s="76"/>
      <c r="I198" s="115"/>
      <c r="J198" s="100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 spans="1:20" ht="12.75">
      <c r="A199" s="26"/>
      <c r="B199" s="26"/>
      <c r="C199" s="26"/>
      <c r="D199" s="26"/>
      <c r="E199" s="26"/>
      <c r="F199" s="26"/>
      <c r="G199" s="76"/>
      <c r="H199" s="76"/>
      <c r="I199" s="115"/>
      <c r="J199" s="100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 spans="1:20" ht="12.75">
      <c r="A200" s="26"/>
      <c r="B200" s="26"/>
      <c r="C200" s="26"/>
      <c r="D200" s="26"/>
      <c r="E200" s="26"/>
      <c r="F200" s="26"/>
      <c r="G200" s="76"/>
      <c r="H200" s="76"/>
      <c r="I200" s="115"/>
      <c r="J200" s="100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 spans="1:20" ht="12.75">
      <c r="A201" s="26"/>
      <c r="B201" s="26"/>
      <c r="C201" s="26"/>
      <c r="D201" s="26"/>
      <c r="E201" s="26"/>
      <c r="F201" s="26"/>
      <c r="G201" s="76"/>
      <c r="H201" s="76"/>
      <c r="I201" s="115"/>
      <c r="J201" s="100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 spans="1:20" ht="12.75">
      <c r="A202" s="26"/>
      <c r="B202" s="26"/>
      <c r="C202" s="26"/>
      <c r="D202" s="26"/>
      <c r="E202" s="26"/>
      <c r="F202" s="26"/>
      <c r="G202" s="76"/>
      <c r="H202" s="76"/>
      <c r="I202" s="115"/>
      <c r="J202" s="100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 spans="1:20" ht="12.75">
      <c r="A203" s="26"/>
      <c r="B203" s="26"/>
      <c r="C203" s="26"/>
      <c r="D203" s="26"/>
      <c r="E203" s="26"/>
      <c r="F203" s="26"/>
      <c r="G203" s="76"/>
      <c r="H203" s="76"/>
      <c r="I203" s="115"/>
      <c r="J203" s="100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 spans="1:20" ht="12.75">
      <c r="A204" s="26"/>
      <c r="B204" s="26"/>
      <c r="C204" s="26"/>
      <c r="D204" s="26"/>
      <c r="E204" s="26"/>
      <c r="F204" s="26"/>
      <c r="G204" s="76"/>
      <c r="H204" s="76"/>
      <c r="I204" s="115"/>
      <c r="J204" s="100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 spans="1:20" ht="12.75">
      <c r="A205" s="26"/>
      <c r="B205" s="26"/>
      <c r="C205" s="26"/>
      <c r="D205" s="26"/>
      <c r="E205" s="26"/>
      <c r="F205" s="26"/>
      <c r="G205" s="76"/>
      <c r="H205" s="76"/>
      <c r="I205" s="115"/>
      <c r="J205" s="100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 spans="1:20" ht="12.75">
      <c r="A206" s="26"/>
      <c r="B206" s="26"/>
      <c r="C206" s="26"/>
      <c r="D206" s="26"/>
      <c r="E206" s="26"/>
      <c r="F206" s="26"/>
      <c r="G206" s="76"/>
      <c r="H206" s="76"/>
      <c r="I206" s="115"/>
      <c r="J206" s="100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 spans="1:20" ht="12.75">
      <c r="A207" s="26"/>
      <c r="B207" s="26"/>
      <c r="C207" s="26"/>
      <c r="D207" s="26"/>
      <c r="E207" s="26"/>
      <c r="F207" s="26"/>
      <c r="G207" s="76"/>
      <c r="H207" s="76"/>
      <c r="I207" s="115"/>
      <c r="J207" s="100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 spans="1:20" ht="12.75">
      <c r="A208" s="26"/>
      <c r="B208" s="26"/>
      <c r="C208" s="26"/>
      <c r="D208" s="26"/>
      <c r="E208" s="26"/>
      <c r="F208" s="26"/>
      <c r="G208" s="76"/>
      <c r="H208" s="76"/>
      <c r="I208" s="115"/>
      <c r="J208" s="100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 spans="1:20" ht="12.75">
      <c r="A209" s="26"/>
      <c r="B209" s="26"/>
      <c r="C209" s="26"/>
      <c r="D209" s="26"/>
      <c r="E209" s="26"/>
      <c r="F209" s="26"/>
      <c r="G209" s="76"/>
      <c r="H209" s="76"/>
      <c r="I209" s="115"/>
      <c r="J209" s="100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 spans="1:20" ht="12.75">
      <c r="A210" s="26"/>
      <c r="B210" s="26"/>
      <c r="C210" s="26"/>
      <c r="D210" s="26"/>
      <c r="E210" s="26"/>
      <c r="F210" s="26"/>
      <c r="G210" s="76"/>
      <c r="H210" s="76"/>
      <c r="I210" s="115"/>
      <c r="J210" s="100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 spans="1:20" ht="12.75">
      <c r="A211" s="26"/>
      <c r="B211" s="26"/>
      <c r="C211" s="26"/>
      <c r="D211" s="26"/>
      <c r="E211" s="26"/>
      <c r="F211" s="26"/>
      <c r="G211" s="76"/>
      <c r="H211" s="76"/>
      <c r="I211" s="115"/>
      <c r="J211" s="100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 spans="1:20" ht="12.75">
      <c r="A212" s="26"/>
      <c r="B212" s="26"/>
      <c r="C212" s="26"/>
      <c r="D212" s="26"/>
      <c r="E212" s="26"/>
      <c r="F212" s="26"/>
      <c r="G212" s="76"/>
      <c r="H212" s="76"/>
      <c r="I212" s="115"/>
      <c r="J212" s="100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 spans="1:20" ht="12.75">
      <c r="A213" s="26"/>
      <c r="B213" s="26"/>
      <c r="C213" s="26"/>
      <c r="D213" s="26"/>
      <c r="E213" s="26"/>
      <c r="F213" s="26"/>
      <c r="G213" s="76"/>
      <c r="H213" s="76"/>
      <c r="I213" s="115"/>
      <c r="J213" s="100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 spans="1:20" ht="12.75">
      <c r="A214" s="26"/>
      <c r="B214" s="26"/>
      <c r="C214" s="26"/>
      <c r="D214" s="26"/>
      <c r="E214" s="26"/>
      <c r="F214" s="26"/>
      <c r="G214" s="76"/>
      <c r="H214" s="76"/>
      <c r="I214" s="115"/>
      <c r="J214" s="100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 spans="1:20" ht="12.75">
      <c r="A215" s="26"/>
      <c r="B215" s="26"/>
      <c r="C215" s="26"/>
      <c r="D215" s="26"/>
      <c r="E215" s="26"/>
      <c r="F215" s="26"/>
      <c r="G215" s="76"/>
      <c r="H215" s="76"/>
      <c r="I215" s="115"/>
      <c r="J215" s="100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 spans="1:20" ht="12.75">
      <c r="A216" s="26"/>
      <c r="B216" s="26"/>
      <c r="C216" s="26"/>
      <c r="D216" s="26"/>
      <c r="E216" s="26"/>
      <c r="F216" s="26"/>
      <c r="G216" s="76"/>
      <c r="H216" s="76"/>
      <c r="I216" s="115"/>
      <c r="J216" s="100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 spans="1:20" ht="12.75">
      <c r="A217" s="26"/>
      <c r="B217" s="26"/>
      <c r="C217" s="26"/>
      <c r="D217" s="26"/>
      <c r="E217" s="26"/>
      <c r="F217" s="26"/>
      <c r="G217" s="76"/>
      <c r="H217" s="76"/>
      <c r="I217" s="115"/>
      <c r="J217" s="100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 spans="1:20" ht="12.75">
      <c r="A218" s="26"/>
      <c r="B218" s="26"/>
      <c r="C218" s="26"/>
      <c r="D218" s="26"/>
      <c r="E218" s="26"/>
      <c r="F218" s="26"/>
      <c r="G218" s="76"/>
      <c r="H218" s="76"/>
      <c r="I218" s="115"/>
      <c r="J218" s="100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 spans="1:20" ht="12.75">
      <c r="A219" s="26"/>
      <c r="B219" s="26"/>
      <c r="C219" s="26"/>
      <c r="D219" s="26"/>
      <c r="E219" s="26"/>
      <c r="F219" s="26"/>
      <c r="G219" s="76"/>
      <c r="H219" s="76"/>
      <c r="I219" s="115"/>
      <c r="J219" s="100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ht="12.75">
      <c r="A220" s="26"/>
      <c r="B220" s="26"/>
      <c r="C220" s="26"/>
      <c r="D220" s="26"/>
      <c r="E220" s="26"/>
      <c r="F220" s="26"/>
      <c r="G220" s="76"/>
      <c r="H220" s="76"/>
      <c r="I220" s="115"/>
      <c r="J220" s="100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 spans="1:20" ht="12.75">
      <c r="A221" s="26"/>
      <c r="B221" s="26"/>
      <c r="C221" s="26"/>
      <c r="D221" s="26"/>
      <c r="E221" s="26"/>
      <c r="F221" s="26"/>
      <c r="G221" s="76"/>
      <c r="H221" s="76"/>
      <c r="I221" s="115"/>
      <c r="J221" s="100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 spans="1:20" ht="12.75">
      <c r="A222" s="26"/>
      <c r="B222" s="26"/>
      <c r="C222" s="26"/>
      <c r="D222" s="26"/>
      <c r="E222" s="26"/>
      <c r="F222" s="26"/>
      <c r="G222" s="76"/>
      <c r="H222" s="76"/>
      <c r="I222" s="115"/>
      <c r="J222" s="100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 spans="1:20" ht="12.75">
      <c r="A223" s="26"/>
      <c r="B223" s="26"/>
      <c r="C223" s="26"/>
      <c r="D223" s="26"/>
      <c r="E223" s="26"/>
      <c r="F223" s="26"/>
      <c r="G223" s="76"/>
      <c r="H223" s="76"/>
      <c r="I223" s="115"/>
      <c r="J223" s="100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 spans="1:20" ht="12.75">
      <c r="A224" s="26"/>
      <c r="B224" s="26"/>
      <c r="C224" s="26"/>
      <c r="D224" s="26"/>
      <c r="E224" s="26"/>
      <c r="F224" s="26"/>
      <c r="G224" s="76"/>
      <c r="H224" s="76"/>
      <c r="I224" s="115"/>
      <c r="J224" s="100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 spans="1:20" ht="12.75">
      <c r="A225" s="26"/>
      <c r="B225" s="26"/>
      <c r="C225" s="26"/>
      <c r="D225" s="26"/>
      <c r="E225" s="26"/>
      <c r="F225" s="26"/>
      <c r="G225" s="76"/>
      <c r="H225" s="76"/>
      <c r="I225" s="115"/>
      <c r="J225" s="100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 spans="1:20" ht="12.75">
      <c r="A226" s="26"/>
      <c r="B226" s="26"/>
      <c r="C226" s="26"/>
      <c r="D226" s="26"/>
      <c r="E226" s="26"/>
      <c r="F226" s="26"/>
      <c r="G226" s="76"/>
      <c r="H226" s="76"/>
      <c r="I226" s="115"/>
      <c r="J226" s="100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 spans="1:20" ht="12.75">
      <c r="A227" s="26"/>
      <c r="B227" s="26"/>
      <c r="C227" s="26"/>
      <c r="D227" s="26"/>
      <c r="E227" s="26"/>
      <c r="F227" s="26"/>
      <c r="G227" s="76"/>
      <c r="H227" s="76"/>
      <c r="I227" s="115"/>
      <c r="J227" s="100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 spans="1:20" ht="12.75">
      <c r="A228" s="26"/>
      <c r="B228" s="26"/>
      <c r="C228" s="26"/>
      <c r="D228" s="26"/>
      <c r="E228" s="26"/>
      <c r="F228" s="26"/>
      <c r="G228" s="76"/>
      <c r="H228" s="76"/>
      <c r="I228" s="115"/>
      <c r="J228" s="100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 spans="1:20" ht="12.75">
      <c r="A229" s="26"/>
      <c r="B229" s="26"/>
      <c r="C229" s="26"/>
      <c r="D229" s="26"/>
      <c r="E229" s="26"/>
      <c r="F229" s="26"/>
      <c r="G229" s="76"/>
      <c r="H229" s="76"/>
      <c r="I229" s="115"/>
      <c r="J229" s="100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 spans="1:20" ht="12.75">
      <c r="A230" s="26"/>
      <c r="B230" s="26"/>
      <c r="C230" s="26"/>
      <c r="D230" s="26"/>
      <c r="E230" s="26"/>
      <c r="F230" s="26"/>
      <c r="G230" s="76"/>
      <c r="H230" s="76"/>
      <c r="I230" s="115"/>
      <c r="J230" s="100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1:20" ht="12.75">
      <c r="A231" s="26"/>
      <c r="B231" s="26"/>
      <c r="C231" s="26"/>
      <c r="D231" s="26"/>
      <c r="E231" s="26"/>
      <c r="F231" s="26"/>
      <c r="G231" s="76"/>
      <c r="H231" s="76"/>
      <c r="I231" s="115"/>
      <c r="J231" s="100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1:20" ht="12.75">
      <c r="A232" s="26"/>
      <c r="B232" s="26"/>
      <c r="C232" s="26"/>
      <c r="D232" s="26"/>
      <c r="E232" s="26"/>
      <c r="F232" s="26"/>
      <c r="G232" s="76"/>
      <c r="H232" s="76"/>
      <c r="I232" s="115"/>
      <c r="J232" s="100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 spans="1:20" ht="12.75">
      <c r="A233" s="26"/>
      <c r="B233" s="26"/>
      <c r="C233" s="26"/>
      <c r="D233" s="26"/>
      <c r="E233" s="26"/>
      <c r="F233" s="26"/>
      <c r="G233" s="76"/>
      <c r="H233" s="76"/>
      <c r="I233" s="115"/>
      <c r="J233" s="100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 spans="1:20" ht="12.75">
      <c r="A234" s="26"/>
      <c r="B234" s="26"/>
      <c r="C234" s="26"/>
      <c r="D234" s="26"/>
      <c r="E234" s="26"/>
      <c r="F234" s="26"/>
      <c r="G234" s="76"/>
      <c r="H234" s="76"/>
      <c r="I234" s="115"/>
      <c r="J234" s="100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 spans="1:20" ht="12.75">
      <c r="A235" s="26"/>
      <c r="B235" s="26"/>
      <c r="C235" s="26"/>
      <c r="D235" s="26"/>
      <c r="E235" s="26"/>
      <c r="F235" s="26"/>
      <c r="G235" s="76"/>
      <c r="H235" s="76"/>
      <c r="I235" s="115"/>
      <c r="J235" s="100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 spans="1:20" ht="12.75">
      <c r="A236" s="26"/>
      <c r="B236" s="26"/>
      <c r="C236" s="26"/>
      <c r="D236" s="26"/>
      <c r="E236" s="26"/>
      <c r="F236" s="26"/>
      <c r="G236" s="76"/>
      <c r="H236" s="76"/>
      <c r="I236" s="115"/>
      <c r="J236" s="100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 spans="1:20" ht="12.75">
      <c r="A237" s="26"/>
      <c r="B237" s="26"/>
      <c r="C237" s="26"/>
      <c r="D237" s="26"/>
      <c r="E237" s="26"/>
      <c r="F237" s="26"/>
      <c r="G237" s="76"/>
      <c r="H237" s="76"/>
      <c r="I237" s="115"/>
      <c r="J237" s="100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 spans="1:20" ht="12.75">
      <c r="A238" s="26"/>
      <c r="B238" s="26"/>
      <c r="C238" s="26"/>
      <c r="D238" s="26"/>
      <c r="E238" s="26"/>
      <c r="F238" s="26"/>
      <c r="G238" s="76"/>
      <c r="H238" s="76"/>
      <c r="I238" s="115"/>
      <c r="J238" s="100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 spans="1:20" ht="12.75">
      <c r="A239" s="26"/>
      <c r="B239" s="26"/>
      <c r="C239" s="26"/>
      <c r="D239" s="26"/>
      <c r="E239" s="26"/>
      <c r="F239" s="26"/>
      <c r="G239" s="76"/>
      <c r="H239" s="76"/>
      <c r="I239" s="115"/>
      <c r="J239" s="100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 spans="1:20" ht="12.75">
      <c r="A240" s="26"/>
      <c r="B240" s="26"/>
      <c r="C240" s="26"/>
      <c r="D240" s="26"/>
      <c r="E240" s="26"/>
      <c r="F240" s="26"/>
      <c r="G240" s="76"/>
      <c r="H240" s="76"/>
      <c r="I240" s="115"/>
      <c r="J240" s="100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ht="12.75">
      <c r="A241" s="26"/>
      <c r="B241" s="26"/>
      <c r="C241" s="26"/>
      <c r="D241" s="26"/>
      <c r="E241" s="26"/>
      <c r="F241" s="26"/>
      <c r="G241" s="76"/>
      <c r="H241" s="76"/>
      <c r="I241" s="115"/>
      <c r="J241" s="100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 spans="1:20" ht="12.75">
      <c r="A242" s="26"/>
      <c r="B242" s="26"/>
      <c r="C242" s="26"/>
      <c r="D242" s="26"/>
      <c r="E242" s="26"/>
      <c r="F242" s="26"/>
      <c r="G242" s="76"/>
      <c r="H242" s="76"/>
      <c r="I242" s="115"/>
      <c r="J242" s="100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 spans="1:20" ht="12.75">
      <c r="A243" s="26"/>
      <c r="B243" s="26"/>
      <c r="C243" s="26"/>
      <c r="D243" s="26"/>
      <c r="E243" s="26"/>
      <c r="F243" s="26"/>
      <c r="G243" s="76"/>
      <c r="H243" s="76"/>
      <c r="I243" s="115"/>
      <c r="J243" s="100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 spans="1:20" ht="12.75">
      <c r="A244" s="26"/>
      <c r="B244" s="26"/>
      <c r="C244" s="26"/>
      <c r="D244" s="26"/>
      <c r="E244" s="26"/>
      <c r="F244" s="26"/>
      <c r="G244" s="76"/>
      <c r="H244" s="76"/>
      <c r="I244" s="115"/>
      <c r="J244" s="100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 spans="1:20" ht="12.75">
      <c r="A245" s="26"/>
      <c r="B245" s="26"/>
      <c r="C245" s="26"/>
      <c r="D245" s="26"/>
      <c r="E245" s="26"/>
      <c r="F245" s="26"/>
      <c r="G245" s="76"/>
      <c r="H245" s="76"/>
      <c r="I245" s="115"/>
      <c r="J245" s="100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 spans="1:20" ht="12.75">
      <c r="A246" s="26"/>
      <c r="B246" s="26"/>
      <c r="C246" s="26"/>
      <c r="D246" s="26"/>
      <c r="E246" s="26"/>
      <c r="F246" s="26"/>
      <c r="G246" s="76"/>
      <c r="H246" s="76"/>
      <c r="I246" s="115"/>
      <c r="J246" s="100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 spans="1:20" ht="12.75">
      <c r="A247" s="26"/>
      <c r="B247" s="26"/>
      <c r="C247" s="26"/>
      <c r="D247" s="26"/>
      <c r="E247" s="26"/>
      <c r="F247" s="26"/>
      <c r="G247" s="76"/>
      <c r="H247" s="76"/>
      <c r="I247" s="115"/>
      <c r="J247" s="100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 spans="1:20" ht="12.75">
      <c r="A248" s="26"/>
      <c r="B248" s="26"/>
      <c r="C248" s="26"/>
      <c r="D248" s="26"/>
      <c r="E248" s="26"/>
      <c r="F248" s="26"/>
      <c r="G248" s="76"/>
      <c r="H248" s="76"/>
      <c r="I248" s="115"/>
      <c r="J248" s="100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 spans="1:20" ht="12.75">
      <c r="A249" s="26"/>
      <c r="B249" s="26"/>
      <c r="C249" s="26"/>
      <c r="D249" s="26"/>
      <c r="E249" s="26"/>
      <c r="F249" s="26"/>
      <c r="G249" s="76"/>
      <c r="H249" s="76"/>
      <c r="I249" s="115"/>
      <c r="J249" s="100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 spans="1:20" ht="12.75">
      <c r="A250" s="26"/>
      <c r="B250" s="26"/>
      <c r="C250" s="26"/>
      <c r="D250" s="26"/>
      <c r="E250" s="26"/>
      <c r="F250" s="26"/>
      <c r="G250" s="76"/>
      <c r="H250" s="76"/>
      <c r="I250" s="115"/>
      <c r="J250" s="100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 spans="1:20" ht="12.75">
      <c r="A251" s="26"/>
      <c r="B251" s="26"/>
      <c r="C251" s="26"/>
      <c r="D251" s="26"/>
      <c r="E251" s="26"/>
      <c r="F251" s="26"/>
      <c r="G251" s="76"/>
      <c r="H251" s="76"/>
      <c r="I251" s="115"/>
      <c r="J251" s="100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 spans="1:20" ht="12.75">
      <c r="A252" s="26"/>
      <c r="B252" s="26"/>
      <c r="C252" s="26"/>
      <c r="D252" s="26"/>
      <c r="E252" s="26"/>
      <c r="F252" s="26"/>
      <c r="G252" s="76"/>
      <c r="H252" s="76"/>
      <c r="I252" s="115"/>
      <c r="J252" s="100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 spans="1:20" ht="12.75">
      <c r="A253" s="26"/>
      <c r="B253" s="26"/>
      <c r="C253" s="26"/>
      <c r="D253" s="26"/>
      <c r="E253" s="26"/>
      <c r="F253" s="26"/>
      <c r="G253" s="76"/>
      <c r="H253" s="76"/>
      <c r="I253" s="115"/>
      <c r="J253" s="100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 spans="1:20" ht="12.75">
      <c r="A254" s="26"/>
      <c r="B254" s="26"/>
      <c r="C254" s="26"/>
      <c r="D254" s="26"/>
      <c r="E254" s="26"/>
      <c r="F254" s="26"/>
      <c r="G254" s="76"/>
      <c r="H254" s="76"/>
      <c r="I254" s="115"/>
      <c r="J254" s="100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 spans="1:20" ht="12.75">
      <c r="A255" s="26"/>
      <c r="B255" s="26"/>
      <c r="C255" s="26"/>
      <c r="D255" s="26"/>
      <c r="E255" s="26"/>
      <c r="F255" s="26"/>
      <c r="G255" s="76"/>
      <c r="H255" s="76"/>
      <c r="I255" s="115"/>
      <c r="J255" s="100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 spans="1:20" ht="12.75">
      <c r="A256" s="26"/>
      <c r="B256" s="26"/>
      <c r="C256" s="26"/>
      <c r="D256" s="26"/>
      <c r="E256" s="26"/>
      <c r="F256" s="26"/>
      <c r="G256" s="76"/>
      <c r="H256" s="76"/>
      <c r="I256" s="115"/>
      <c r="J256" s="100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 spans="1:20" ht="12.75">
      <c r="A257" s="26"/>
      <c r="B257" s="26"/>
      <c r="C257" s="26"/>
      <c r="D257" s="26"/>
      <c r="E257" s="26"/>
      <c r="F257" s="26"/>
      <c r="G257" s="76"/>
      <c r="H257" s="76"/>
      <c r="I257" s="115"/>
      <c r="J257" s="100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 spans="1:20" ht="12.75">
      <c r="A258" s="26"/>
      <c r="B258" s="26"/>
      <c r="C258" s="26"/>
      <c r="D258" s="26"/>
      <c r="E258" s="26"/>
      <c r="F258" s="26"/>
      <c r="G258" s="76"/>
      <c r="H258" s="76"/>
      <c r="I258" s="115"/>
      <c r="J258" s="100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 spans="1:20" ht="12.75">
      <c r="A259" s="26"/>
      <c r="B259" s="26"/>
      <c r="C259" s="26"/>
      <c r="D259" s="26"/>
      <c r="E259" s="26"/>
      <c r="F259" s="26"/>
      <c r="G259" s="76"/>
      <c r="H259" s="76"/>
      <c r="I259" s="115"/>
      <c r="J259" s="100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 spans="1:20" ht="12.75">
      <c r="A260" s="26"/>
      <c r="B260" s="26"/>
      <c r="C260" s="26"/>
      <c r="D260" s="26"/>
      <c r="E260" s="26"/>
      <c r="F260" s="26"/>
      <c r="G260" s="76"/>
      <c r="H260" s="76"/>
      <c r="I260" s="115"/>
      <c r="J260" s="100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 spans="1:20" ht="12.75">
      <c r="A261" s="26"/>
      <c r="B261" s="26"/>
      <c r="C261" s="26"/>
      <c r="D261" s="26"/>
      <c r="E261" s="26"/>
      <c r="F261" s="26"/>
      <c r="G261" s="76"/>
      <c r="H261" s="76"/>
      <c r="I261" s="115"/>
      <c r="J261" s="100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 spans="1:20" ht="12.75">
      <c r="A262" s="26"/>
      <c r="B262" s="26"/>
      <c r="C262" s="26"/>
      <c r="D262" s="26"/>
      <c r="E262" s="26"/>
      <c r="F262" s="26"/>
      <c r="G262" s="76"/>
      <c r="H262" s="76"/>
      <c r="I262" s="115"/>
      <c r="J262" s="100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 spans="1:20" ht="12.75">
      <c r="A263" s="26"/>
      <c r="B263" s="26"/>
      <c r="C263" s="26"/>
      <c r="D263" s="26"/>
      <c r="E263" s="26"/>
      <c r="F263" s="26"/>
      <c r="G263" s="76"/>
      <c r="H263" s="76"/>
      <c r="I263" s="115"/>
      <c r="J263" s="100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 spans="1:20" ht="12.75">
      <c r="A264" s="26"/>
      <c r="B264" s="26"/>
      <c r="C264" s="26"/>
      <c r="D264" s="26"/>
      <c r="E264" s="26"/>
      <c r="F264" s="26"/>
      <c r="G264" s="76"/>
      <c r="H264" s="76"/>
      <c r="I264" s="115"/>
      <c r="J264" s="100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 spans="1:20" ht="12.75">
      <c r="A265" s="26"/>
      <c r="B265" s="26"/>
      <c r="C265" s="26"/>
      <c r="D265" s="26"/>
      <c r="E265" s="26"/>
      <c r="F265" s="26"/>
      <c r="G265" s="76"/>
      <c r="H265" s="76"/>
      <c r="I265" s="115"/>
      <c r="J265" s="100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 spans="1:20" ht="12.75">
      <c r="A266" s="26"/>
      <c r="B266" s="26"/>
      <c r="C266" s="26"/>
      <c r="D266" s="26"/>
      <c r="E266" s="26"/>
      <c r="F266" s="26"/>
      <c r="G266" s="76"/>
      <c r="H266" s="76"/>
      <c r="I266" s="115"/>
      <c r="J266" s="100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 spans="1:20" ht="12.75">
      <c r="A267" s="26"/>
      <c r="B267" s="26"/>
      <c r="C267" s="26"/>
      <c r="D267" s="26"/>
      <c r="E267" s="26"/>
      <c r="F267" s="26"/>
      <c r="G267" s="76"/>
      <c r="H267" s="76"/>
      <c r="I267" s="115"/>
      <c r="J267" s="100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 spans="1:20" ht="12.75">
      <c r="A268" s="26"/>
      <c r="B268" s="26"/>
      <c r="C268" s="26"/>
      <c r="D268" s="26"/>
      <c r="E268" s="26"/>
      <c r="F268" s="26"/>
      <c r="G268" s="76"/>
      <c r="H268" s="76"/>
      <c r="I268" s="115"/>
      <c r="J268" s="100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 spans="1:20" ht="12.75">
      <c r="A269" s="26"/>
      <c r="B269" s="26"/>
      <c r="C269" s="26"/>
      <c r="D269" s="26"/>
      <c r="E269" s="26"/>
      <c r="F269" s="26"/>
      <c r="G269" s="76"/>
      <c r="H269" s="76"/>
      <c r="I269" s="115"/>
      <c r="J269" s="100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 spans="1:20" ht="12.75">
      <c r="A270" s="26"/>
      <c r="B270" s="26"/>
      <c r="C270" s="26"/>
      <c r="D270" s="26"/>
      <c r="E270" s="26"/>
      <c r="F270" s="26"/>
      <c r="G270" s="76"/>
      <c r="H270" s="76"/>
      <c r="I270" s="115"/>
      <c r="J270" s="100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 spans="1:20" ht="12.75">
      <c r="A271" s="26"/>
      <c r="B271" s="26"/>
      <c r="C271" s="26"/>
      <c r="D271" s="26"/>
      <c r="E271" s="26"/>
      <c r="F271" s="26"/>
      <c r="G271" s="76"/>
      <c r="H271" s="76"/>
      <c r="I271" s="115"/>
      <c r="J271" s="100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 spans="1:20" ht="12.75">
      <c r="A272" s="26"/>
      <c r="B272" s="26"/>
      <c r="C272" s="26"/>
      <c r="D272" s="26"/>
      <c r="E272" s="26"/>
      <c r="F272" s="26"/>
      <c r="G272" s="76"/>
      <c r="H272" s="76"/>
      <c r="I272" s="115"/>
      <c r="J272" s="100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 spans="1:20" ht="12.75">
      <c r="A273" s="26"/>
      <c r="B273" s="26"/>
      <c r="C273" s="26"/>
      <c r="D273" s="26"/>
      <c r="E273" s="26"/>
      <c r="F273" s="26"/>
      <c r="G273" s="76"/>
      <c r="H273" s="76"/>
      <c r="I273" s="115"/>
      <c r="J273" s="100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 spans="1:20" ht="12.75">
      <c r="A274" s="26"/>
      <c r="B274" s="26"/>
      <c r="C274" s="26"/>
      <c r="D274" s="26"/>
      <c r="E274" s="26"/>
      <c r="F274" s="26"/>
      <c r="G274" s="76"/>
      <c r="H274" s="76"/>
      <c r="I274" s="115"/>
      <c r="J274" s="100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 spans="1:20" ht="12.75">
      <c r="A275" s="26"/>
      <c r="B275" s="26"/>
      <c r="C275" s="26"/>
      <c r="D275" s="26"/>
      <c r="E275" s="26"/>
      <c r="F275" s="26"/>
      <c r="G275" s="76"/>
      <c r="H275" s="76"/>
      <c r="I275" s="115"/>
      <c r="J275" s="100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 spans="1:20" ht="12.75">
      <c r="A276" s="26"/>
      <c r="B276" s="26"/>
      <c r="C276" s="26"/>
      <c r="D276" s="26"/>
      <c r="E276" s="26"/>
      <c r="F276" s="26"/>
      <c r="G276" s="76"/>
      <c r="H276" s="76"/>
      <c r="I276" s="115"/>
      <c r="J276" s="100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 spans="1:20" ht="12.75">
      <c r="A277" s="26"/>
      <c r="B277" s="26"/>
      <c r="C277" s="26"/>
      <c r="D277" s="26"/>
      <c r="E277" s="26"/>
      <c r="F277" s="26"/>
      <c r="G277" s="76"/>
      <c r="H277" s="76"/>
      <c r="I277" s="115"/>
      <c r="J277" s="100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 spans="1:20" ht="12.75">
      <c r="A278" s="26"/>
      <c r="B278" s="26"/>
      <c r="C278" s="26"/>
      <c r="D278" s="26"/>
      <c r="E278" s="26"/>
      <c r="F278" s="26"/>
      <c r="G278" s="76"/>
      <c r="H278" s="76"/>
      <c r="I278" s="115"/>
      <c r="J278" s="100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 spans="1:20" ht="12.75">
      <c r="A279" s="26"/>
      <c r="B279" s="26"/>
      <c r="C279" s="26"/>
      <c r="D279" s="26"/>
      <c r="E279" s="26"/>
      <c r="F279" s="26"/>
      <c r="G279" s="76"/>
      <c r="H279" s="76"/>
      <c r="I279" s="115"/>
      <c r="J279" s="100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 spans="1:20" ht="12.75">
      <c r="A280" s="26"/>
      <c r="B280" s="26"/>
      <c r="C280" s="26"/>
      <c r="D280" s="26"/>
      <c r="E280" s="26"/>
      <c r="F280" s="26"/>
      <c r="G280" s="76"/>
      <c r="H280" s="76"/>
      <c r="I280" s="115"/>
      <c r="J280" s="100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 spans="1:20" ht="12.75">
      <c r="A281" s="26"/>
      <c r="B281" s="26"/>
      <c r="C281" s="26"/>
      <c r="D281" s="26"/>
      <c r="E281" s="26"/>
      <c r="F281" s="26"/>
      <c r="G281" s="76"/>
      <c r="H281" s="76"/>
      <c r="I281" s="115"/>
      <c r="J281" s="100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 spans="1:20" ht="12.75">
      <c r="A282" s="26"/>
      <c r="B282" s="26"/>
      <c r="C282" s="26"/>
      <c r="D282" s="26"/>
      <c r="E282" s="26"/>
      <c r="F282" s="26"/>
      <c r="G282" s="76"/>
      <c r="H282" s="76"/>
      <c r="I282" s="115"/>
      <c r="J282" s="100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 spans="1:20" ht="12.75">
      <c r="A283" s="26"/>
      <c r="B283" s="26"/>
      <c r="C283" s="26"/>
      <c r="D283" s="26"/>
      <c r="E283" s="26"/>
      <c r="F283" s="26"/>
      <c r="G283" s="76"/>
      <c r="H283" s="76"/>
      <c r="I283" s="115"/>
      <c r="J283" s="100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 spans="1:20" ht="12.75">
      <c r="A284" s="26"/>
      <c r="B284" s="26"/>
      <c r="C284" s="26"/>
      <c r="D284" s="26"/>
      <c r="E284" s="26"/>
      <c r="F284" s="26"/>
      <c r="G284" s="76"/>
      <c r="H284" s="76"/>
      <c r="I284" s="115"/>
      <c r="J284" s="100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 spans="1:20" ht="12.75">
      <c r="A285" s="26"/>
      <c r="B285" s="26"/>
      <c r="C285" s="26"/>
      <c r="D285" s="26"/>
      <c r="E285" s="26"/>
      <c r="F285" s="26"/>
      <c r="G285" s="76"/>
      <c r="H285" s="76"/>
      <c r="I285" s="115"/>
      <c r="J285" s="100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 spans="1:20" ht="12.75">
      <c r="A286" s="26"/>
      <c r="B286" s="26"/>
      <c r="C286" s="26"/>
      <c r="D286" s="26"/>
      <c r="E286" s="26"/>
      <c r="F286" s="26"/>
      <c r="G286" s="76"/>
      <c r="H286" s="76"/>
      <c r="I286" s="115"/>
      <c r="J286" s="100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 spans="1:20" ht="12.75">
      <c r="A287" s="26"/>
      <c r="B287" s="26"/>
      <c r="C287" s="26"/>
      <c r="D287" s="26"/>
      <c r="E287" s="26"/>
      <c r="F287" s="26"/>
      <c r="G287" s="76"/>
      <c r="H287" s="76"/>
      <c r="I287" s="115"/>
      <c r="J287" s="100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 spans="1:20" ht="12.75">
      <c r="A288" s="26"/>
      <c r="B288" s="26"/>
      <c r="C288" s="26"/>
      <c r="D288" s="26"/>
      <c r="E288" s="26"/>
      <c r="F288" s="26"/>
      <c r="G288" s="76"/>
      <c r="H288" s="76"/>
      <c r="I288" s="115"/>
      <c r="J288" s="100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 spans="1:20" ht="12.75">
      <c r="A289" s="26"/>
      <c r="B289" s="26"/>
      <c r="C289" s="26"/>
      <c r="D289" s="26"/>
      <c r="E289" s="26"/>
      <c r="F289" s="26"/>
      <c r="G289" s="76"/>
      <c r="H289" s="76"/>
      <c r="I289" s="115"/>
      <c r="J289" s="100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 spans="1:20" ht="12.75">
      <c r="A290" s="26"/>
      <c r="B290" s="26"/>
      <c r="C290" s="26"/>
      <c r="D290" s="26"/>
      <c r="E290" s="26"/>
      <c r="F290" s="26"/>
      <c r="G290" s="76"/>
      <c r="H290" s="76"/>
      <c r="I290" s="115"/>
      <c r="J290" s="100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 spans="1:20" ht="12.75">
      <c r="A291" s="26"/>
      <c r="B291" s="26"/>
      <c r="C291" s="26"/>
      <c r="D291" s="26"/>
      <c r="E291" s="26"/>
      <c r="F291" s="26"/>
      <c r="G291" s="76"/>
      <c r="H291" s="76"/>
      <c r="I291" s="115"/>
      <c r="J291" s="100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 spans="1:20" ht="12.75">
      <c r="A292" s="26"/>
      <c r="B292" s="26"/>
      <c r="C292" s="26"/>
      <c r="D292" s="26"/>
      <c r="E292" s="26"/>
      <c r="F292" s="26"/>
      <c r="G292" s="76"/>
      <c r="H292" s="76"/>
      <c r="I292" s="115"/>
      <c r="J292" s="100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 spans="1:20" ht="12.75">
      <c r="A293" s="26"/>
      <c r="B293" s="26"/>
      <c r="C293" s="26"/>
      <c r="D293" s="26"/>
      <c r="E293" s="26"/>
      <c r="F293" s="26"/>
      <c r="G293" s="76"/>
      <c r="H293" s="76"/>
      <c r="I293" s="115"/>
      <c r="J293" s="100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 spans="1:20" ht="12.75">
      <c r="A294" s="26"/>
      <c r="B294" s="26"/>
      <c r="C294" s="26"/>
      <c r="D294" s="26"/>
      <c r="E294" s="26"/>
      <c r="F294" s="26"/>
      <c r="G294" s="76"/>
      <c r="H294" s="76"/>
      <c r="I294" s="115"/>
      <c r="J294" s="100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 spans="1:20" ht="12.75">
      <c r="A295" s="26"/>
      <c r="B295" s="26"/>
      <c r="C295" s="26"/>
      <c r="D295" s="26"/>
      <c r="E295" s="26"/>
      <c r="F295" s="26"/>
      <c r="G295" s="76"/>
      <c r="H295" s="76"/>
      <c r="I295" s="115"/>
      <c r="J295" s="100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 spans="1:20" ht="12.75">
      <c r="A296" s="26"/>
      <c r="B296" s="26"/>
      <c r="C296" s="26"/>
      <c r="D296" s="26"/>
      <c r="E296" s="26"/>
      <c r="F296" s="26"/>
      <c r="G296" s="76"/>
      <c r="H296" s="76"/>
      <c r="I296" s="115"/>
      <c r="J296" s="100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 spans="1:20" ht="12.75">
      <c r="A297" s="26"/>
      <c r="B297" s="26"/>
      <c r="C297" s="26"/>
      <c r="D297" s="26"/>
      <c r="E297" s="26"/>
      <c r="F297" s="26"/>
      <c r="G297" s="76"/>
      <c r="H297" s="76"/>
      <c r="I297" s="115"/>
      <c r="J297" s="100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 spans="1:20" ht="12.75">
      <c r="A298" s="26"/>
      <c r="B298" s="26"/>
      <c r="C298" s="26"/>
      <c r="D298" s="26"/>
      <c r="E298" s="26"/>
      <c r="F298" s="26"/>
      <c r="G298" s="76"/>
      <c r="H298" s="76"/>
      <c r="I298" s="115"/>
      <c r="J298" s="100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 spans="1:20" ht="12.75">
      <c r="A299" s="26"/>
      <c r="B299" s="26"/>
      <c r="C299" s="26"/>
      <c r="D299" s="26"/>
      <c r="E299" s="26"/>
      <c r="F299" s="26"/>
      <c r="G299" s="76"/>
      <c r="H299" s="76"/>
      <c r="I299" s="115"/>
      <c r="J299" s="100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 spans="1:20" ht="12.75">
      <c r="A300" s="26"/>
      <c r="B300" s="26"/>
      <c r="C300" s="26"/>
      <c r="D300" s="26"/>
      <c r="E300" s="26"/>
      <c r="F300" s="26"/>
      <c r="G300" s="76"/>
      <c r="H300" s="76"/>
      <c r="I300" s="115"/>
      <c r="J300" s="100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 spans="1:20" ht="12.75">
      <c r="A301" s="26"/>
      <c r="B301" s="26"/>
      <c r="C301" s="26"/>
      <c r="D301" s="26"/>
      <c r="E301" s="26"/>
      <c r="F301" s="26"/>
      <c r="G301" s="76"/>
      <c r="H301" s="76"/>
      <c r="I301" s="115"/>
      <c r="J301" s="100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 spans="1:20" ht="12.75">
      <c r="A302" s="26"/>
      <c r="B302" s="26"/>
      <c r="C302" s="26"/>
      <c r="D302" s="26"/>
      <c r="E302" s="26"/>
      <c r="F302" s="26"/>
      <c r="G302" s="76"/>
      <c r="H302" s="76"/>
      <c r="I302" s="115"/>
      <c r="J302" s="100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 spans="1:20" ht="12.75">
      <c r="A303" s="26"/>
      <c r="B303" s="26"/>
      <c r="C303" s="26"/>
      <c r="D303" s="26"/>
      <c r="E303" s="26"/>
      <c r="F303" s="26"/>
      <c r="G303" s="76"/>
      <c r="H303" s="76"/>
      <c r="I303" s="115"/>
      <c r="J303" s="100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 spans="1:20" ht="12.75">
      <c r="A304" s="26"/>
      <c r="B304" s="26"/>
      <c r="C304" s="26"/>
      <c r="D304" s="26"/>
      <c r="E304" s="26"/>
      <c r="F304" s="26"/>
      <c r="G304" s="76"/>
      <c r="H304" s="76"/>
      <c r="I304" s="115"/>
      <c r="J304" s="100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 spans="1:20" ht="12.75">
      <c r="A305" s="26"/>
      <c r="B305" s="26"/>
      <c r="C305" s="26"/>
      <c r="D305" s="26"/>
      <c r="E305" s="26"/>
      <c r="F305" s="26"/>
      <c r="G305" s="76"/>
      <c r="H305" s="76"/>
      <c r="I305" s="115"/>
      <c r="J305" s="100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 spans="1:20" ht="12.75">
      <c r="A306" s="26"/>
      <c r="B306" s="26"/>
      <c r="C306" s="26"/>
      <c r="D306" s="26"/>
      <c r="E306" s="26"/>
      <c r="F306" s="26"/>
      <c r="G306" s="76"/>
      <c r="H306" s="76"/>
      <c r="I306" s="115"/>
      <c r="J306" s="100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 spans="1:20" ht="12.75">
      <c r="A307" s="26"/>
      <c r="B307" s="26"/>
      <c r="C307" s="26"/>
      <c r="D307" s="26"/>
      <c r="E307" s="26"/>
      <c r="F307" s="26"/>
      <c r="G307" s="76"/>
      <c r="H307" s="76"/>
      <c r="I307" s="115"/>
      <c r="J307" s="100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 spans="1:20" ht="12.75">
      <c r="A308" s="26"/>
      <c r="B308" s="26"/>
      <c r="C308" s="26"/>
      <c r="D308" s="26"/>
      <c r="E308" s="26"/>
      <c r="F308" s="26"/>
      <c r="G308" s="76"/>
      <c r="H308" s="76"/>
      <c r="I308" s="115"/>
      <c r="J308" s="100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 spans="1:20" ht="12.75">
      <c r="A309" s="26"/>
      <c r="B309" s="26"/>
      <c r="C309" s="26"/>
      <c r="D309" s="26"/>
      <c r="E309" s="26"/>
      <c r="F309" s="26"/>
      <c r="G309" s="76"/>
      <c r="H309" s="76"/>
      <c r="I309" s="115"/>
      <c r="J309" s="100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 spans="1:20" ht="12.75">
      <c r="A310" s="26"/>
      <c r="B310" s="26"/>
      <c r="C310" s="26"/>
      <c r="D310" s="26"/>
      <c r="E310" s="26"/>
      <c r="F310" s="26"/>
      <c r="G310" s="76"/>
      <c r="H310" s="76"/>
      <c r="I310" s="115"/>
      <c r="J310" s="100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 spans="1:20" ht="12.75">
      <c r="A311" s="26"/>
      <c r="B311" s="26"/>
      <c r="C311" s="26"/>
      <c r="D311" s="26"/>
      <c r="E311" s="26"/>
      <c r="F311" s="26"/>
      <c r="G311" s="76"/>
      <c r="H311" s="76"/>
      <c r="I311" s="115"/>
      <c r="J311" s="100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 spans="1:20" ht="12.75">
      <c r="A312" s="26"/>
      <c r="B312" s="26"/>
      <c r="C312" s="26"/>
      <c r="D312" s="26"/>
      <c r="E312" s="26"/>
      <c r="F312" s="26"/>
      <c r="G312" s="76"/>
      <c r="H312" s="76"/>
      <c r="I312" s="115"/>
      <c r="J312" s="100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 spans="1:20" ht="12.75">
      <c r="A313" s="26"/>
      <c r="B313" s="26"/>
      <c r="C313" s="26"/>
      <c r="D313" s="26"/>
      <c r="E313" s="26"/>
      <c r="F313" s="26"/>
      <c r="G313" s="76"/>
      <c r="H313" s="76"/>
      <c r="I313" s="115"/>
      <c r="J313" s="100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 spans="1:20" ht="12.75">
      <c r="A314" s="26"/>
      <c r="B314" s="26"/>
      <c r="C314" s="26"/>
      <c r="D314" s="26"/>
      <c r="E314" s="26"/>
      <c r="F314" s="26"/>
      <c r="G314" s="76"/>
      <c r="H314" s="76"/>
      <c r="I314" s="115"/>
      <c r="J314" s="100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 spans="1:20" ht="12.75">
      <c r="A315" s="26"/>
      <c r="B315" s="26"/>
      <c r="C315" s="26"/>
      <c r="D315" s="26"/>
      <c r="E315" s="26"/>
      <c r="F315" s="26"/>
      <c r="G315" s="76"/>
      <c r="H315" s="76"/>
      <c r="I315" s="115"/>
      <c r="J315" s="100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 spans="1:20" ht="12.75">
      <c r="A316" s="26"/>
      <c r="B316" s="26"/>
      <c r="C316" s="26"/>
      <c r="D316" s="26"/>
      <c r="E316" s="26"/>
      <c r="F316" s="26"/>
      <c r="G316" s="76"/>
      <c r="H316" s="76"/>
      <c r="I316" s="115"/>
      <c r="J316" s="100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 spans="1:20" ht="12.75">
      <c r="A317" s="26"/>
      <c r="B317" s="26"/>
      <c r="C317" s="26"/>
      <c r="D317" s="26"/>
      <c r="E317" s="26"/>
      <c r="F317" s="26"/>
      <c r="G317" s="76"/>
      <c r="H317" s="76"/>
      <c r="I317" s="115"/>
      <c r="J317" s="100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 spans="1:20" ht="12.75">
      <c r="A318" s="26"/>
      <c r="B318" s="26"/>
      <c r="C318" s="26"/>
      <c r="D318" s="26"/>
      <c r="E318" s="26"/>
      <c r="F318" s="26"/>
      <c r="G318" s="76"/>
      <c r="H318" s="76"/>
      <c r="I318" s="115"/>
      <c r="J318" s="100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 spans="1:20" ht="12.75">
      <c r="A319" s="26"/>
      <c r="B319" s="26"/>
      <c r="C319" s="26"/>
      <c r="D319" s="26"/>
      <c r="E319" s="26"/>
      <c r="F319" s="26"/>
      <c r="G319" s="76"/>
      <c r="H319" s="76"/>
      <c r="I319" s="115"/>
      <c r="J319" s="100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 spans="1:20" ht="12.75">
      <c r="A320" s="26"/>
      <c r="B320" s="26"/>
      <c r="C320" s="26"/>
      <c r="D320" s="26"/>
      <c r="E320" s="26"/>
      <c r="F320" s="26"/>
      <c r="G320" s="76"/>
      <c r="H320" s="76"/>
      <c r="I320" s="115"/>
      <c r="J320" s="100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 spans="1:20" ht="12.75">
      <c r="A321" s="26"/>
      <c r="B321" s="26"/>
      <c r="C321" s="26"/>
      <c r="D321" s="26"/>
      <c r="E321" s="26"/>
      <c r="F321" s="26"/>
      <c r="G321" s="76"/>
      <c r="H321" s="76"/>
      <c r="I321" s="115"/>
      <c r="J321" s="100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 spans="1:20" ht="12.75">
      <c r="A322" s="26"/>
      <c r="B322" s="26"/>
      <c r="C322" s="26"/>
      <c r="D322" s="26"/>
      <c r="E322" s="26"/>
      <c r="F322" s="26"/>
      <c r="G322" s="76"/>
      <c r="H322" s="76"/>
      <c r="I322" s="115"/>
      <c r="J322" s="100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 spans="1:20" ht="12.75">
      <c r="A323" s="26"/>
      <c r="B323" s="26"/>
      <c r="C323" s="26"/>
      <c r="D323" s="26"/>
      <c r="E323" s="26"/>
      <c r="F323" s="26"/>
      <c r="G323" s="76"/>
      <c r="H323" s="76"/>
      <c r="I323" s="115"/>
      <c r="J323" s="100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 spans="1:20" ht="12.75">
      <c r="A324" s="26"/>
      <c r="B324" s="26"/>
      <c r="C324" s="26"/>
      <c r="D324" s="26"/>
      <c r="E324" s="26"/>
      <c r="F324" s="26"/>
      <c r="G324" s="76"/>
      <c r="H324" s="76"/>
      <c r="I324" s="115"/>
      <c r="J324" s="100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 spans="1:20" ht="12.75">
      <c r="A325" s="26"/>
      <c r="B325" s="26"/>
      <c r="C325" s="26"/>
      <c r="D325" s="26"/>
      <c r="E325" s="26"/>
      <c r="F325" s="26"/>
      <c r="G325" s="76"/>
      <c r="H325" s="76"/>
      <c r="I325" s="115"/>
      <c r="J325" s="100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 spans="1:20" ht="12.75">
      <c r="A326" s="26"/>
      <c r="B326" s="26"/>
      <c r="C326" s="26"/>
      <c r="D326" s="26"/>
      <c r="E326" s="26"/>
      <c r="F326" s="26"/>
      <c r="G326" s="76"/>
      <c r="H326" s="76"/>
      <c r="I326" s="115"/>
      <c r="J326" s="100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 spans="1:20" ht="12.75">
      <c r="A327" s="26"/>
      <c r="B327" s="26"/>
      <c r="C327" s="26"/>
      <c r="D327" s="26"/>
      <c r="E327" s="26"/>
      <c r="F327" s="26"/>
      <c r="G327" s="76"/>
      <c r="H327" s="76"/>
      <c r="I327" s="115"/>
      <c r="J327" s="100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 spans="1:20" ht="12.75">
      <c r="A328" s="26"/>
      <c r="B328" s="26"/>
      <c r="C328" s="26"/>
      <c r="D328" s="26"/>
      <c r="E328" s="26"/>
      <c r="F328" s="26"/>
      <c r="G328" s="76"/>
      <c r="H328" s="76"/>
      <c r="I328" s="115"/>
      <c r="J328" s="100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 spans="1:20" ht="12.75">
      <c r="A329" s="26"/>
      <c r="B329" s="26"/>
      <c r="C329" s="26"/>
      <c r="D329" s="26"/>
      <c r="E329" s="26"/>
      <c r="F329" s="26"/>
      <c r="G329" s="76"/>
      <c r="H329" s="76"/>
      <c r="I329" s="115"/>
      <c r="J329" s="100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 spans="1:20" ht="12.75">
      <c r="A330" s="26"/>
      <c r="B330" s="26"/>
      <c r="C330" s="26"/>
      <c r="D330" s="26"/>
      <c r="E330" s="26"/>
      <c r="F330" s="26"/>
      <c r="G330" s="76"/>
      <c r="H330" s="76"/>
      <c r="I330" s="115"/>
      <c r="J330" s="100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 spans="1:20" ht="12.75">
      <c r="A331" s="26"/>
      <c r="B331" s="26"/>
      <c r="C331" s="26"/>
      <c r="D331" s="26"/>
      <c r="E331" s="26"/>
      <c r="F331" s="26"/>
      <c r="G331" s="76"/>
      <c r="H331" s="76"/>
      <c r="I331" s="115"/>
      <c r="J331" s="100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 spans="1:20" ht="12.75">
      <c r="A332" s="26"/>
      <c r="B332" s="26"/>
      <c r="C332" s="26"/>
      <c r="D332" s="26"/>
      <c r="E332" s="26"/>
      <c r="F332" s="26"/>
      <c r="G332" s="76"/>
      <c r="H332" s="76"/>
      <c r="I332" s="115"/>
      <c r="J332" s="100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 spans="1:20" ht="12.75">
      <c r="A333" s="26"/>
      <c r="B333" s="26"/>
      <c r="C333" s="26"/>
      <c r="D333" s="26"/>
      <c r="E333" s="26"/>
      <c r="F333" s="26"/>
      <c r="G333" s="76"/>
      <c r="H333" s="76"/>
      <c r="I333" s="115"/>
      <c r="J333" s="100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 spans="1:20" ht="12.75">
      <c r="A334" s="26"/>
      <c r="B334" s="26"/>
      <c r="C334" s="26"/>
      <c r="D334" s="26"/>
      <c r="E334" s="26"/>
      <c r="F334" s="26"/>
      <c r="G334" s="76"/>
      <c r="H334" s="76"/>
      <c r="I334" s="115"/>
      <c r="J334" s="100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ht="12.75">
      <c r="A335" s="26"/>
      <c r="B335" s="26"/>
      <c r="C335" s="26"/>
      <c r="D335" s="26"/>
      <c r="E335" s="26"/>
      <c r="F335" s="26"/>
      <c r="G335" s="76"/>
      <c r="H335" s="76"/>
      <c r="I335" s="115"/>
      <c r="J335" s="100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 spans="1:20" ht="12.75">
      <c r="A336" s="26"/>
      <c r="B336" s="26"/>
      <c r="C336" s="26"/>
      <c r="D336" s="26"/>
      <c r="E336" s="26"/>
      <c r="F336" s="26"/>
      <c r="G336" s="76"/>
      <c r="H336" s="76"/>
      <c r="I336" s="115"/>
      <c r="J336" s="100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 spans="1:20" ht="12.75">
      <c r="A337" s="26"/>
      <c r="B337" s="26"/>
      <c r="C337" s="26"/>
      <c r="D337" s="26"/>
      <c r="E337" s="26"/>
      <c r="F337" s="26"/>
      <c r="G337" s="76"/>
      <c r="H337" s="76"/>
      <c r="I337" s="115"/>
      <c r="J337" s="100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0" ht="12.75">
      <c r="A338" s="26"/>
      <c r="B338" s="26"/>
      <c r="C338" s="26"/>
      <c r="D338" s="26"/>
      <c r="E338" s="26"/>
      <c r="F338" s="26"/>
      <c r="G338" s="76"/>
      <c r="H338" s="76"/>
      <c r="I338" s="115"/>
      <c r="J338" s="100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0" ht="12.75">
      <c r="A339" s="26"/>
      <c r="B339" s="26"/>
      <c r="C339" s="26"/>
      <c r="D339" s="26"/>
      <c r="E339" s="26"/>
      <c r="F339" s="26"/>
      <c r="G339" s="76"/>
      <c r="H339" s="76"/>
      <c r="I339" s="115"/>
      <c r="J339" s="100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0" ht="12.75">
      <c r="A340" s="26"/>
      <c r="B340" s="26"/>
      <c r="C340" s="26"/>
      <c r="D340" s="26"/>
      <c r="E340" s="26"/>
      <c r="F340" s="26"/>
      <c r="G340" s="76"/>
      <c r="H340" s="76"/>
      <c r="I340" s="115"/>
      <c r="J340" s="100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ht="12.75">
      <c r="A341" s="26"/>
      <c r="B341" s="26"/>
      <c r="C341" s="26"/>
      <c r="D341" s="26"/>
      <c r="E341" s="26"/>
      <c r="F341" s="26"/>
      <c r="G341" s="76"/>
      <c r="H341" s="76"/>
      <c r="I341" s="115"/>
      <c r="J341" s="100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 spans="1:20" ht="12.75">
      <c r="A342" s="26"/>
      <c r="B342" s="26"/>
      <c r="C342" s="26"/>
      <c r="D342" s="26"/>
      <c r="E342" s="26"/>
      <c r="F342" s="26"/>
      <c r="G342" s="76"/>
      <c r="H342" s="76"/>
      <c r="I342" s="115"/>
      <c r="J342" s="100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ht="12.75">
      <c r="A343" s="26"/>
      <c r="B343" s="26"/>
      <c r="C343" s="26"/>
      <c r="D343" s="26"/>
      <c r="E343" s="26"/>
      <c r="F343" s="26"/>
      <c r="G343" s="76"/>
      <c r="H343" s="76"/>
      <c r="I343" s="115"/>
      <c r="J343" s="100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ht="12.75">
      <c r="A344" s="26"/>
      <c r="B344" s="26"/>
      <c r="C344" s="26"/>
      <c r="D344" s="26"/>
      <c r="E344" s="26"/>
      <c r="F344" s="26"/>
      <c r="G344" s="76"/>
      <c r="H344" s="76"/>
      <c r="I344" s="115"/>
      <c r="J344" s="100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 spans="1:20" ht="12.75">
      <c r="A345" s="26"/>
      <c r="B345" s="26"/>
      <c r="C345" s="26"/>
      <c r="D345" s="26"/>
      <c r="E345" s="26"/>
      <c r="F345" s="26"/>
      <c r="G345" s="76"/>
      <c r="H345" s="76"/>
      <c r="I345" s="115"/>
      <c r="J345" s="100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 spans="1:20" ht="12.75">
      <c r="A346" s="26"/>
      <c r="B346" s="26"/>
      <c r="C346" s="26"/>
      <c r="D346" s="26"/>
      <c r="E346" s="26"/>
      <c r="F346" s="26"/>
      <c r="G346" s="76"/>
      <c r="H346" s="76"/>
      <c r="I346" s="115"/>
      <c r="J346" s="100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ht="12.75">
      <c r="A347" s="26"/>
      <c r="B347" s="26"/>
      <c r="C347" s="26"/>
      <c r="D347" s="26"/>
      <c r="E347" s="26"/>
      <c r="F347" s="26"/>
      <c r="G347" s="76"/>
      <c r="H347" s="76"/>
      <c r="I347" s="115"/>
      <c r="J347" s="100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 spans="1:20" ht="12.75">
      <c r="A348" s="26"/>
      <c r="B348" s="26"/>
      <c r="C348" s="26"/>
      <c r="D348" s="26"/>
      <c r="E348" s="26"/>
      <c r="F348" s="26"/>
      <c r="G348" s="76"/>
      <c r="H348" s="76"/>
      <c r="I348" s="115"/>
      <c r="J348" s="100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 spans="1:20" ht="12.75">
      <c r="A349" s="26"/>
      <c r="B349" s="26"/>
      <c r="C349" s="26"/>
      <c r="D349" s="26"/>
      <c r="E349" s="26"/>
      <c r="F349" s="26"/>
      <c r="G349" s="76"/>
      <c r="H349" s="76"/>
      <c r="I349" s="115"/>
      <c r="J349" s="100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 spans="1:20" ht="12.75">
      <c r="A350" s="26"/>
      <c r="B350" s="26"/>
      <c r="C350" s="26"/>
      <c r="D350" s="26"/>
      <c r="E350" s="26"/>
      <c r="F350" s="26"/>
      <c r="G350" s="76"/>
      <c r="H350" s="76"/>
      <c r="I350" s="115"/>
      <c r="J350" s="100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 spans="1:20" ht="12.75">
      <c r="A351" s="26"/>
      <c r="B351" s="26"/>
      <c r="C351" s="26"/>
      <c r="D351" s="26"/>
      <c r="E351" s="26"/>
      <c r="F351" s="26"/>
      <c r="G351" s="76"/>
      <c r="H351" s="76"/>
      <c r="I351" s="115"/>
      <c r="J351" s="100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 spans="1:20" ht="12.75">
      <c r="A352" s="26"/>
      <c r="B352" s="26"/>
      <c r="C352" s="26"/>
      <c r="D352" s="26"/>
      <c r="E352" s="26"/>
      <c r="F352" s="26"/>
      <c r="G352" s="76"/>
      <c r="H352" s="76"/>
      <c r="I352" s="115"/>
      <c r="J352" s="100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 spans="1:20" ht="12.75">
      <c r="A353" s="26"/>
      <c r="B353" s="26"/>
      <c r="C353" s="26"/>
      <c r="D353" s="26"/>
      <c r="E353" s="26"/>
      <c r="F353" s="26"/>
      <c r="G353" s="76"/>
      <c r="H353" s="76"/>
      <c r="I353" s="115"/>
      <c r="J353" s="100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ht="12.75">
      <c r="A354" s="26"/>
      <c r="B354" s="26"/>
      <c r="C354" s="26"/>
      <c r="D354" s="26"/>
      <c r="E354" s="26"/>
      <c r="F354" s="26"/>
      <c r="G354" s="76"/>
      <c r="H354" s="76"/>
      <c r="I354" s="115"/>
      <c r="J354" s="100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 spans="1:20" ht="12.75">
      <c r="A355" s="26"/>
      <c r="B355" s="26"/>
      <c r="C355" s="26"/>
      <c r="D355" s="26"/>
      <c r="E355" s="26"/>
      <c r="F355" s="26"/>
      <c r="G355" s="76"/>
      <c r="H355" s="76"/>
      <c r="I355" s="115"/>
      <c r="J355" s="100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 spans="1:20" ht="12.75">
      <c r="A356" s="26"/>
      <c r="B356" s="26"/>
      <c r="C356" s="26"/>
      <c r="D356" s="26"/>
      <c r="E356" s="26"/>
      <c r="F356" s="26"/>
      <c r="G356" s="76"/>
      <c r="H356" s="76"/>
      <c r="I356" s="115"/>
      <c r="J356" s="100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 spans="1:20" ht="12.75">
      <c r="A357" s="26"/>
      <c r="B357" s="26"/>
      <c r="C357" s="26"/>
      <c r="D357" s="26"/>
      <c r="E357" s="26"/>
      <c r="F357" s="26"/>
      <c r="G357" s="76"/>
      <c r="H357" s="76"/>
      <c r="I357" s="115"/>
      <c r="J357" s="100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 spans="1:20" ht="12.75">
      <c r="A358" s="26"/>
      <c r="B358" s="26"/>
      <c r="C358" s="26"/>
      <c r="D358" s="26"/>
      <c r="E358" s="26"/>
      <c r="F358" s="26"/>
      <c r="G358" s="76"/>
      <c r="H358" s="76"/>
      <c r="I358" s="115"/>
      <c r="J358" s="100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 spans="1:20" ht="12.75">
      <c r="A359" s="26"/>
      <c r="B359" s="26"/>
      <c r="C359" s="26"/>
      <c r="D359" s="26"/>
      <c r="E359" s="26"/>
      <c r="F359" s="26"/>
      <c r="G359" s="76"/>
      <c r="H359" s="76"/>
      <c r="I359" s="115"/>
      <c r="J359" s="100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 spans="1:20" ht="12.75">
      <c r="A360" s="26"/>
      <c r="B360" s="26"/>
      <c r="C360" s="26"/>
      <c r="D360" s="26"/>
      <c r="E360" s="26"/>
      <c r="F360" s="26"/>
      <c r="G360" s="76"/>
      <c r="H360" s="76"/>
      <c r="I360" s="115"/>
      <c r="J360" s="100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 spans="1:20" ht="12.75">
      <c r="A361" s="26"/>
      <c r="B361" s="26"/>
      <c r="C361" s="26"/>
      <c r="D361" s="26"/>
      <c r="E361" s="26"/>
      <c r="F361" s="26"/>
      <c r="G361" s="76"/>
      <c r="H361" s="76"/>
      <c r="I361" s="115"/>
      <c r="J361" s="100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ht="12.75">
      <c r="A362" s="26"/>
      <c r="B362" s="26"/>
      <c r="C362" s="26"/>
      <c r="D362" s="26"/>
      <c r="E362" s="26"/>
      <c r="F362" s="26"/>
      <c r="G362" s="76"/>
      <c r="H362" s="76"/>
      <c r="I362" s="115"/>
      <c r="J362" s="100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 spans="1:20" ht="12.75">
      <c r="A363" s="26"/>
      <c r="B363" s="26"/>
      <c r="C363" s="26"/>
      <c r="D363" s="26"/>
      <c r="E363" s="26"/>
      <c r="F363" s="26"/>
      <c r="G363" s="76"/>
      <c r="H363" s="76"/>
      <c r="I363" s="115"/>
      <c r="J363" s="100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 spans="1:20" ht="12.75">
      <c r="A364" s="26"/>
      <c r="B364" s="26"/>
      <c r="C364" s="26"/>
      <c r="D364" s="26"/>
      <c r="E364" s="26"/>
      <c r="F364" s="26"/>
      <c r="G364" s="76"/>
      <c r="H364" s="76"/>
      <c r="I364" s="115"/>
      <c r="J364" s="100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ht="12.75">
      <c r="A365" s="26"/>
      <c r="B365" s="26"/>
      <c r="C365" s="26"/>
      <c r="D365" s="26"/>
      <c r="E365" s="26"/>
      <c r="F365" s="26"/>
      <c r="G365" s="76"/>
      <c r="H365" s="76"/>
      <c r="I365" s="115"/>
      <c r="J365" s="100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ht="12.75">
      <c r="A366" s="26"/>
      <c r="B366" s="26"/>
      <c r="C366" s="26"/>
      <c r="D366" s="26"/>
      <c r="E366" s="26"/>
      <c r="F366" s="26"/>
      <c r="G366" s="76"/>
      <c r="H366" s="76"/>
      <c r="I366" s="115"/>
      <c r="J366" s="100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 spans="1:20" ht="12.75">
      <c r="A367" s="26"/>
      <c r="B367" s="26"/>
      <c r="C367" s="26"/>
      <c r="D367" s="26"/>
      <c r="E367" s="26"/>
      <c r="F367" s="26"/>
      <c r="G367" s="76"/>
      <c r="H367" s="76"/>
      <c r="I367" s="115"/>
      <c r="J367" s="100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 spans="1:20" ht="12.75">
      <c r="A368" s="26"/>
      <c r="B368" s="26"/>
      <c r="C368" s="26"/>
      <c r="D368" s="26"/>
      <c r="E368" s="26"/>
      <c r="F368" s="26"/>
      <c r="G368" s="76"/>
      <c r="H368" s="76"/>
      <c r="I368" s="115"/>
      <c r="J368" s="100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ht="12.75">
      <c r="A369" s="26"/>
      <c r="B369" s="26"/>
      <c r="C369" s="26"/>
      <c r="D369" s="26"/>
      <c r="E369" s="26"/>
      <c r="F369" s="26"/>
      <c r="G369" s="76"/>
      <c r="H369" s="76"/>
      <c r="I369" s="115"/>
      <c r="J369" s="100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 spans="1:20" ht="12.75">
      <c r="A370" s="26"/>
      <c r="B370" s="26"/>
      <c r="C370" s="26"/>
      <c r="D370" s="26"/>
      <c r="E370" s="26"/>
      <c r="F370" s="26"/>
      <c r="G370" s="76"/>
      <c r="H370" s="76"/>
      <c r="I370" s="115"/>
      <c r="J370" s="100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 spans="1:20" ht="12.75">
      <c r="A371" s="26"/>
      <c r="B371" s="26"/>
      <c r="C371" s="26"/>
      <c r="D371" s="26"/>
      <c r="E371" s="26"/>
      <c r="F371" s="26"/>
      <c r="G371" s="76"/>
      <c r="H371" s="76"/>
      <c r="I371" s="115"/>
      <c r="J371" s="100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 spans="1:20" ht="12.75">
      <c r="A372" s="26"/>
      <c r="B372" s="26"/>
      <c r="C372" s="26"/>
      <c r="D372" s="26"/>
      <c r="E372" s="26"/>
      <c r="F372" s="26"/>
      <c r="G372" s="76"/>
      <c r="H372" s="76"/>
      <c r="I372" s="115"/>
      <c r="J372" s="100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 spans="1:20" ht="12.75">
      <c r="A373" s="26"/>
      <c r="B373" s="26"/>
      <c r="C373" s="26"/>
      <c r="D373" s="26"/>
      <c r="E373" s="26"/>
      <c r="F373" s="26"/>
      <c r="G373" s="76"/>
      <c r="H373" s="76"/>
      <c r="I373" s="115"/>
      <c r="J373" s="100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 spans="1:20" ht="12.75">
      <c r="A374" s="26"/>
      <c r="B374" s="26"/>
      <c r="C374" s="26"/>
      <c r="D374" s="26"/>
      <c r="E374" s="26"/>
      <c r="F374" s="26"/>
      <c r="G374" s="76"/>
      <c r="H374" s="76"/>
      <c r="I374" s="115"/>
      <c r="J374" s="100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ht="12.75">
      <c r="A375" s="26"/>
      <c r="B375" s="26"/>
      <c r="C375" s="26"/>
      <c r="D375" s="26"/>
      <c r="E375" s="26"/>
      <c r="F375" s="26"/>
      <c r="G375" s="76"/>
      <c r="H375" s="76"/>
      <c r="I375" s="115"/>
      <c r="J375" s="100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 spans="1:20" ht="12.75">
      <c r="A376" s="26"/>
      <c r="B376" s="26"/>
      <c r="C376" s="26"/>
      <c r="D376" s="26"/>
      <c r="E376" s="26"/>
      <c r="F376" s="26"/>
      <c r="G376" s="76"/>
      <c r="H376" s="76"/>
      <c r="I376" s="115"/>
      <c r="J376" s="100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 spans="1:20" ht="12.75">
      <c r="A377" s="26"/>
      <c r="B377" s="26"/>
      <c r="C377" s="26"/>
      <c r="D377" s="26"/>
      <c r="E377" s="26"/>
      <c r="F377" s="26"/>
      <c r="G377" s="76"/>
      <c r="H377" s="76"/>
      <c r="I377" s="115"/>
      <c r="J377" s="100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ht="12.75">
      <c r="A378" s="26"/>
      <c r="B378" s="26"/>
      <c r="C378" s="26"/>
      <c r="D378" s="26"/>
      <c r="E378" s="26"/>
      <c r="F378" s="26"/>
      <c r="G378" s="76"/>
      <c r="H378" s="76"/>
      <c r="I378" s="115"/>
      <c r="J378" s="100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spans="1:20" ht="12.75">
      <c r="A379" s="26"/>
      <c r="B379" s="26"/>
      <c r="C379" s="26"/>
      <c r="D379" s="26"/>
      <c r="E379" s="26"/>
      <c r="F379" s="26"/>
      <c r="G379" s="76"/>
      <c r="H379" s="76"/>
      <c r="I379" s="115"/>
      <c r="J379" s="100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spans="1:20" ht="12.75">
      <c r="A380" s="26"/>
      <c r="B380" s="26"/>
      <c r="C380" s="26"/>
      <c r="D380" s="26"/>
      <c r="E380" s="26"/>
      <c r="F380" s="26"/>
      <c r="G380" s="76"/>
      <c r="H380" s="76"/>
      <c r="I380" s="115"/>
      <c r="J380" s="100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ht="12.75">
      <c r="A381" s="26"/>
      <c r="B381" s="26"/>
      <c r="C381" s="26"/>
      <c r="D381" s="26"/>
      <c r="E381" s="26"/>
      <c r="F381" s="26"/>
      <c r="G381" s="76"/>
      <c r="H381" s="76"/>
      <c r="I381" s="115"/>
      <c r="J381" s="100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 spans="1:20" ht="12.75">
      <c r="A382" s="26"/>
      <c r="B382" s="26"/>
      <c r="C382" s="26"/>
      <c r="D382" s="26"/>
      <c r="E382" s="26"/>
      <c r="F382" s="26"/>
      <c r="G382" s="76"/>
      <c r="H382" s="76"/>
      <c r="I382" s="115"/>
      <c r="J382" s="100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ht="12.75">
      <c r="A383" s="26"/>
      <c r="B383" s="26"/>
      <c r="C383" s="26"/>
      <c r="D383" s="26"/>
      <c r="E383" s="26"/>
      <c r="F383" s="26"/>
      <c r="G383" s="76"/>
      <c r="H383" s="76"/>
      <c r="I383" s="115"/>
      <c r="J383" s="100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 spans="1:20" ht="12.75">
      <c r="A384" s="26"/>
      <c r="B384" s="26"/>
      <c r="C384" s="26"/>
      <c r="D384" s="26"/>
      <c r="E384" s="26"/>
      <c r="F384" s="26"/>
      <c r="G384" s="76"/>
      <c r="H384" s="76"/>
      <c r="I384" s="115"/>
      <c r="J384" s="100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 spans="1:20" ht="12.75">
      <c r="A385" s="26"/>
      <c r="B385" s="26"/>
      <c r="C385" s="26"/>
      <c r="D385" s="26"/>
      <c r="E385" s="26"/>
      <c r="F385" s="26"/>
      <c r="G385" s="76"/>
      <c r="H385" s="76"/>
      <c r="I385" s="115"/>
      <c r="J385" s="100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 spans="1:20" ht="12.75">
      <c r="A386" s="26"/>
      <c r="B386" s="26"/>
      <c r="C386" s="26"/>
      <c r="D386" s="26"/>
      <c r="E386" s="26"/>
      <c r="F386" s="26"/>
      <c r="G386" s="76"/>
      <c r="H386" s="76"/>
      <c r="I386" s="115"/>
      <c r="J386" s="100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 spans="1:20" ht="12.75">
      <c r="A387" s="26"/>
      <c r="B387" s="26"/>
      <c r="C387" s="26"/>
      <c r="D387" s="26"/>
      <c r="E387" s="26"/>
      <c r="F387" s="26"/>
      <c r="G387" s="76"/>
      <c r="H387" s="76"/>
      <c r="I387" s="115"/>
      <c r="J387" s="100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 spans="1:20" ht="12.75">
      <c r="A388" s="26"/>
      <c r="B388" s="26"/>
      <c r="C388" s="26"/>
      <c r="D388" s="26"/>
      <c r="E388" s="26"/>
      <c r="F388" s="26"/>
      <c r="G388" s="76"/>
      <c r="H388" s="76"/>
      <c r="I388" s="115"/>
      <c r="J388" s="100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 spans="1:20" ht="12.75">
      <c r="A389" s="26"/>
      <c r="B389" s="26"/>
      <c r="C389" s="26"/>
      <c r="D389" s="26"/>
      <c r="E389" s="26"/>
      <c r="F389" s="26"/>
      <c r="G389" s="76"/>
      <c r="H389" s="76"/>
      <c r="I389" s="115"/>
      <c r="J389" s="100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 spans="1:20" ht="12.75">
      <c r="A390" s="26"/>
      <c r="B390" s="26"/>
      <c r="C390" s="26"/>
      <c r="D390" s="26"/>
      <c r="E390" s="26"/>
      <c r="F390" s="26"/>
      <c r="G390" s="76"/>
      <c r="H390" s="76"/>
      <c r="I390" s="115"/>
      <c r="J390" s="100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 spans="1:20" ht="12.75">
      <c r="A391" s="26"/>
      <c r="B391" s="26"/>
      <c r="C391" s="26"/>
      <c r="D391" s="26"/>
      <c r="E391" s="26"/>
      <c r="F391" s="26"/>
      <c r="G391" s="76"/>
      <c r="H391" s="76"/>
      <c r="I391" s="115"/>
      <c r="J391" s="100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 spans="1:20" ht="12.75">
      <c r="A392" s="26"/>
      <c r="B392" s="26"/>
      <c r="C392" s="26"/>
      <c r="D392" s="26"/>
      <c r="E392" s="26"/>
      <c r="F392" s="26"/>
      <c r="G392" s="76"/>
      <c r="H392" s="76"/>
      <c r="I392" s="115"/>
      <c r="J392" s="100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 spans="1:20" ht="12.75">
      <c r="A393" s="26"/>
      <c r="B393" s="26"/>
      <c r="C393" s="26"/>
      <c r="D393" s="26"/>
      <c r="E393" s="26"/>
      <c r="F393" s="26"/>
      <c r="G393" s="76"/>
      <c r="H393" s="76"/>
      <c r="I393" s="115"/>
      <c r="J393" s="100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 spans="1:20" ht="12.75">
      <c r="A394" s="26"/>
      <c r="B394" s="26"/>
      <c r="C394" s="26"/>
      <c r="D394" s="26"/>
      <c r="E394" s="26"/>
      <c r="F394" s="26"/>
      <c r="G394" s="76"/>
      <c r="H394" s="76"/>
      <c r="I394" s="115"/>
      <c r="J394" s="100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 spans="1:20" ht="12.75">
      <c r="A395" s="26"/>
      <c r="B395" s="26"/>
      <c r="C395" s="26"/>
      <c r="D395" s="26"/>
      <c r="E395" s="26"/>
      <c r="F395" s="26"/>
      <c r="G395" s="76"/>
      <c r="H395" s="76"/>
      <c r="I395" s="115"/>
      <c r="J395" s="100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 spans="1:20" ht="12.75">
      <c r="A396" s="26"/>
      <c r="B396" s="26"/>
      <c r="C396" s="26"/>
      <c r="D396" s="26"/>
      <c r="E396" s="26"/>
      <c r="F396" s="26"/>
      <c r="G396" s="76"/>
      <c r="H396" s="76"/>
      <c r="I396" s="115"/>
      <c r="J396" s="100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 spans="1:20" ht="12.75">
      <c r="A397" s="26"/>
      <c r="B397" s="26"/>
      <c r="C397" s="26"/>
      <c r="D397" s="26"/>
      <c r="E397" s="26"/>
      <c r="F397" s="26"/>
      <c r="G397" s="76"/>
      <c r="H397" s="76"/>
      <c r="I397" s="115"/>
      <c r="J397" s="100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 spans="1:20" ht="12.75">
      <c r="A398" s="26"/>
      <c r="B398" s="26"/>
      <c r="C398" s="26"/>
      <c r="D398" s="26"/>
      <c r="E398" s="26"/>
      <c r="F398" s="26"/>
      <c r="G398" s="76"/>
      <c r="H398" s="76"/>
      <c r="I398" s="115"/>
      <c r="J398" s="100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 spans="1:20" ht="12.75">
      <c r="A399" s="26"/>
      <c r="B399" s="26"/>
      <c r="C399" s="26"/>
      <c r="D399" s="26"/>
      <c r="E399" s="26"/>
      <c r="F399" s="26"/>
      <c r="G399" s="76"/>
      <c r="H399" s="76"/>
      <c r="I399" s="115"/>
      <c r="J399" s="100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 spans="1:20" ht="12.75">
      <c r="A400" s="26"/>
      <c r="B400" s="26"/>
      <c r="C400" s="26"/>
      <c r="D400" s="26"/>
      <c r="E400" s="26"/>
      <c r="F400" s="26"/>
      <c r="G400" s="76"/>
      <c r="H400" s="76"/>
      <c r="I400" s="115"/>
      <c r="J400" s="100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 spans="1:20" ht="12.75">
      <c r="A401" s="26"/>
      <c r="B401" s="26"/>
      <c r="C401" s="26"/>
      <c r="D401" s="26"/>
      <c r="E401" s="26"/>
      <c r="F401" s="26"/>
      <c r="G401" s="76"/>
      <c r="H401" s="76"/>
      <c r="I401" s="115"/>
      <c r="J401" s="100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 spans="1:20" ht="12.75">
      <c r="A402" s="26"/>
      <c r="B402" s="26"/>
      <c r="C402" s="26"/>
      <c r="D402" s="26"/>
      <c r="E402" s="26"/>
      <c r="F402" s="26"/>
      <c r="G402" s="76"/>
      <c r="H402" s="76"/>
      <c r="I402" s="115"/>
      <c r="J402" s="100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 spans="1:20" ht="12.75">
      <c r="A403" s="26"/>
      <c r="B403" s="26"/>
      <c r="C403" s="26"/>
      <c r="D403" s="26"/>
      <c r="E403" s="26"/>
      <c r="F403" s="26"/>
      <c r="G403" s="76"/>
      <c r="H403" s="76"/>
      <c r="I403" s="115"/>
      <c r="J403" s="100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 spans="1:20" ht="12.75">
      <c r="A404" s="26"/>
      <c r="B404" s="26"/>
      <c r="C404" s="26"/>
      <c r="D404" s="26"/>
      <c r="E404" s="26"/>
      <c r="F404" s="26"/>
      <c r="G404" s="76"/>
      <c r="H404" s="76"/>
      <c r="I404" s="115"/>
      <c r="J404" s="100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 spans="1:20" ht="12.75">
      <c r="A405" s="26"/>
      <c r="B405" s="26"/>
      <c r="C405" s="26"/>
      <c r="D405" s="26"/>
      <c r="E405" s="26"/>
      <c r="F405" s="26"/>
      <c r="G405" s="76"/>
      <c r="H405" s="76"/>
      <c r="I405" s="115"/>
      <c r="J405" s="100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spans="1:20" ht="12.75">
      <c r="A406" s="26"/>
      <c r="B406" s="26"/>
      <c r="C406" s="26"/>
      <c r="D406" s="26"/>
      <c r="E406" s="26"/>
      <c r="F406" s="26"/>
      <c r="G406" s="76"/>
      <c r="H406" s="76"/>
      <c r="I406" s="115"/>
      <c r="J406" s="100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ht="12.75">
      <c r="A407" s="26"/>
      <c r="B407" s="26"/>
      <c r="C407" s="26"/>
      <c r="D407" s="26"/>
      <c r="E407" s="26"/>
      <c r="F407" s="26"/>
      <c r="G407" s="76"/>
      <c r="H407" s="76"/>
      <c r="I407" s="115"/>
      <c r="J407" s="100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 spans="1:20" ht="12.75">
      <c r="A408" s="26"/>
      <c r="B408" s="26"/>
      <c r="C408" s="26"/>
      <c r="D408" s="26"/>
      <c r="E408" s="26"/>
      <c r="F408" s="26"/>
      <c r="G408" s="76"/>
      <c r="H408" s="76"/>
      <c r="I408" s="115"/>
      <c r="J408" s="100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 spans="1:20" ht="12.75">
      <c r="A409" s="26"/>
      <c r="B409" s="26"/>
      <c r="C409" s="26"/>
      <c r="D409" s="26"/>
      <c r="E409" s="26"/>
      <c r="F409" s="26"/>
      <c r="G409" s="76"/>
      <c r="H409" s="76"/>
      <c r="I409" s="115"/>
      <c r="J409" s="100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 spans="1:20" ht="12.75">
      <c r="A410" s="26"/>
      <c r="B410" s="26"/>
      <c r="C410" s="26"/>
      <c r="D410" s="26"/>
      <c r="E410" s="26"/>
      <c r="F410" s="26"/>
      <c r="G410" s="76"/>
      <c r="H410" s="76"/>
      <c r="I410" s="115"/>
      <c r="J410" s="100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 spans="1:20" ht="12.75">
      <c r="A411" s="26"/>
      <c r="B411" s="26"/>
      <c r="C411" s="26"/>
      <c r="D411" s="26"/>
      <c r="E411" s="26"/>
      <c r="F411" s="26"/>
      <c r="G411" s="76"/>
      <c r="H411" s="76"/>
      <c r="I411" s="115"/>
      <c r="J411" s="100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 spans="1:20" ht="12.75">
      <c r="A412" s="26"/>
      <c r="B412" s="26"/>
      <c r="C412" s="26"/>
      <c r="D412" s="26"/>
      <c r="E412" s="26"/>
      <c r="F412" s="26"/>
      <c r="G412" s="76"/>
      <c r="H412" s="76"/>
      <c r="I412" s="115"/>
      <c r="J412" s="100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 spans="1:20" ht="12.75">
      <c r="A413" s="26"/>
      <c r="B413" s="26"/>
      <c r="C413" s="26"/>
      <c r="D413" s="26"/>
      <c r="E413" s="26"/>
      <c r="F413" s="26"/>
      <c r="G413" s="76"/>
      <c r="H413" s="76"/>
      <c r="I413" s="115"/>
      <c r="J413" s="100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 spans="1:20" ht="12.75">
      <c r="A414" s="26"/>
      <c r="B414" s="26"/>
      <c r="C414" s="26"/>
      <c r="D414" s="26"/>
      <c r="E414" s="26"/>
      <c r="F414" s="26"/>
      <c r="G414" s="76"/>
      <c r="H414" s="76"/>
      <c r="I414" s="115"/>
      <c r="J414" s="100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 spans="1:20" ht="12.75">
      <c r="A415" s="26"/>
      <c r="B415" s="26"/>
      <c r="C415" s="26"/>
      <c r="D415" s="26"/>
      <c r="E415" s="26"/>
      <c r="F415" s="26"/>
      <c r="G415" s="76"/>
      <c r="H415" s="76"/>
      <c r="I415" s="115"/>
      <c r="J415" s="100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 spans="1:20" ht="12.75">
      <c r="A416" s="26"/>
      <c r="B416" s="26"/>
      <c r="C416" s="26"/>
      <c r="D416" s="26"/>
      <c r="E416" s="26"/>
      <c r="F416" s="26"/>
      <c r="G416" s="76"/>
      <c r="H416" s="76"/>
      <c r="I416" s="115"/>
      <c r="J416" s="100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0" ht="12.75">
      <c r="A417" s="26"/>
      <c r="B417" s="26"/>
      <c r="C417" s="26"/>
      <c r="D417" s="26"/>
      <c r="E417" s="26"/>
      <c r="F417" s="26"/>
      <c r="G417" s="76"/>
      <c r="H417" s="76"/>
      <c r="I417" s="115"/>
      <c r="J417" s="100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0" ht="12.75">
      <c r="A418" s="26"/>
      <c r="B418" s="26"/>
      <c r="C418" s="26"/>
      <c r="D418" s="26"/>
      <c r="E418" s="26"/>
      <c r="F418" s="26"/>
      <c r="G418" s="76"/>
      <c r="H418" s="76"/>
      <c r="I418" s="115"/>
      <c r="J418" s="100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 spans="1:20" ht="12.75">
      <c r="A419" s="26"/>
      <c r="B419" s="26"/>
      <c r="C419" s="26"/>
      <c r="D419" s="26"/>
      <c r="E419" s="26"/>
      <c r="F419" s="26"/>
      <c r="G419" s="76"/>
      <c r="H419" s="76"/>
      <c r="I419" s="115"/>
      <c r="J419" s="100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 spans="1:20" ht="12.75">
      <c r="A420" s="26"/>
      <c r="B420" s="26"/>
      <c r="C420" s="26"/>
      <c r="D420" s="26"/>
      <c r="E420" s="26"/>
      <c r="F420" s="26"/>
      <c r="G420" s="76"/>
      <c r="H420" s="76"/>
      <c r="I420" s="115"/>
      <c r="J420" s="100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 spans="1:20" ht="12.75">
      <c r="A421" s="26"/>
      <c r="B421" s="26"/>
      <c r="C421" s="26"/>
      <c r="D421" s="26"/>
      <c r="E421" s="26"/>
      <c r="F421" s="26"/>
      <c r="G421" s="76"/>
      <c r="H421" s="76"/>
      <c r="I421" s="115"/>
      <c r="J421" s="100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 spans="1:20" ht="12.75">
      <c r="A422" s="26"/>
      <c r="B422" s="26"/>
      <c r="C422" s="26"/>
      <c r="D422" s="26"/>
      <c r="E422" s="26"/>
      <c r="F422" s="26"/>
      <c r="G422" s="76"/>
      <c r="H422" s="76"/>
      <c r="I422" s="115"/>
      <c r="J422" s="100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 spans="1:20" ht="12.75">
      <c r="A423" s="26"/>
      <c r="B423" s="26"/>
      <c r="C423" s="26"/>
      <c r="D423" s="26"/>
      <c r="E423" s="26"/>
      <c r="F423" s="26"/>
      <c r="G423" s="76"/>
      <c r="H423" s="76"/>
      <c r="I423" s="115"/>
      <c r="J423" s="100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 spans="1:20" ht="12.75">
      <c r="A424" s="26"/>
      <c r="B424" s="26"/>
      <c r="C424" s="26"/>
      <c r="D424" s="26"/>
      <c r="E424" s="26"/>
      <c r="F424" s="26"/>
      <c r="G424" s="76"/>
      <c r="H424" s="76"/>
      <c r="I424" s="115"/>
      <c r="J424" s="100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 spans="1:20" ht="12.75">
      <c r="A425" s="26"/>
      <c r="B425" s="26"/>
      <c r="C425" s="26"/>
      <c r="D425" s="26"/>
      <c r="E425" s="26"/>
      <c r="F425" s="26"/>
      <c r="G425" s="76"/>
      <c r="H425" s="76"/>
      <c r="I425" s="115"/>
      <c r="J425" s="100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 spans="1:20" ht="12.75">
      <c r="A426" s="26"/>
      <c r="B426" s="26"/>
      <c r="C426" s="26"/>
      <c r="D426" s="26"/>
      <c r="E426" s="26"/>
      <c r="F426" s="26"/>
      <c r="G426" s="76"/>
      <c r="H426" s="76"/>
      <c r="I426" s="115"/>
      <c r="J426" s="100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 spans="1:20" ht="12.75">
      <c r="A427" s="26"/>
      <c r="B427" s="26"/>
      <c r="C427" s="26"/>
      <c r="D427" s="26"/>
      <c r="E427" s="26"/>
      <c r="F427" s="26"/>
      <c r="G427" s="76"/>
      <c r="H427" s="76"/>
      <c r="I427" s="115"/>
      <c r="J427" s="100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 spans="1:20" ht="12.75">
      <c r="A428" s="26"/>
      <c r="B428" s="26"/>
      <c r="C428" s="26"/>
      <c r="D428" s="26"/>
      <c r="E428" s="26"/>
      <c r="F428" s="26"/>
      <c r="G428" s="76"/>
      <c r="H428" s="76"/>
      <c r="I428" s="115"/>
      <c r="J428" s="100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 spans="1:20" ht="12.75">
      <c r="A429" s="26"/>
      <c r="B429" s="26"/>
      <c r="C429" s="26"/>
      <c r="D429" s="26"/>
      <c r="E429" s="26"/>
      <c r="F429" s="26"/>
      <c r="G429" s="76"/>
      <c r="H429" s="76"/>
      <c r="I429" s="115"/>
      <c r="J429" s="100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 spans="1:20" ht="12.75">
      <c r="A430" s="26"/>
      <c r="B430" s="26"/>
      <c r="C430" s="26"/>
      <c r="D430" s="26"/>
      <c r="E430" s="26"/>
      <c r="F430" s="26"/>
      <c r="G430" s="76"/>
      <c r="H430" s="76"/>
      <c r="I430" s="115"/>
      <c r="J430" s="100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 spans="1:20" ht="12.75">
      <c r="A431" s="26"/>
      <c r="B431" s="26"/>
      <c r="C431" s="26"/>
      <c r="D431" s="26"/>
      <c r="E431" s="26"/>
      <c r="F431" s="26"/>
      <c r="G431" s="76"/>
      <c r="H431" s="76"/>
      <c r="I431" s="115"/>
      <c r="J431" s="100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 spans="1:20" ht="12.75">
      <c r="A432" s="26"/>
      <c r="B432" s="26"/>
      <c r="C432" s="26"/>
      <c r="D432" s="26"/>
      <c r="E432" s="26"/>
      <c r="F432" s="26"/>
      <c r="G432" s="76"/>
      <c r="H432" s="76"/>
      <c r="I432" s="115"/>
      <c r="J432" s="100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 spans="1:20" ht="12.75">
      <c r="A433" s="26"/>
      <c r="B433" s="26"/>
      <c r="C433" s="26"/>
      <c r="D433" s="26"/>
      <c r="E433" s="26"/>
      <c r="F433" s="26"/>
      <c r="G433" s="76"/>
      <c r="H433" s="76"/>
      <c r="I433" s="115"/>
      <c r="J433" s="100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 spans="1:20" ht="12.75">
      <c r="A434" s="26"/>
      <c r="B434" s="26"/>
      <c r="C434" s="26"/>
      <c r="D434" s="26"/>
      <c r="E434" s="26"/>
      <c r="F434" s="26"/>
      <c r="G434" s="76"/>
      <c r="H434" s="76"/>
      <c r="I434" s="115"/>
      <c r="J434" s="100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 spans="1:20" ht="12.75">
      <c r="A435" s="26"/>
      <c r="B435" s="26"/>
      <c r="C435" s="26"/>
      <c r="D435" s="26"/>
      <c r="E435" s="26"/>
      <c r="F435" s="26"/>
      <c r="G435" s="76"/>
      <c r="H435" s="76"/>
      <c r="I435" s="115"/>
      <c r="J435" s="100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 spans="1:20" ht="12.75">
      <c r="A436" s="26"/>
      <c r="B436" s="26"/>
      <c r="C436" s="26"/>
      <c r="D436" s="26"/>
      <c r="E436" s="26"/>
      <c r="F436" s="26"/>
      <c r="G436" s="76"/>
      <c r="H436" s="76"/>
      <c r="I436" s="115"/>
      <c r="J436" s="100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 spans="1:20" ht="12.75">
      <c r="A437" s="26"/>
      <c r="B437" s="26"/>
      <c r="C437" s="26"/>
      <c r="D437" s="26"/>
      <c r="E437" s="26"/>
      <c r="F437" s="26"/>
      <c r="G437" s="76"/>
      <c r="H437" s="76"/>
      <c r="I437" s="115"/>
      <c r="J437" s="100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 spans="1:20" ht="12.75">
      <c r="A438" s="26"/>
      <c r="B438" s="26"/>
      <c r="C438" s="26"/>
      <c r="D438" s="26"/>
      <c r="E438" s="26"/>
      <c r="F438" s="26"/>
      <c r="G438" s="76"/>
      <c r="H438" s="76"/>
      <c r="I438" s="115"/>
      <c r="J438" s="100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 spans="1:20" ht="12.75">
      <c r="A439" s="26"/>
      <c r="B439" s="26"/>
      <c r="C439" s="26"/>
      <c r="D439" s="26"/>
      <c r="E439" s="26"/>
      <c r="F439" s="26"/>
      <c r="G439" s="76"/>
      <c r="H439" s="76"/>
      <c r="I439" s="115"/>
      <c r="J439" s="100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 spans="1:20" ht="12.75">
      <c r="A440" s="26"/>
      <c r="B440" s="26"/>
      <c r="C440" s="26"/>
      <c r="D440" s="26"/>
      <c r="E440" s="26"/>
      <c r="F440" s="26"/>
      <c r="G440" s="76"/>
      <c r="H440" s="76"/>
      <c r="I440" s="115"/>
      <c r="J440" s="100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 spans="1:20" ht="12.75">
      <c r="A441" s="26"/>
      <c r="B441" s="26"/>
      <c r="C441" s="26"/>
      <c r="D441" s="26"/>
      <c r="E441" s="26"/>
      <c r="F441" s="26"/>
      <c r="G441" s="76"/>
      <c r="H441" s="76"/>
      <c r="I441" s="115"/>
      <c r="J441" s="100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 spans="1:20" ht="12.75">
      <c r="A442" s="26"/>
      <c r="B442" s="26"/>
      <c r="C442" s="26"/>
      <c r="D442" s="26"/>
      <c r="E442" s="26"/>
      <c r="F442" s="26"/>
      <c r="G442" s="76"/>
      <c r="H442" s="76"/>
      <c r="I442" s="115"/>
      <c r="J442" s="100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 spans="1:20" ht="12.75">
      <c r="A443" s="26"/>
      <c r="B443" s="26"/>
      <c r="C443" s="26"/>
      <c r="D443" s="26"/>
      <c r="E443" s="26"/>
      <c r="F443" s="26"/>
      <c r="G443" s="76"/>
      <c r="H443" s="76"/>
      <c r="I443" s="115"/>
      <c r="J443" s="100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 spans="1:20" ht="12.75">
      <c r="A444" s="26"/>
      <c r="B444" s="26"/>
      <c r="C444" s="26"/>
      <c r="D444" s="26"/>
      <c r="E444" s="26"/>
      <c r="F444" s="26"/>
      <c r="G444" s="76"/>
      <c r="H444" s="76"/>
      <c r="I444" s="115"/>
      <c r="J444" s="100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 spans="1:20" ht="12.75">
      <c r="A445" s="26"/>
      <c r="B445" s="26"/>
      <c r="C445" s="26"/>
      <c r="D445" s="26"/>
      <c r="E445" s="26"/>
      <c r="F445" s="26"/>
      <c r="G445" s="76"/>
      <c r="H445" s="76"/>
      <c r="I445" s="115"/>
      <c r="J445" s="100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 spans="1:20" ht="12.75">
      <c r="A446" s="26"/>
      <c r="B446" s="26"/>
      <c r="C446" s="26"/>
      <c r="D446" s="26"/>
      <c r="E446" s="26"/>
      <c r="F446" s="26"/>
      <c r="G446" s="76"/>
      <c r="H446" s="76"/>
      <c r="I446" s="115"/>
      <c r="J446" s="100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 spans="1:20" ht="12.75">
      <c r="A447" s="26"/>
      <c r="B447" s="26"/>
      <c r="C447" s="26"/>
      <c r="D447" s="26"/>
      <c r="E447" s="26"/>
      <c r="F447" s="26"/>
      <c r="G447" s="76"/>
      <c r="H447" s="76"/>
      <c r="I447" s="115"/>
      <c r="J447" s="100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 spans="1:20" ht="12.75">
      <c r="A448" s="26"/>
      <c r="B448" s="26"/>
      <c r="C448" s="26"/>
      <c r="D448" s="26"/>
      <c r="E448" s="26"/>
      <c r="F448" s="26"/>
      <c r="G448" s="76"/>
      <c r="H448" s="76"/>
      <c r="I448" s="115"/>
      <c r="J448" s="100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 spans="1:20" ht="12.75">
      <c r="A449" s="26"/>
      <c r="B449" s="26"/>
      <c r="C449" s="26"/>
      <c r="D449" s="26"/>
      <c r="E449" s="26"/>
      <c r="F449" s="26"/>
      <c r="G449" s="76"/>
      <c r="H449" s="76"/>
      <c r="I449" s="115"/>
      <c r="J449" s="100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 spans="1:20" ht="12.75">
      <c r="A450" s="26"/>
      <c r="B450" s="26"/>
      <c r="C450" s="26"/>
      <c r="D450" s="26"/>
      <c r="E450" s="26"/>
      <c r="F450" s="26"/>
      <c r="G450" s="76"/>
      <c r="H450" s="76"/>
      <c r="I450" s="115"/>
      <c r="J450" s="100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 spans="1:20" ht="12.75">
      <c r="A451" s="26"/>
      <c r="B451" s="26"/>
      <c r="C451" s="26"/>
      <c r="D451" s="26"/>
      <c r="E451" s="26"/>
      <c r="F451" s="26"/>
      <c r="G451" s="76"/>
      <c r="H451" s="76"/>
      <c r="I451" s="115"/>
      <c r="J451" s="100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 spans="1:20" ht="12.75">
      <c r="A452" s="26"/>
      <c r="B452" s="26"/>
      <c r="C452" s="26"/>
      <c r="D452" s="26"/>
      <c r="E452" s="26"/>
      <c r="F452" s="26"/>
      <c r="G452" s="76"/>
      <c r="H452" s="76"/>
      <c r="I452" s="115"/>
      <c r="J452" s="100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 spans="1:20" ht="12.75">
      <c r="A453" s="26"/>
      <c r="B453" s="26"/>
      <c r="C453" s="26"/>
      <c r="D453" s="26"/>
      <c r="E453" s="26"/>
      <c r="F453" s="26"/>
      <c r="G453" s="76"/>
      <c r="H453" s="76"/>
      <c r="I453" s="115"/>
      <c r="J453" s="100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 spans="1:20" ht="12.75">
      <c r="A454" s="26"/>
      <c r="B454" s="26"/>
      <c r="C454" s="26"/>
      <c r="D454" s="26"/>
      <c r="E454" s="26"/>
      <c r="F454" s="26"/>
      <c r="G454" s="76"/>
      <c r="H454" s="76"/>
      <c r="I454" s="115"/>
      <c r="J454" s="100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 spans="1:20" ht="12.75">
      <c r="A455" s="26"/>
      <c r="B455" s="26"/>
      <c r="C455" s="26"/>
      <c r="D455" s="26"/>
      <c r="E455" s="26"/>
      <c r="F455" s="26"/>
      <c r="G455" s="76"/>
      <c r="H455" s="76"/>
      <c r="I455" s="115"/>
      <c r="J455" s="100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 spans="1:20" ht="12.75">
      <c r="A456" s="26"/>
      <c r="B456" s="26"/>
      <c r="C456" s="26"/>
      <c r="D456" s="26"/>
      <c r="E456" s="26"/>
      <c r="F456" s="26"/>
      <c r="G456" s="76"/>
      <c r="H456" s="76"/>
      <c r="I456" s="115"/>
      <c r="J456" s="100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 spans="1:20" ht="12.75">
      <c r="A457" s="26"/>
      <c r="B457" s="26"/>
      <c r="C457" s="26"/>
      <c r="D457" s="26"/>
      <c r="E457" s="26"/>
      <c r="F457" s="26"/>
      <c r="G457" s="76"/>
      <c r="H457" s="76"/>
      <c r="I457" s="115"/>
      <c r="J457" s="100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 spans="1:20" ht="12.75">
      <c r="A458" s="26"/>
      <c r="B458" s="26"/>
      <c r="C458" s="26"/>
      <c r="D458" s="26"/>
      <c r="E458" s="26"/>
      <c r="F458" s="26"/>
      <c r="G458" s="76"/>
      <c r="H458" s="76"/>
      <c r="I458" s="115"/>
      <c r="J458" s="100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 spans="1:20" ht="12.75">
      <c r="A459" s="26"/>
      <c r="B459" s="26"/>
      <c r="C459" s="26"/>
      <c r="D459" s="26"/>
      <c r="E459" s="26"/>
      <c r="F459" s="26"/>
      <c r="G459" s="76"/>
      <c r="H459" s="76"/>
      <c r="I459" s="115"/>
      <c r="J459" s="100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 spans="1:20" ht="12.75">
      <c r="A460" s="26"/>
      <c r="B460" s="26"/>
      <c r="C460" s="26"/>
      <c r="D460" s="26"/>
      <c r="E460" s="26"/>
      <c r="F460" s="26"/>
      <c r="G460" s="76"/>
      <c r="H460" s="76"/>
      <c r="I460" s="115"/>
      <c r="J460" s="100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 spans="1:20" ht="12.75">
      <c r="A461" s="26"/>
      <c r="B461" s="26"/>
      <c r="C461" s="26"/>
      <c r="D461" s="26"/>
      <c r="E461" s="26"/>
      <c r="F461" s="26"/>
      <c r="G461" s="76"/>
      <c r="H461" s="76"/>
      <c r="I461" s="115"/>
      <c r="J461" s="100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 spans="1:20" ht="12.75">
      <c r="A462" s="26"/>
      <c r="B462" s="26"/>
      <c r="C462" s="26"/>
      <c r="D462" s="26"/>
      <c r="E462" s="26"/>
      <c r="F462" s="26"/>
      <c r="G462" s="76"/>
      <c r="H462" s="76"/>
      <c r="I462" s="115"/>
      <c r="J462" s="100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 spans="1:20" ht="12.75">
      <c r="A463" s="26"/>
      <c r="B463" s="26"/>
      <c r="C463" s="26"/>
      <c r="D463" s="26"/>
      <c r="E463" s="26"/>
      <c r="F463" s="26"/>
      <c r="G463" s="76"/>
      <c r="H463" s="76"/>
      <c r="I463" s="115"/>
      <c r="J463" s="100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 spans="1:20" ht="12.75">
      <c r="A464" s="26"/>
      <c r="B464" s="26"/>
      <c r="C464" s="26"/>
      <c r="D464" s="26"/>
      <c r="E464" s="26"/>
      <c r="F464" s="26"/>
      <c r="G464" s="76"/>
      <c r="H464" s="76"/>
      <c r="I464" s="115"/>
      <c r="J464" s="100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 spans="1:20" ht="12.75">
      <c r="A465" s="26"/>
      <c r="B465" s="26"/>
      <c r="C465" s="26"/>
      <c r="D465" s="26"/>
      <c r="E465" s="26"/>
      <c r="F465" s="26"/>
      <c r="G465" s="76"/>
      <c r="H465" s="76"/>
      <c r="I465" s="115"/>
      <c r="J465" s="100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 spans="1:20" ht="12.75">
      <c r="A466" s="26"/>
      <c r="B466" s="26"/>
      <c r="C466" s="26"/>
      <c r="D466" s="26"/>
      <c r="E466" s="26"/>
      <c r="F466" s="26"/>
      <c r="G466" s="76"/>
      <c r="H466" s="76"/>
      <c r="I466" s="115"/>
      <c r="J466" s="100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 spans="1:20" ht="12.75">
      <c r="A467" s="26"/>
      <c r="B467" s="26"/>
      <c r="C467" s="26"/>
      <c r="D467" s="26"/>
      <c r="E467" s="26"/>
      <c r="F467" s="26"/>
      <c r="G467" s="76"/>
      <c r="H467" s="76"/>
      <c r="I467" s="115"/>
      <c r="J467" s="100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 spans="1:20" ht="12.75">
      <c r="A468" s="26"/>
      <c r="B468" s="26"/>
      <c r="C468" s="26"/>
      <c r="D468" s="26"/>
      <c r="E468" s="26"/>
      <c r="F468" s="26"/>
      <c r="G468" s="76"/>
      <c r="H468" s="76"/>
      <c r="I468" s="115"/>
      <c r="J468" s="100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 spans="1:20" ht="12.75">
      <c r="A469" s="26"/>
      <c r="B469" s="26"/>
      <c r="C469" s="26"/>
      <c r="D469" s="26"/>
      <c r="E469" s="26"/>
      <c r="F469" s="26"/>
      <c r="G469" s="76"/>
      <c r="H469" s="76"/>
      <c r="I469" s="115"/>
      <c r="J469" s="100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 spans="1:20" ht="12.75">
      <c r="A470" s="26"/>
      <c r="B470" s="26"/>
      <c r="C470" s="26"/>
      <c r="D470" s="26"/>
      <c r="E470" s="26"/>
      <c r="F470" s="26"/>
      <c r="G470" s="76"/>
      <c r="H470" s="76"/>
      <c r="I470" s="115"/>
      <c r="J470" s="100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 spans="1:20" ht="12.75">
      <c r="A471" s="26"/>
      <c r="B471" s="26"/>
      <c r="C471" s="26"/>
      <c r="D471" s="26"/>
      <c r="E471" s="26"/>
      <c r="F471" s="26"/>
      <c r="G471" s="76"/>
      <c r="H471" s="76"/>
      <c r="I471" s="115"/>
      <c r="J471" s="100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 spans="1:20" ht="12.75">
      <c r="A472" s="26"/>
      <c r="B472" s="26"/>
      <c r="C472" s="26"/>
      <c r="D472" s="26"/>
      <c r="E472" s="26"/>
      <c r="F472" s="26"/>
      <c r="G472" s="76"/>
      <c r="H472" s="76"/>
      <c r="I472" s="115"/>
      <c r="J472" s="100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 spans="1:20" ht="12.75">
      <c r="A473" s="26"/>
      <c r="B473" s="26"/>
      <c r="C473" s="26"/>
      <c r="D473" s="26"/>
      <c r="E473" s="26"/>
      <c r="F473" s="26"/>
      <c r="G473" s="76"/>
      <c r="H473" s="76"/>
      <c r="I473" s="115"/>
      <c r="J473" s="100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 spans="1:20" ht="12.75">
      <c r="A474" s="26"/>
      <c r="B474" s="26"/>
      <c r="C474" s="26"/>
      <c r="D474" s="26"/>
      <c r="E474" s="26"/>
      <c r="F474" s="26"/>
      <c r="G474" s="76"/>
      <c r="H474" s="76"/>
      <c r="I474" s="115"/>
      <c r="J474" s="100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 spans="1:20" ht="12.75">
      <c r="A475" s="26"/>
      <c r="B475" s="26"/>
      <c r="C475" s="26"/>
      <c r="D475" s="26"/>
      <c r="E475" s="26"/>
      <c r="F475" s="26"/>
      <c r="G475" s="76"/>
      <c r="H475" s="76"/>
      <c r="I475" s="115"/>
      <c r="J475" s="100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 spans="1:20" ht="12.75">
      <c r="A476" s="26"/>
      <c r="B476" s="26"/>
      <c r="C476" s="26"/>
      <c r="D476" s="26"/>
      <c r="E476" s="26"/>
      <c r="F476" s="26"/>
      <c r="G476" s="76"/>
      <c r="H476" s="76"/>
      <c r="I476" s="115"/>
      <c r="J476" s="100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 spans="1:20" ht="12.75">
      <c r="A477" s="26"/>
      <c r="B477" s="26"/>
      <c r="C477" s="26"/>
      <c r="D477" s="26"/>
      <c r="E477" s="26"/>
      <c r="F477" s="26"/>
      <c r="G477" s="76"/>
      <c r="H477" s="76"/>
      <c r="I477" s="115"/>
      <c r="J477" s="100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 spans="1:20" ht="12.75">
      <c r="A478" s="26"/>
      <c r="B478" s="26"/>
      <c r="C478" s="26"/>
      <c r="D478" s="26"/>
      <c r="E478" s="26"/>
      <c r="F478" s="26"/>
      <c r="G478" s="76"/>
      <c r="H478" s="76"/>
      <c r="I478" s="115"/>
      <c r="J478" s="100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 spans="1:20" ht="12.75">
      <c r="A479" s="26"/>
      <c r="B479" s="26"/>
      <c r="C479" s="26"/>
      <c r="D479" s="26"/>
      <c r="E479" s="26"/>
      <c r="F479" s="26"/>
      <c r="G479" s="76"/>
      <c r="H479" s="76"/>
      <c r="I479" s="115"/>
      <c r="J479" s="100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 spans="1:20" ht="12.75">
      <c r="A480" s="26"/>
      <c r="B480" s="26"/>
      <c r="C480" s="26"/>
      <c r="D480" s="26"/>
      <c r="E480" s="26"/>
      <c r="F480" s="26"/>
      <c r="G480" s="76"/>
      <c r="H480" s="76"/>
      <c r="I480" s="115"/>
      <c r="J480" s="100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ht="12.75">
      <c r="A481" s="26"/>
      <c r="B481" s="26"/>
      <c r="C481" s="26"/>
      <c r="D481" s="26"/>
      <c r="E481" s="26"/>
      <c r="F481" s="26"/>
      <c r="G481" s="76"/>
      <c r="H481" s="76"/>
      <c r="I481" s="115"/>
      <c r="J481" s="100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 spans="1:20" ht="12.75">
      <c r="A482" s="26"/>
      <c r="B482" s="26"/>
      <c r="C482" s="26"/>
      <c r="D482" s="26"/>
      <c r="E482" s="26"/>
      <c r="F482" s="26"/>
      <c r="G482" s="76"/>
      <c r="H482" s="76"/>
      <c r="I482" s="115"/>
      <c r="J482" s="100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ht="12.75">
      <c r="A483" s="26"/>
      <c r="B483" s="26"/>
      <c r="C483" s="26"/>
      <c r="D483" s="26"/>
      <c r="E483" s="26"/>
      <c r="F483" s="26"/>
      <c r="G483" s="76"/>
      <c r="H483" s="76"/>
      <c r="I483" s="115"/>
      <c r="J483" s="100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 spans="1:20" ht="12.75">
      <c r="A484" s="26"/>
      <c r="B484" s="26"/>
      <c r="C484" s="26"/>
      <c r="D484" s="26"/>
      <c r="E484" s="26"/>
      <c r="F484" s="26"/>
      <c r="G484" s="76"/>
      <c r="H484" s="76"/>
      <c r="I484" s="115"/>
      <c r="J484" s="100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 spans="1:20" ht="12.75">
      <c r="A485" s="26"/>
      <c r="B485" s="26"/>
      <c r="C485" s="26"/>
      <c r="D485" s="26"/>
      <c r="E485" s="26"/>
      <c r="F485" s="26"/>
      <c r="G485" s="76"/>
      <c r="H485" s="76"/>
      <c r="I485" s="115"/>
      <c r="J485" s="100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 spans="1:20" ht="12.75">
      <c r="A486" s="26"/>
      <c r="B486" s="26"/>
      <c r="C486" s="26"/>
      <c r="D486" s="26"/>
      <c r="E486" s="26"/>
      <c r="F486" s="26"/>
      <c r="G486" s="76"/>
      <c r="H486" s="76"/>
      <c r="I486" s="115"/>
      <c r="J486" s="100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 spans="1:20" ht="12.75">
      <c r="A487" s="26"/>
      <c r="B487" s="26"/>
      <c r="C487" s="26"/>
      <c r="D487" s="26"/>
      <c r="E487" s="26"/>
      <c r="F487" s="26"/>
      <c r="G487" s="76"/>
      <c r="H487" s="76"/>
      <c r="I487" s="115"/>
      <c r="J487" s="100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 spans="1:20" ht="12.75">
      <c r="A488" s="26"/>
      <c r="B488" s="26"/>
      <c r="C488" s="26"/>
      <c r="D488" s="26"/>
      <c r="E488" s="26"/>
      <c r="F488" s="26"/>
      <c r="G488" s="76"/>
      <c r="H488" s="76"/>
      <c r="I488" s="115"/>
      <c r="J488" s="100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 spans="1:20" ht="12.75">
      <c r="A489" s="26"/>
      <c r="B489" s="26"/>
      <c r="C489" s="26"/>
      <c r="D489" s="26"/>
      <c r="E489" s="26"/>
      <c r="F489" s="26"/>
      <c r="G489" s="76"/>
      <c r="H489" s="76"/>
      <c r="I489" s="115"/>
      <c r="J489" s="100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 spans="1:20" ht="12.75">
      <c r="A490" s="26"/>
      <c r="B490" s="26"/>
      <c r="C490" s="26"/>
      <c r="D490" s="26"/>
      <c r="E490" s="26"/>
      <c r="F490" s="26"/>
      <c r="G490" s="76"/>
      <c r="H490" s="76"/>
      <c r="I490" s="115"/>
      <c r="J490" s="100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 spans="1:20" ht="12.75">
      <c r="A491" s="26"/>
      <c r="B491" s="26"/>
      <c r="C491" s="26"/>
      <c r="D491" s="26"/>
      <c r="E491" s="26"/>
      <c r="F491" s="26"/>
      <c r="G491" s="76"/>
      <c r="H491" s="76"/>
      <c r="I491" s="115"/>
      <c r="J491" s="100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 spans="1:20" ht="12.75">
      <c r="A492" s="26"/>
      <c r="B492" s="26"/>
      <c r="C492" s="26"/>
      <c r="D492" s="26"/>
      <c r="E492" s="26"/>
      <c r="F492" s="26"/>
      <c r="G492" s="76"/>
      <c r="H492" s="76"/>
      <c r="I492" s="115"/>
      <c r="J492" s="100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 spans="1:20" ht="12.75">
      <c r="A493" s="26"/>
      <c r="B493" s="26"/>
      <c r="C493" s="26"/>
      <c r="D493" s="26"/>
      <c r="E493" s="26"/>
      <c r="F493" s="26"/>
      <c r="G493" s="76"/>
      <c r="H493" s="76"/>
      <c r="I493" s="115"/>
      <c r="J493" s="100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 spans="1:20" ht="12.75">
      <c r="A494" s="26"/>
      <c r="B494" s="26"/>
      <c r="C494" s="26"/>
      <c r="D494" s="26"/>
      <c r="E494" s="26"/>
      <c r="F494" s="26"/>
      <c r="G494" s="76"/>
      <c r="H494" s="76"/>
      <c r="I494" s="115"/>
      <c r="J494" s="100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 spans="1:20" ht="12.75">
      <c r="A495" s="26"/>
      <c r="B495" s="26"/>
      <c r="C495" s="26"/>
      <c r="D495" s="26"/>
      <c r="E495" s="26"/>
      <c r="F495" s="26"/>
      <c r="G495" s="76"/>
      <c r="H495" s="76"/>
      <c r="I495" s="115"/>
      <c r="J495" s="100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 spans="1:20" ht="12.75">
      <c r="A496" s="26"/>
      <c r="B496" s="26"/>
      <c r="C496" s="26"/>
      <c r="D496" s="26"/>
      <c r="E496" s="26"/>
      <c r="F496" s="26"/>
      <c r="G496" s="76"/>
      <c r="H496" s="76"/>
      <c r="I496" s="115"/>
      <c r="J496" s="100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 spans="1:20" ht="12.75">
      <c r="A497" s="26"/>
      <c r="B497" s="26"/>
      <c r="C497" s="26"/>
      <c r="D497" s="26"/>
      <c r="E497" s="26"/>
      <c r="F497" s="26"/>
      <c r="G497" s="76"/>
      <c r="H497" s="76"/>
      <c r="I497" s="115"/>
      <c r="J497" s="100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 spans="1:20" ht="12.75">
      <c r="A498" s="26"/>
      <c r="B498" s="26"/>
      <c r="C498" s="26"/>
      <c r="D498" s="26"/>
      <c r="E498" s="26"/>
      <c r="F498" s="26"/>
      <c r="G498" s="76"/>
      <c r="H498" s="76"/>
      <c r="I498" s="115"/>
      <c r="J498" s="100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 spans="1:20" ht="12.75">
      <c r="A499" s="26"/>
      <c r="B499" s="26"/>
      <c r="C499" s="26"/>
      <c r="D499" s="26"/>
      <c r="E499" s="26"/>
      <c r="F499" s="26"/>
      <c r="G499" s="76"/>
      <c r="H499" s="76"/>
      <c r="I499" s="115"/>
      <c r="J499" s="100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 spans="1:20" ht="12.75">
      <c r="A500" s="26"/>
      <c r="B500" s="26"/>
      <c r="C500" s="26"/>
      <c r="D500" s="26"/>
      <c r="E500" s="26"/>
      <c r="F500" s="26"/>
      <c r="G500" s="76"/>
      <c r="H500" s="76"/>
      <c r="I500" s="115"/>
      <c r="J500" s="100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 spans="1:20" ht="12.75">
      <c r="A501" s="26"/>
      <c r="B501" s="26"/>
      <c r="C501" s="26"/>
      <c r="D501" s="26"/>
      <c r="E501" s="26"/>
      <c r="F501" s="26"/>
      <c r="G501" s="76"/>
      <c r="H501" s="76"/>
      <c r="I501" s="115"/>
      <c r="J501" s="100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 spans="1:20" ht="12.75">
      <c r="A502" s="26"/>
      <c r="B502" s="26"/>
      <c r="C502" s="26"/>
      <c r="D502" s="26"/>
      <c r="E502" s="26"/>
      <c r="F502" s="26"/>
      <c r="G502" s="76"/>
      <c r="H502" s="76"/>
      <c r="I502" s="115"/>
      <c r="J502" s="100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 spans="1:20" ht="12.75">
      <c r="A503" s="26"/>
      <c r="B503" s="26"/>
      <c r="C503" s="26"/>
      <c r="D503" s="26"/>
      <c r="E503" s="26"/>
      <c r="F503" s="26"/>
      <c r="G503" s="76"/>
      <c r="H503" s="76"/>
      <c r="I503" s="115"/>
      <c r="J503" s="100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 spans="1:20" ht="12.75">
      <c r="A504" s="26"/>
      <c r="B504" s="26"/>
      <c r="C504" s="26"/>
      <c r="D504" s="26"/>
      <c r="E504" s="26"/>
      <c r="F504" s="26"/>
      <c r="G504" s="76"/>
      <c r="H504" s="76"/>
      <c r="I504" s="115"/>
      <c r="J504" s="100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 spans="1:20" ht="12.75">
      <c r="A505" s="26"/>
      <c r="B505" s="26"/>
      <c r="C505" s="26"/>
      <c r="D505" s="26"/>
      <c r="E505" s="26"/>
      <c r="F505" s="26"/>
      <c r="G505" s="76"/>
      <c r="H505" s="76"/>
      <c r="I505" s="115"/>
      <c r="J505" s="100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 spans="1:20" ht="12.75">
      <c r="A506" s="26"/>
      <c r="B506" s="26"/>
      <c r="C506" s="26"/>
      <c r="D506" s="26"/>
      <c r="E506" s="26"/>
      <c r="F506" s="26"/>
      <c r="G506" s="76"/>
      <c r="H506" s="76"/>
      <c r="I506" s="115"/>
      <c r="J506" s="100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 spans="1:20" ht="12.75">
      <c r="A507" s="26"/>
      <c r="B507" s="26"/>
      <c r="C507" s="26"/>
      <c r="D507" s="26"/>
      <c r="E507" s="26"/>
      <c r="F507" s="26"/>
      <c r="G507" s="76"/>
      <c r="H507" s="76"/>
      <c r="I507" s="115"/>
      <c r="J507" s="100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 spans="1:20" ht="12.75">
      <c r="A508" s="26"/>
      <c r="B508" s="26"/>
      <c r="C508" s="26"/>
      <c r="D508" s="26"/>
      <c r="E508" s="26"/>
      <c r="F508" s="26"/>
      <c r="G508" s="76"/>
      <c r="H508" s="76"/>
      <c r="I508" s="115"/>
      <c r="J508" s="100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 spans="1:20" ht="12.75">
      <c r="A509" s="26"/>
      <c r="B509" s="26"/>
      <c r="C509" s="26"/>
      <c r="D509" s="26"/>
      <c r="E509" s="26"/>
      <c r="F509" s="26"/>
      <c r="G509" s="76"/>
      <c r="H509" s="76"/>
      <c r="I509" s="115"/>
      <c r="J509" s="100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 spans="1:20" ht="12.75">
      <c r="A510" s="26"/>
      <c r="B510" s="26"/>
      <c r="C510" s="26"/>
      <c r="D510" s="26"/>
      <c r="E510" s="26"/>
      <c r="F510" s="26"/>
      <c r="G510" s="76"/>
      <c r="H510" s="76"/>
      <c r="I510" s="115"/>
      <c r="J510" s="100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 spans="1:20" ht="12.75">
      <c r="A511" s="26"/>
      <c r="B511" s="26"/>
      <c r="C511" s="26"/>
      <c r="D511" s="26"/>
      <c r="E511" s="26"/>
      <c r="F511" s="26"/>
      <c r="G511" s="76"/>
      <c r="H511" s="76"/>
      <c r="I511" s="115"/>
      <c r="J511" s="100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 spans="1:20" ht="12.75">
      <c r="A512" s="26"/>
      <c r="B512" s="26"/>
      <c r="C512" s="26"/>
      <c r="D512" s="26"/>
      <c r="E512" s="26"/>
      <c r="F512" s="26"/>
      <c r="G512" s="76"/>
      <c r="H512" s="76"/>
      <c r="I512" s="115"/>
      <c r="J512" s="100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 spans="1:20" ht="12.75">
      <c r="A513" s="26"/>
      <c r="B513" s="26"/>
      <c r="C513" s="26"/>
      <c r="D513" s="26"/>
      <c r="E513" s="26"/>
      <c r="F513" s="26"/>
      <c r="G513" s="76"/>
      <c r="H513" s="76"/>
      <c r="I513" s="115"/>
      <c r="J513" s="100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 spans="1:20" ht="12.75">
      <c r="A514" s="26"/>
      <c r="B514" s="26"/>
      <c r="C514" s="26"/>
      <c r="D514" s="26"/>
      <c r="E514" s="26"/>
      <c r="F514" s="26"/>
      <c r="G514" s="76"/>
      <c r="H514" s="76"/>
      <c r="I514" s="115"/>
      <c r="J514" s="100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 spans="1:20" ht="12.75">
      <c r="A515" s="26"/>
      <c r="B515" s="26"/>
      <c r="C515" s="26"/>
      <c r="D515" s="26"/>
      <c r="E515" s="26"/>
      <c r="F515" s="26"/>
      <c r="G515" s="76"/>
      <c r="H515" s="76"/>
      <c r="I515" s="115"/>
      <c r="J515" s="100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ht="12.75">
      <c r="A516" s="26"/>
      <c r="B516" s="26"/>
      <c r="C516" s="26"/>
      <c r="D516" s="26"/>
      <c r="E516" s="26"/>
      <c r="F516" s="26"/>
      <c r="G516" s="76"/>
      <c r="H516" s="76"/>
      <c r="I516" s="115"/>
      <c r="J516" s="100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 spans="1:20" ht="12.75">
      <c r="A517" s="26"/>
      <c r="B517" s="26"/>
      <c r="C517" s="26"/>
      <c r="D517" s="26"/>
      <c r="E517" s="26"/>
      <c r="F517" s="26"/>
      <c r="G517" s="76"/>
      <c r="H517" s="76"/>
      <c r="I517" s="115"/>
      <c r="J517" s="100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 spans="1:20" ht="12.75">
      <c r="A518" s="26"/>
      <c r="B518" s="26"/>
      <c r="C518" s="26"/>
      <c r="D518" s="26"/>
      <c r="E518" s="26"/>
      <c r="F518" s="26"/>
      <c r="G518" s="76"/>
      <c r="H518" s="76"/>
      <c r="I518" s="115"/>
      <c r="J518" s="100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 spans="1:20" ht="12.75">
      <c r="A519" s="26"/>
      <c r="B519" s="26"/>
      <c r="C519" s="26"/>
      <c r="D519" s="26"/>
      <c r="E519" s="26"/>
      <c r="F519" s="26"/>
      <c r="G519" s="76"/>
      <c r="H519" s="76"/>
      <c r="I519" s="115"/>
      <c r="J519" s="100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 spans="1:20" ht="12.75">
      <c r="A520" s="26"/>
      <c r="B520" s="26"/>
      <c r="C520" s="26"/>
      <c r="D520" s="26"/>
      <c r="E520" s="26"/>
      <c r="F520" s="26"/>
      <c r="G520" s="76"/>
      <c r="H520" s="76"/>
      <c r="I520" s="115"/>
      <c r="J520" s="100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 spans="1:20" ht="12.75">
      <c r="A521" s="26"/>
      <c r="B521" s="26"/>
      <c r="C521" s="26"/>
      <c r="D521" s="26"/>
      <c r="E521" s="26"/>
      <c r="F521" s="26"/>
      <c r="G521" s="76"/>
      <c r="H521" s="76"/>
      <c r="I521" s="115"/>
      <c r="J521" s="100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 spans="1:20" ht="12.75">
      <c r="A522" s="26"/>
      <c r="B522" s="26"/>
      <c r="C522" s="26"/>
      <c r="D522" s="26"/>
      <c r="E522" s="26"/>
      <c r="F522" s="26"/>
      <c r="G522" s="76"/>
      <c r="H522" s="76"/>
      <c r="I522" s="115"/>
      <c r="J522" s="100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 spans="1:20" ht="12.75">
      <c r="A523" s="26"/>
      <c r="B523" s="26"/>
      <c r="C523" s="26"/>
      <c r="D523" s="26"/>
      <c r="E523" s="26"/>
      <c r="F523" s="26"/>
      <c r="G523" s="76"/>
      <c r="H523" s="76"/>
      <c r="I523" s="115"/>
      <c r="J523" s="100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 spans="1:20" ht="12.75">
      <c r="A524" s="26"/>
      <c r="B524" s="26"/>
      <c r="C524" s="26"/>
      <c r="D524" s="26"/>
      <c r="E524" s="26"/>
      <c r="F524" s="26"/>
      <c r="G524" s="76"/>
      <c r="H524" s="76"/>
      <c r="I524" s="115"/>
      <c r="J524" s="100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 spans="1:20" ht="12.75">
      <c r="A525" s="26"/>
      <c r="B525" s="26"/>
      <c r="C525" s="26"/>
      <c r="D525" s="26"/>
      <c r="E525" s="26"/>
      <c r="F525" s="26"/>
      <c r="G525" s="76"/>
      <c r="H525" s="76"/>
      <c r="I525" s="115"/>
      <c r="J525" s="100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 spans="1:20" ht="12.75">
      <c r="A526" s="26"/>
      <c r="B526" s="26"/>
      <c r="C526" s="26"/>
      <c r="D526" s="26"/>
      <c r="E526" s="26"/>
      <c r="F526" s="26"/>
      <c r="G526" s="76"/>
      <c r="H526" s="76"/>
      <c r="I526" s="115"/>
      <c r="J526" s="100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 spans="1:20" ht="12.75">
      <c r="A527" s="26"/>
      <c r="B527" s="26"/>
      <c r="C527" s="26"/>
      <c r="D527" s="26"/>
      <c r="E527" s="26"/>
      <c r="F527" s="26"/>
      <c r="G527" s="76"/>
      <c r="H527" s="76"/>
      <c r="I527" s="115"/>
      <c r="J527" s="100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 spans="1:20" ht="12.75">
      <c r="A528" s="26"/>
      <c r="B528" s="26"/>
      <c r="C528" s="26"/>
      <c r="D528" s="26"/>
      <c r="E528" s="26"/>
      <c r="F528" s="26"/>
      <c r="G528" s="76"/>
      <c r="H528" s="76"/>
      <c r="I528" s="115"/>
      <c r="J528" s="100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 spans="1:20" ht="12.75">
      <c r="A529" s="26"/>
      <c r="B529" s="26"/>
      <c r="C529" s="26"/>
      <c r="D529" s="26"/>
      <c r="E529" s="26"/>
      <c r="F529" s="26"/>
      <c r="G529" s="76"/>
      <c r="H529" s="76"/>
      <c r="I529" s="115"/>
      <c r="J529" s="100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 spans="1:20" ht="12.75">
      <c r="A530" s="26"/>
      <c r="B530" s="26"/>
      <c r="C530" s="26"/>
      <c r="D530" s="26"/>
      <c r="E530" s="26"/>
      <c r="F530" s="26"/>
      <c r="G530" s="76"/>
      <c r="H530" s="76"/>
      <c r="I530" s="115"/>
      <c r="J530" s="100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 spans="1:20" ht="12.75">
      <c r="A531" s="26"/>
      <c r="B531" s="26"/>
      <c r="C531" s="26"/>
      <c r="D531" s="26"/>
      <c r="E531" s="26"/>
      <c r="F531" s="26"/>
      <c r="G531" s="76"/>
      <c r="H531" s="76"/>
      <c r="I531" s="115"/>
      <c r="J531" s="100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 spans="1:20" ht="12.75">
      <c r="A532" s="26"/>
      <c r="B532" s="26"/>
      <c r="C532" s="26"/>
      <c r="D532" s="26"/>
      <c r="E532" s="26"/>
      <c r="F532" s="26"/>
      <c r="G532" s="76"/>
      <c r="H532" s="76"/>
      <c r="I532" s="115"/>
      <c r="J532" s="100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 spans="1:20" ht="12.75">
      <c r="A533" s="26"/>
      <c r="B533" s="26"/>
      <c r="C533" s="26"/>
      <c r="D533" s="26"/>
      <c r="E533" s="26"/>
      <c r="F533" s="26"/>
      <c r="G533" s="76"/>
      <c r="H533" s="76"/>
      <c r="I533" s="115"/>
      <c r="J533" s="100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 spans="1:20" ht="12.75">
      <c r="A534" s="26"/>
      <c r="B534" s="26"/>
      <c r="C534" s="26"/>
      <c r="D534" s="26"/>
      <c r="E534" s="26"/>
      <c r="F534" s="26"/>
      <c r="G534" s="76"/>
      <c r="H534" s="76"/>
      <c r="I534" s="115"/>
      <c r="J534" s="100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 spans="1:20" ht="12.75">
      <c r="A535" s="26"/>
      <c r="B535" s="26"/>
      <c r="C535" s="26"/>
      <c r="D535" s="26"/>
      <c r="E535" s="26"/>
      <c r="F535" s="26"/>
      <c r="G535" s="76"/>
      <c r="H535" s="76"/>
      <c r="I535" s="115"/>
      <c r="J535" s="100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 spans="1:20" ht="12.75">
      <c r="A536" s="26"/>
      <c r="B536" s="26"/>
      <c r="C536" s="26"/>
      <c r="D536" s="26"/>
      <c r="E536" s="26"/>
      <c r="F536" s="26"/>
      <c r="G536" s="76"/>
      <c r="H536" s="76"/>
      <c r="I536" s="115"/>
      <c r="J536" s="100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 spans="1:20" ht="12.75">
      <c r="A537" s="26"/>
      <c r="B537" s="26"/>
      <c r="C537" s="26"/>
      <c r="D537" s="26"/>
      <c r="E537" s="26"/>
      <c r="F537" s="26"/>
      <c r="G537" s="76"/>
      <c r="H537" s="76"/>
      <c r="I537" s="115"/>
      <c r="J537" s="100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 spans="1:20" ht="12.75">
      <c r="A538" s="26"/>
      <c r="B538" s="26"/>
      <c r="C538" s="26"/>
      <c r="D538" s="26"/>
      <c r="E538" s="26"/>
      <c r="F538" s="26"/>
      <c r="G538" s="76"/>
      <c r="H538" s="76"/>
      <c r="I538" s="115"/>
      <c r="J538" s="100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 spans="1:20" ht="12.75">
      <c r="A539" s="26"/>
      <c r="B539" s="26"/>
      <c r="C539" s="26"/>
      <c r="D539" s="26"/>
      <c r="E539" s="26"/>
      <c r="F539" s="26"/>
      <c r="G539" s="76"/>
      <c r="H539" s="76"/>
      <c r="I539" s="115"/>
      <c r="J539" s="100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 spans="1:20" ht="12.75">
      <c r="A540" s="26"/>
      <c r="B540" s="26"/>
      <c r="C540" s="26"/>
      <c r="D540" s="26"/>
      <c r="E540" s="26"/>
      <c r="F540" s="26"/>
      <c r="G540" s="76"/>
      <c r="H540" s="76"/>
      <c r="I540" s="115"/>
      <c r="J540" s="100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 spans="1:20" ht="12.75">
      <c r="A541" s="26"/>
      <c r="B541" s="26"/>
      <c r="C541" s="26"/>
      <c r="D541" s="26"/>
      <c r="E541" s="26"/>
      <c r="F541" s="26"/>
      <c r="G541" s="76"/>
      <c r="H541" s="76"/>
      <c r="I541" s="115"/>
      <c r="J541" s="100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 spans="1:20" ht="12.75">
      <c r="A542" s="26"/>
      <c r="B542" s="26"/>
      <c r="C542" s="26"/>
      <c r="D542" s="26"/>
      <c r="E542" s="26"/>
      <c r="F542" s="26"/>
      <c r="G542" s="76"/>
      <c r="H542" s="76"/>
      <c r="I542" s="115"/>
      <c r="J542" s="100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 spans="1:20" ht="12.75">
      <c r="A543" s="26"/>
      <c r="B543" s="26"/>
      <c r="C543" s="26"/>
      <c r="D543" s="26"/>
      <c r="E543" s="26"/>
      <c r="F543" s="26"/>
      <c r="G543" s="76"/>
      <c r="H543" s="76"/>
      <c r="I543" s="115"/>
      <c r="J543" s="100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 spans="1:20" ht="12.75">
      <c r="A544" s="26"/>
      <c r="B544" s="26"/>
      <c r="C544" s="26"/>
      <c r="D544" s="26"/>
      <c r="E544" s="26"/>
      <c r="F544" s="26"/>
      <c r="G544" s="76"/>
      <c r="H544" s="76"/>
      <c r="I544" s="115"/>
      <c r="J544" s="100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 spans="1:20" ht="12.75">
      <c r="A545" s="26"/>
      <c r="B545" s="26"/>
      <c r="C545" s="26"/>
      <c r="D545" s="26"/>
      <c r="E545" s="26"/>
      <c r="F545" s="26"/>
      <c r="G545" s="76"/>
      <c r="H545" s="76"/>
      <c r="I545" s="115"/>
      <c r="J545" s="100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 spans="1:20" ht="12.75">
      <c r="A546" s="26"/>
      <c r="B546" s="26"/>
      <c r="C546" s="26"/>
      <c r="D546" s="26"/>
      <c r="E546" s="26"/>
      <c r="F546" s="26"/>
      <c r="G546" s="76"/>
      <c r="H546" s="76"/>
      <c r="I546" s="115"/>
      <c r="J546" s="100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 spans="1:20" ht="12.75">
      <c r="A547" s="26"/>
      <c r="B547" s="26"/>
      <c r="C547" s="26"/>
      <c r="D547" s="26"/>
      <c r="E547" s="26"/>
      <c r="F547" s="26"/>
      <c r="G547" s="76"/>
      <c r="H547" s="76"/>
      <c r="I547" s="115"/>
      <c r="J547" s="100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 spans="1:20" ht="12.75">
      <c r="A548" s="26"/>
      <c r="B548" s="26"/>
      <c r="C548" s="26"/>
      <c r="D548" s="26"/>
      <c r="E548" s="26"/>
      <c r="F548" s="26"/>
      <c r="G548" s="76"/>
      <c r="H548" s="76"/>
      <c r="I548" s="115"/>
      <c r="J548" s="100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 spans="1:20" ht="12.75">
      <c r="A549" s="26"/>
      <c r="B549" s="26"/>
      <c r="C549" s="26"/>
      <c r="D549" s="26"/>
      <c r="E549" s="26"/>
      <c r="F549" s="26"/>
      <c r="G549" s="76"/>
      <c r="H549" s="76"/>
      <c r="I549" s="115"/>
      <c r="J549" s="100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 spans="1:20" ht="12.75">
      <c r="A550" s="26"/>
      <c r="B550" s="26"/>
      <c r="C550" s="26"/>
      <c r="D550" s="26"/>
      <c r="E550" s="26"/>
      <c r="F550" s="26"/>
      <c r="G550" s="76"/>
      <c r="H550" s="76"/>
      <c r="I550" s="115"/>
      <c r="J550" s="100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 spans="1:20" ht="12.75">
      <c r="A551" s="26"/>
      <c r="B551" s="26"/>
      <c r="C551" s="26"/>
      <c r="D551" s="26"/>
      <c r="E551" s="26"/>
      <c r="F551" s="26"/>
      <c r="G551" s="76"/>
      <c r="H551" s="76"/>
      <c r="I551" s="115"/>
      <c r="J551" s="100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 spans="1:20" ht="12.75">
      <c r="A552" s="26"/>
      <c r="B552" s="26"/>
      <c r="C552" s="26"/>
      <c r="D552" s="26"/>
      <c r="E552" s="26"/>
      <c r="F552" s="26"/>
      <c r="G552" s="76"/>
      <c r="H552" s="76"/>
      <c r="I552" s="115"/>
      <c r="J552" s="100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 spans="1:20" ht="12.75">
      <c r="A553" s="26"/>
      <c r="B553" s="26"/>
      <c r="C553" s="26"/>
      <c r="D553" s="26"/>
      <c r="E553" s="26"/>
      <c r="F553" s="26"/>
      <c r="G553" s="76"/>
      <c r="H553" s="76"/>
      <c r="I553" s="115"/>
      <c r="J553" s="100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 spans="1:20" ht="12.75">
      <c r="A554" s="26"/>
      <c r="B554" s="26"/>
      <c r="C554" s="26"/>
      <c r="D554" s="26"/>
      <c r="E554" s="26"/>
      <c r="F554" s="26"/>
      <c r="G554" s="76"/>
      <c r="H554" s="76"/>
      <c r="I554" s="115"/>
      <c r="J554" s="100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 spans="1:20" ht="12.75">
      <c r="A555" s="26"/>
      <c r="B555" s="26"/>
      <c r="C555" s="26"/>
      <c r="D555" s="26"/>
      <c r="E555" s="26"/>
      <c r="F555" s="26"/>
      <c r="G555" s="76"/>
      <c r="H555" s="76"/>
      <c r="I555" s="115"/>
      <c r="J555" s="100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 spans="1:20" ht="12.75">
      <c r="A556" s="26"/>
      <c r="B556" s="26"/>
      <c r="C556" s="26"/>
      <c r="D556" s="26"/>
      <c r="E556" s="26"/>
      <c r="F556" s="26"/>
      <c r="G556" s="76"/>
      <c r="H556" s="76"/>
      <c r="I556" s="115"/>
      <c r="J556" s="100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 spans="1:20" ht="12.75">
      <c r="A557" s="26"/>
      <c r="B557" s="26"/>
      <c r="C557" s="26"/>
      <c r="D557" s="26"/>
      <c r="E557" s="26"/>
      <c r="F557" s="26"/>
      <c r="G557" s="76"/>
      <c r="H557" s="76"/>
      <c r="I557" s="115"/>
      <c r="J557" s="100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 spans="1:20" ht="12.75">
      <c r="A558" s="26"/>
      <c r="B558" s="26"/>
      <c r="C558" s="26"/>
      <c r="D558" s="26"/>
      <c r="E558" s="26"/>
      <c r="F558" s="26"/>
      <c r="G558" s="76"/>
      <c r="H558" s="76"/>
      <c r="I558" s="115"/>
      <c r="J558" s="100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 spans="1:20" ht="12.75">
      <c r="A559" s="26"/>
      <c r="B559" s="26"/>
      <c r="C559" s="26"/>
      <c r="D559" s="26"/>
      <c r="E559" s="26"/>
      <c r="F559" s="26"/>
      <c r="G559" s="76"/>
      <c r="H559" s="76"/>
      <c r="I559" s="115"/>
      <c r="J559" s="100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 spans="1:20" ht="12.75">
      <c r="A560" s="26"/>
      <c r="B560" s="26"/>
      <c r="C560" s="26"/>
      <c r="D560" s="26"/>
      <c r="E560" s="26"/>
      <c r="F560" s="26"/>
      <c r="G560" s="76"/>
      <c r="H560" s="76"/>
      <c r="I560" s="115"/>
      <c r="J560" s="100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 spans="1:20" ht="12.75">
      <c r="A561" s="26"/>
      <c r="B561" s="26"/>
      <c r="C561" s="26"/>
      <c r="D561" s="26"/>
      <c r="E561" s="26"/>
      <c r="F561" s="26"/>
      <c r="G561" s="76"/>
      <c r="H561" s="76"/>
      <c r="I561" s="115"/>
      <c r="J561" s="100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 spans="1:20" ht="12.75">
      <c r="A562" s="26"/>
      <c r="B562" s="26"/>
      <c r="C562" s="26"/>
      <c r="D562" s="26"/>
      <c r="E562" s="26"/>
      <c r="F562" s="26"/>
      <c r="G562" s="76"/>
      <c r="H562" s="76"/>
      <c r="I562" s="115"/>
      <c r="J562" s="100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 spans="1:20" ht="12.75">
      <c r="A563" s="26"/>
      <c r="B563" s="26"/>
      <c r="C563" s="26"/>
      <c r="D563" s="26"/>
      <c r="E563" s="26"/>
      <c r="F563" s="26"/>
      <c r="G563" s="76"/>
      <c r="H563" s="76"/>
      <c r="I563" s="115"/>
      <c r="J563" s="100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 spans="1:20" ht="12.75">
      <c r="A564" s="26"/>
      <c r="B564" s="26"/>
      <c r="C564" s="26"/>
      <c r="D564" s="26"/>
      <c r="E564" s="26"/>
      <c r="F564" s="26"/>
      <c r="G564" s="76"/>
      <c r="H564" s="76"/>
      <c r="I564" s="115"/>
      <c r="J564" s="100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 spans="1:20" ht="12.75">
      <c r="A565" s="26"/>
      <c r="B565" s="26"/>
      <c r="C565" s="26"/>
      <c r="D565" s="26"/>
      <c r="E565" s="26"/>
      <c r="F565" s="26"/>
      <c r="G565" s="76"/>
      <c r="H565" s="76"/>
      <c r="I565" s="115"/>
      <c r="J565" s="100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 spans="1:20" ht="12.75">
      <c r="A566" s="26"/>
      <c r="B566" s="26"/>
      <c r="C566" s="26"/>
      <c r="D566" s="26"/>
      <c r="E566" s="26"/>
      <c r="F566" s="26"/>
      <c r="G566" s="76"/>
      <c r="H566" s="76"/>
      <c r="I566" s="115"/>
      <c r="J566" s="100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 spans="1:20" ht="12.75">
      <c r="A567" s="26"/>
      <c r="B567" s="26"/>
      <c r="C567" s="26"/>
      <c r="D567" s="26"/>
      <c r="E567" s="26"/>
      <c r="F567" s="26"/>
      <c r="G567" s="76"/>
      <c r="H567" s="76"/>
      <c r="I567" s="115"/>
      <c r="J567" s="100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 spans="1:20" ht="12.75">
      <c r="A568" s="26"/>
      <c r="B568" s="26"/>
      <c r="C568" s="26"/>
      <c r="D568" s="26"/>
      <c r="E568" s="26"/>
      <c r="F568" s="26"/>
      <c r="G568" s="76"/>
      <c r="H568" s="76"/>
      <c r="I568" s="115"/>
      <c r="J568" s="100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 spans="1:20" ht="12.75">
      <c r="A569" s="26"/>
      <c r="B569" s="26"/>
      <c r="C569" s="26"/>
      <c r="D569" s="26"/>
      <c r="E569" s="26"/>
      <c r="F569" s="26"/>
      <c r="G569" s="76"/>
      <c r="H569" s="76"/>
      <c r="I569" s="115"/>
      <c r="J569" s="100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 spans="1:20" ht="12.75">
      <c r="A570" s="26"/>
      <c r="B570" s="26"/>
      <c r="C570" s="26"/>
      <c r="D570" s="26"/>
      <c r="E570" s="26"/>
      <c r="F570" s="26"/>
      <c r="G570" s="76"/>
      <c r="H570" s="76"/>
      <c r="I570" s="115"/>
      <c r="J570" s="100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 spans="1:20" ht="12.75">
      <c r="A571" s="26"/>
      <c r="B571" s="26"/>
      <c r="C571" s="26"/>
      <c r="D571" s="26"/>
      <c r="E571" s="26"/>
      <c r="F571" s="26"/>
      <c r="G571" s="76"/>
      <c r="H571" s="76"/>
      <c r="I571" s="115"/>
      <c r="J571" s="100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 spans="1:20" ht="12.75">
      <c r="A572" s="26"/>
      <c r="B572" s="26"/>
      <c r="C572" s="26"/>
      <c r="D572" s="26"/>
      <c r="E572" s="26"/>
      <c r="F572" s="26"/>
      <c r="G572" s="76"/>
      <c r="H572" s="76"/>
      <c r="I572" s="115"/>
      <c r="J572" s="100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 spans="1:20" ht="12.75">
      <c r="A573" s="26"/>
      <c r="B573" s="26"/>
      <c r="C573" s="26"/>
      <c r="D573" s="26"/>
      <c r="E573" s="26"/>
      <c r="F573" s="26"/>
      <c r="G573" s="76"/>
      <c r="H573" s="76"/>
      <c r="I573" s="115"/>
      <c r="J573" s="100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 spans="1:20" ht="12.75">
      <c r="A574" s="26"/>
      <c r="B574" s="26"/>
      <c r="C574" s="26"/>
      <c r="D574" s="26"/>
      <c r="E574" s="26"/>
      <c r="F574" s="26"/>
      <c r="G574" s="76"/>
      <c r="H574" s="76"/>
      <c r="I574" s="115"/>
      <c r="J574" s="100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 spans="1:20" ht="12.75">
      <c r="A575" s="26"/>
      <c r="B575" s="26"/>
      <c r="C575" s="26"/>
      <c r="D575" s="26"/>
      <c r="E575" s="26"/>
      <c r="F575" s="26"/>
      <c r="G575" s="76"/>
      <c r="H575" s="76"/>
      <c r="I575" s="115"/>
      <c r="J575" s="100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 spans="1:20" ht="12.75">
      <c r="A576" s="26"/>
      <c r="B576" s="26"/>
      <c r="C576" s="26"/>
      <c r="D576" s="26"/>
      <c r="E576" s="26"/>
      <c r="F576" s="26"/>
      <c r="G576" s="76"/>
      <c r="H576" s="76"/>
      <c r="I576" s="115"/>
      <c r="J576" s="100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 spans="1:20" ht="12.75">
      <c r="A577" s="26"/>
      <c r="B577" s="26"/>
      <c r="C577" s="26"/>
      <c r="D577" s="26"/>
      <c r="E577" s="26"/>
      <c r="F577" s="26"/>
      <c r="G577" s="76"/>
      <c r="H577" s="76"/>
      <c r="I577" s="115"/>
      <c r="J577" s="100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 spans="1:20" ht="12.75">
      <c r="A578" s="26"/>
      <c r="B578" s="26"/>
      <c r="C578" s="26"/>
      <c r="D578" s="26"/>
      <c r="E578" s="26"/>
      <c r="F578" s="26"/>
      <c r="G578" s="76"/>
      <c r="H578" s="76"/>
      <c r="I578" s="115"/>
      <c r="J578" s="100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 spans="1:20" ht="12.75">
      <c r="A579" s="26"/>
      <c r="B579" s="26"/>
      <c r="C579" s="26"/>
      <c r="D579" s="26"/>
      <c r="E579" s="26"/>
      <c r="F579" s="26"/>
      <c r="G579" s="76"/>
      <c r="H579" s="76"/>
      <c r="I579" s="115"/>
      <c r="J579" s="100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 spans="1:20" ht="12.75">
      <c r="A580" s="26"/>
      <c r="B580" s="26"/>
      <c r="C580" s="26"/>
      <c r="D580" s="26"/>
      <c r="E580" s="26"/>
      <c r="F580" s="26"/>
      <c r="G580" s="76"/>
      <c r="H580" s="76"/>
      <c r="I580" s="115"/>
      <c r="J580" s="100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 spans="1:20" ht="12.75">
      <c r="A581" s="26"/>
      <c r="B581" s="26"/>
      <c r="C581" s="26"/>
      <c r="D581" s="26"/>
      <c r="E581" s="26"/>
      <c r="F581" s="26"/>
      <c r="G581" s="76"/>
      <c r="H581" s="76"/>
      <c r="I581" s="115"/>
      <c r="J581" s="100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 spans="1:20" ht="12.75">
      <c r="A582" s="26"/>
      <c r="B582" s="26"/>
      <c r="C582" s="26"/>
      <c r="D582" s="26"/>
      <c r="E582" s="26"/>
      <c r="F582" s="26"/>
      <c r="G582" s="76"/>
      <c r="H582" s="76"/>
      <c r="I582" s="115"/>
      <c r="J582" s="100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 spans="1:20" ht="12.75">
      <c r="A583" s="26"/>
      <c r="B583" s="26"/>
      <c r="C583" s="26"/>
      <c r="D583" s="26"/>
      <c r="E583" s="26"/>
      <c r="F583" s="26"/>
      <c r="G583" s="76"/>
      <c r="H583" s="76"/>
      <c r="I583" s="115"/>
      <c r="J583" s="100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 spans="1:20" ht="12.75">
      <c r="A584" s="26"/>
      <c r="B584" s="26"/>
      <c r="C584" s="26"/>
      <c r="D584" s="26"/>
      <c r="E584" s="26"/>
      <c r="F584" s="26"/>
      <c r="G584" s="76"/>
      <c r="H584" s="76"/>
      <c r="I584" s="115"/>
      <c r="J584" s="100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 spans="1:20" ht="12.75">
      <c r="A585" s="26"/>
      <c r="B585" s="26"/>
      <c r="C585" s="26"/>
      <c r="D585" s="26"/>
      <c r="E585" s="26"/>
      <c r="F585" s="26"/>
      <c r="G585" s="76"/>
      <c r="H585" s="76"/>
      <c r="I585" s="115"/>
      <c r="J585" s="100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 spans="1:20" ht="12.75">
      <c r="A586" s="26"/>
      <c r="B586" s="26"/>
      <c r="C586" s="26"/>
      <c r="D586" s="26"/>
      <c r="E586" s="26"/>
      <c r="F586" s="26"/>
      <c r="G586" s="76"/>
      <c r="H586" s="76"/>
      <c r="I586" s="115"/>
      <c r="J586" s="100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 spans="1:20" ht="12.75">
      <c r="A587" s="26"/>
      <c r="B587" s="26"/>
      <c r="C587" s="26"/>
      <c r="D587" s="26"/>
      <c r="E587" s="26"/>
      <c r="F587" s="26"/>
      <c r="G587" s="76"/>
      <c r="H587" s="76"/>
      <c r="I587" s="115"/>
      <c r="J587" s="100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 spans="1:20" ht="12.75">
      <c r="A588" s="26"/>
      <c r="B588" s="26"/>
      <c r="C588" s="26"/>
      <c r="D588" s="26"/>
      <c r="E588" s="26"/>
      <c r="F588" s="26"/>
      <c r="G588" s="76"/>
      <c r="H588" s="76"/>
      <c r="I588" s="115"/>
      <c r="J588" s="100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 spans="1:20" ht="12.75">
      <c r="A589" s="26"/>
      <c r="B589" s="26"/>
      <c r="C589" s="26"/>
      <c r="D589" s="26"/>
      <c r="E589" s="26"/>
      <c r="F589" s="26"/>
      <c r="G589" s="76"/>
      <c r="H589" s="76"/>
      <c r="I589" s="115"/>
      <c r="J589" s="100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 spans="1:20" ht="12.75">
      <c r="A590" s="26"/>
      <c r="B590" s="26"/>
      <c r="C590" s="26"/>
      <c r="D590" s="26"/>
      <c r="E590" s="26"/>
      <c r="F590" s="26"/>
      <c r="G590" s="76"/>
      <c r="H590" s="76"/>
      <c r="I590" s="115"/>
      <c r="J590" s="100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 spans="1:20" ht="12.75">
      <c r="A591" s="26"/>
      <c r="B591" s="26"/>
      <c r="C591" s="26"/>
      <c r="D591" s="26"/>
      <c r="E591" s="26"/>
      <c r="F591" s="26"/>
      <c r="G591" s="76"/>
      <c r="H591" s="76"/>
      <c r="I591" s="115"/>
      <c r="J591" s="100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 spans="1:20" ht="12.75">
      <c r="A592" s="26"/>
      <c r="B592" s="26"/>
      <c r="C592" s="26"/>
      <c r="D592" s="26"/>
      <c r="E592" s="26"/>
      <c r="F592" s="26"/>
      <c r="G592" s="76"/>
      <c r="H592" s="76"/>
      <c r="I592" s="115"/>
      <c r="J592" s="100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 spans="1:20" ht="12.75">
      <c r="A593" s="26"/>
      <c r="B593" s="26"/>
      <c r="C593" s="26"/>
      <c r="D593" s="26"/>
      <c r="E593" s="26"/>
      <c r="F593" s="26"/>
      <c r="G593" s="76"/>
      <c r="H593" s="76"/>
      <c r="I593" s="115"/>
      <c r="J593" s="100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 spans="1:20" ht="12.75">
      <c r="A594" s="26"/>
      <c r="B594" s="26"/>
      <c r="C594" s="26"/>
      <c r="D594" s="26"/>
      <c r="E594" s="26"/>
      <c r="F594" s="26"/>
      <c r="G594" s="76"/>
      <c r="H594" s="76"/>
      <c r="I594" s="115"/>
      <c r="J594" s="100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 spans="1:20" ht="12.75">
      <c r="A595" s="26"/>
      <c r="B595" s="26"/>
      <c r="C595" s="26"/>
      <c r="D595" s="26"/>
      <c r="E595" s="26"/>
      <c r="F595" s="26"/>
      <c r="G595" s="76"/>
      <c r="H595" s="76"/>
      <c r="I595" s="115"/>
      <c r="J595" s="100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 spans="1:20" ht="12.75">
      <c r="A596" s="26"/>
      <c r="B596" s="26"/>
      <c r="C596" s="26"/>
      <c r="D596" s="26"/>
      <c r="E596" s="26"/>
      <c r="F596" s="26"/>
      <c r="G596" s="76"/>
      <c r="H596" s="76"/>
      <c r="I596" s="115"/>
      <c r="J596" s="100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 spans="1:20" ht="12.75">
      <c r="A597" s="26"/>
      <c r="B597" s="26"/>
      <c r="C597" s="26"/>
      <c r="D597" s="26"/>
      <c r="E597" s="26"/>
      <c r="F597" s="26"/>
      <c r="G597" s="76"/>
      <c r="H597" s="76"/>
      <c r="I597" s="115"/>
      <c r="J597" s="100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 spans="1:20" ht="12.75">
      <c r="A598" s="26"/>
      <c r="B598" s="26"/>
      <c r="C598" s="26"/>
      <c r="D598" s="26"/>
      <c r="E598" s="26"/>
      <c r="F598" s="26"/>
      <c r="G598" s="76"/>
      <c r="H598" s="76"/>
      <c r="I598" s="115"/>
      <c r="J598" s="100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 spans="1:20" ht="12.75">
      <c r="A599" s="26"/>
      <c r="B599" s="26"/>
      <c r="C599" s="26"/>
      <c r="D599" s="26"/>
      <c r="E599" s="26"/>
      <c r="F599" s="26"/>
      <c r="G599" s="76"/>
      <c r="H599" s="76"/>
      <c r="I599" s="115"/>
      <c r="J599" s="100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 spans="1:20" ht="12.75">
      <c r="A600" s="26"/>
      <c r="B600" s="26"/>
      <c r="C600" s="26"/>
      <c r="D600" s="26"/>
      <c r="E600" s="26"/>
      <c r="F600" s="26"/>
      <c r="G600" s="76"/>
      <c r="H600" s="76"/>
      <c r="I600" s="115"/>
      <c r="J600" s="100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 spans="1:20" ht="12.75">
      <c r="A601" s="26"/>
      <c r="B601" s="26"/>
      <c r="C601" s="26"/>
      <c r="D601" s="26"/>
      <c r="E601" s="26"/>
      <c r="F601" s="26"/>
      <c r="G601" s="76"/>
      <c r="H601" s="76"/>
      <c r="I601" s="115"/>
      <c r="J601" s="100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 spans="1:20" ht="12.75">
      <c r="A602" s="26"/>
      <c r="B602" s="26"/>
      <c r="C602" s="26"/>
      <c r="D602" s="26"/>
      <c r="E602" s="26"/>
      <c r="F602" s="26"/>
      <c r="G602" s="76"/>
      <c r="H602" s="76"/>
      <c r="I602" s="115"/>
      <c r="J602" s="100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 spans="1:20" ht="12.75">
      <c r="A603" s="26"/>
      <c r="B603" s="26"/>
      <c r="C603" s="26"/>
      <c r="D603" s="26"/>
      <c r="E603" s="26"/>
      <c r="F603" s="26"/>
      <c r="G603" s="76"/>
      <c r="H603" s="76"/>
      <c r="I603" s="115"/>
      <c r="J603" s="100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 spans="1:20" ht="12.75">
      <c r="A604" s="26"/>
      <c r="B604" s="26"/>
      <c r="C604" s="26"/>
      <c r="D604" s="26"/>
      <c r="E604" s="26"/>
      <c r="F604" s="26"/>
      <c r="G604" s="76"/>
      <c r="H604" s="76"/>
      <c r="I604" s="115"/>
      <c r="J604" s="100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 spans="1:20" ht="12.75">
      <c r="A605" s="26"/>
      <c r="B605" s="26"/>
      <c r="C605" s="26"/>
      <c r="D605" s="26"/>
      <c r="E605" s="26"/>
      <c r="F605" s="26"/>
      <c r="G605" s="76"/>
      <c r="H605" s="76"/>
      <c r="I605" s="115"/>
      <c r="J605" s="100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 spans="1:20" ht="12.75">
      <c r="A606" s="26"/>
      <c r="B606" s="26"/>
      <c r="C606" s="26"/>
      <c r="D606" s="26"/>
      <c r="E606" s="26"/>
      <c r="F606" s="26"/>
      <c r="G606" s="76"/>
      <c r="H606" s="76"/>
      <c r="I606" s="115"/>
      <c r="J606" s="100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 spans="1:20" ht="12.75">
      <c r="A607" s="26"/>
      <c r="B607" s="26"/>
      <c r="C607" s="26"/>
      <c r="D607" s="26"/>
      <c r="E607" s="26"/>
      <c r="F607" s="26"/>
      <c r="G607" s="76"/>
      <c r="H607" s="76"/>
      <c r="I607" s="115"/>
      <c r="J607" s="100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 spans="1:20" ht="12.75">
      <c r="A608" s="26"/>
      <c r="B608" s="26"/>
      <c r="C608" s="26"/>
      <c r="D608" s="26"/>
      <c r="E608" s="26"/>
      <c r="F608" s="26"/>
      <c r="G608" s="76"/>
      <c r="H608" s="76"/>
      <c r="I608" s="115"/>
      <c r="J608" s="100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 spans="1:20" ht="12.75">
      <c r="A609" s="26"/>
      <c r="B609" s="26"/>
      <c r="C609" s="26"/>
      <c r="D609" s="26"/>
      <c r="E609" s="26"/>
      <c r="F609" s="26"/>
      <c r="G609" s="76"/>
      <c r="H609" s="76"/>
      <c r="I609" s="115"/>
      <c r="J609" s="100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 spans="1:20" ht="12.75">
      <c r="A610" s="26"/>
      <c r="B610" s="26"/>
      <c r="C610" s="26"/>
      <c r="D610" s="26"/>
      <c r="E610" s="26"/>
      <c r="F610" s="26"/>
      <c r="G610" s="76"/>
      <c r="H610" s="76"/>
      <c r="I610" s="115"/>
      <c r="J610" s="100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 spans="1:20" ht="12.75">
      <c r="A611" s="26"/>
      <c r="B611" s="26"/>
      <c r="C611" s="26"/>
      <c r="D611" s="26"/>
      <c r="E611" s="26"/>
      <c r="F611" s="26"/>
      <c r="G611" s="76"/>
      <c r="H611" s="76"/>
      <c r="I611" s="115"/>
      <c r="J611" s="100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 spans="1:20" ht="12.75">
      <c r="A612" s="26"/>
      <c r="B612" s="26"/>
      <c r="C612" s="26"/>
      <c r="D612" s="26"/>
      <c r="E612" s="26"/>
      <c r="F612" s="26"/>
      <c r="G612" s="76"/>
      <c r="H612" s="76"/>
      <c r="I612" s="115"/>
      <c r="J612" s="100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 spans="1:20" ht="12.75">
      <c r="A613" s="26"/>
      <c r="B613" s="26"/>
      <c r="C613" s="26"/>
      <c r="D613" s="26"/>
      <c r="E613" s="26"/>
      <c r="F613" s="26"/>
      <c r="G613" s="76"/>
      <c r="H613" s="76"/>
      <c r="I613" s="115"/>
      <c r="J613" s="100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 spans="1:20" ht="12.75">
      <c r="A614" s="26"/>
      <c r="B614" s="26"/>
      <c r="C614" s="26"/>
      <c r="D614" s="26"/>
      <c r="E614" s="26"/>
      <c r="F614" s="26"/>
      <c r="G614" s="76"/>
      <c r="H614" s="76"/>
      <c r="I614" s="115"/>
      <c r="J614" s="100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 spans="1:20" ht="12.75">
      <c r="A615" s="26"/>
      <c r="B615" s="26"/>
      <c r="C615" s="26"/>
      <c r="D615" s="26"/>
      <c r="E615" s="26"/>
      <c r="F615" s="26"/>
      <c r="G615" s="76"/>
      <c r="H615" s="76"/>
      <c r="I615" s="115"/>
      <c r="J615" s="100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 spans="1:20" ht="12.75">
      <c r="A616" s="26"/>
      <c r="B616" s="26"/>
      <c r="C616" s="26"/>
      <c r="D616" s="26"/>
      <c r="E616" s="26"/>
      <c r="F616" s="26"/>
      <c r="G616" s="76"/>
      <c r="H616" s="76"/>
      <c r="I616" s="115"/>
      <c r="J616" s="100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 spans="1:20" ht="12.75">
      <c r="A617" s="26"/>
      <c r="B617" s="26"/>
      <c r="C617" s="26"/>
      <c r="D617" s="26"/>
      <c r="E617" s="26"/>
      <c r="F617" s="26"/>
      <c r="G617" s="76"/>
      <c r="H617" s="76"/>
      <c r="I617" s="115"/>
      <c r="J617" s="100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 spans="1:20" ht="12.75">
      <c r="A618" s="26"/>
      <c r="B618" s="26"/>
      <c r="C618" s="26"/>
      <c r="D618" s="26"/>
      <c r="E618" s="26"/>
      <c r="F618" s="26"/>
      <c r="G618" s="76"/>
      <c r="H618" s="76"/>
      <c r="I618" s="115"/>
      <c r="J618" s="100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 spans="1:20" ht="12.75">
      <c r="A619" s="26"/>
      <c r="B619" s="26"/>
      <c r="C619" s="26"/>
      <c r="D619" s="26"/>
      <c r="E619" s="26"/>
      <c r="F619" s="26"/>
      <c r="G619" s="76"/>
      <c r="H619" s="76"/>
      <c r="I619" s="115"/>
      <c r="J619" s="100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 spans="1:20" ht="12.75">
      <c r="A620" s="26"/>
      <c r="B620" s="26"/>
      <c r="C620" s="26"/>
      <c r="D620" s="26"/>
      <c r="E620" s="26"/>
      <c r="F620" s="26"/>
      <c r="G620" s="76"/>
      <c r="H620" s="76"/>
      <c r="I620" s="115"/>
      <c r="J620" s="100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 spans="1:20" ht="12.75">
      <c r="A621" s="26"/>
      <c r="B621" s="26"/>
      <c r="C621" s="26"/>
      <c r="D621" s="26"/>
      <c r="E621" s="26"/>
      <c r="F621" s="26"/>
      <c r="G621" s="76"/>
      <c r="H621" s="76"/>
      <c r="I621" s="115"/>
      <c r="J621" s="100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 spans="1:20" ht="12.75">
      <c r="A622" s="26"/>
      <c r="B622" s="26"/>
      <c r="C622" s="26"/>
      <c r="D622" s="26"/>
      <c r="E622" s="26"/>
      <c r="F622" s="26"/>
      <c r="G622" s="76"/>
      <c r="H622" s="76"/>
      <c r="I622" s="115"/>
      <c r="J622" s="100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 spans="1:20" ht="12.75">
      <c r="A623" s="26"/>
      <c r="B623" s="26"/>
      <c r="C623" s="26"/>
      <c r="D623" s="26"/>
      <c r="E623" s="26"/>
      <c r="F623" s="26"/>
      <c r="G623" s="76"/>
      <c r="H623" s="76"/>
      <c r="I623" s="115"/>
      <c r="J623" s="100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 spans="1:20" ht="12.75">
      <c r="A624" s="26"/>
      <c r="B624" s="26"/>
      <c r="C624" s="26"/>
      <c r="D624" s="26"/>
      <c r="E624" s="26"/>
      <c r="F624" s="26"/>
      <c r="G624" s="76"/>
      <c r="H624" s="76"/>
      <c r="I624" s="115"/>
      <c r="J624" s="100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 spans="1:20" ht="12.75">
      <c r="A625" s="26"/>
      <c r="B625" s="26"/>
      <c r="C625" s="26"/>
      <c r="D625" s="26"/>
      <c r="E625" s="26"/>
      <c r="F625" s="26"/>
      <c r="G625" s="76"/>
      <c r="H625" s="76"/>
      <c r="I625" s="115"/>
      <c r="J625" s="100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 spans="1:20" ht="12.75">
      <c r="A626" s="26"/>
      <c r="B626" s="26"/>
      <c r="C626" s="26"/>
      <c r="D626" s="26"/>
      <c r="E626" s="26"/>
      <c r="F626" s="26"/>
      <c r="G626" s="76"/>
      <c r="H626" s="76"/>
      <c r="I626" s="115"/>
      <c r="J626" s="100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 spans="1:20" ht="12.75">
      <c r="A627" s="26"/>
      <c r="B627" s="26"/>
      <c r="C627" s="26"/>
      <c r="D627" s="26"/>
      <c r="E627" s="26"/>
      <c r="F627" s="26"/>
      <c r="G627" s="76"/>
      <c r="H627" s="76"/>
      <c r="I627" s="115"/>
      <c r="J627" s="100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 spans="1:20" ht="12.75">
      <c r="A628" s="26"/>
      <c r="B628" s="26"/>
      <c r="C628" s="26"/>
      <c r="D628" s="26"/>
      <c r="E628" s="26"/>
      <c r="F628" s="26"/>
      <c r="G628" s="76"/>
      <c r="H628" s="76"/>
      <c r="I628" s="115"/>
      <c r="J628" s="100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 spans="1:20" ht="12.75">
      <c r="A629" s="26"/>
      <c r="B629" s="26"/>
      <c r="C629" s="26"/>
      <c r="D629" s="26"/>
      <c r="E629" s="26"/>
      <c r="F629" s="26"/>
      <c r="G629" s="76"/>
      <c r="H629" s="76"/>
      <c r="I629" s="115"/>
      <c r="J629" s="100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 spans="1:20" ht="12.75">
      <c r="A630" s="26"/>
      <c r="B630" s="26"/>
      <c r="C630" s="26"/>
      <c r="D630" s="26"/>
      <c r="E630" s="26"/>
      <c r="F630" s="26"/>
      <c r="G630" s="76"/>
      <c r="H630" s="76"/>
      <c r="I630" s="115"/>
      <c r="J630" s="100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 spans="1:20" ht="12.75">
      <c r="A631" s="26"/>
      <c r="B631" s="26"/>
      <c r="C631" s="26"/>
      <c r="D631" s="26"/>
      <c r="E631" s="26"/>
      <c r="F631" s="26"/>
      <c r="G631" s="76"/>
      <c r="H631" s="76"/>
      <c r="I631" s="115"/>
      <c r="J631" s="100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 spans="1:20" ht="12.75">
      <c r="A632" s="26"/>
      <c r="B632" s="26"/>
      <c r="C632" s="26"/>
      <c r="D632" s="26"/>
      <c r="E632" s="26"/>
      <c r="F632" s="26"/>
      <c r="G632" s="76"/>
      <c r="H632" s="76"/>
      <c r="I632" s="115"/>
      <c r="J632" s="100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 spans="1:20" ht="12.75">
      <c r="A633" s="26"/>
      <c r="B633" s="26"/>
      <c r="C633" s="26"/>
      <c r="D633" s="26"/>
      <c r="E633" s="26"/>
      <c r="F633" s="26"/>
      <c r="G633" s="76"/>
      <c r="H633" s="76"/>
      <c r="I633" s="115"/>
      <c r="J633" s="100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 spans="1:20" ht="12.75">
      <c r="A634" s="26"/>
      <c r="B634" s="26"/>
      <c r="C634" s="26"/>
      <c r="D634" s="26"/>
      <c r="E634" s="26"/>
      <c r="F634" s="26"/>
      <c r="G634" s="76"/>
      <c r="H634" s="76"/>
      <c r="I634" s="115"/>
      <c r="J634" s="100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 spans="1:20" ht="12.75">
      <c r="A635" s="26"/>
      <c r="B635" s="26"/>
      <c r="C635" s="26"/>
      <c r="D635" s="26"/>
      <c r="E635" s="26"/>
      <c r="F635" s="26"/>
      <c r="G635" s="76"/>
      <c r="H635" s="76"/>
      <c r="I635" s="115"/>
      <c r="J635" s="100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 spans="1:20" ht="12.75">
      <c r="A636" s="26"/>
      <c r="B636" s="26"/>
      <c r="C636" s="26"/>
      <c r="D636" s="26"/>
      <c r="E636" s="26"/>
      <c r="F636" s="26"/>
      <c r="G636" s="76"/>
      <c r="H636" s="76"/>
      <c r="I636" s="115"/>
      <c r="J636" s="100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 spans="1:20" ht="12.75">
      <c r="A637" s="26"/>
      <c r="B637" s="26"/>
      <c r="C637" s="26"/>
      <c r="D637" s="26"/>
      <c r="E637" s="26"/>
      <c r="F637" s="26"/>
      <c r="G637" s="76"/>
      <c r="H637" s="76"/>
      <c r="I637" s="115"/>
      <c r="J637" s="100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 spans="1:20" ht="12.75">
      <c r="A638" s="26"/>
      <c r="B638" s="26"/>
      <c r="C638" s="26"/>
      <c r="D638" s="26"/>
      <c r="E638" s="26"/>
      <c r="F638" s="26"/>
      <c r="G638" s="76"/>
      <c r="H638" s="76"/>
      <c r="I638" s="115"/>
      <c r="J638" s="100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 spans="1:20" ht="12.75">
      <c r="A639" s="26"/>
      <c r="B639" s="26"/>
      <c r="C639" s="26"/>
      <c r="D639" s="26"/>
      <c r="E639" s="26"/>
      <c r="F639" s="26"/>
      <c r="G639" s="76"/>
      <c r="H639" s="76"/>
      <c r="I639" s="115"/>
      <c r="J639" s="100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 spans="1:20" ht="12.75">
      <c r="A640" s="26"/>
      <c r="B640" s="26"/>
      <c r="C640" s="26"/>
      <c r="D640" s="26"/>
      <c r="E640" s="26"/>
      <c r="F640" s="26"/>
      <c r="G640" s="76"/>
      <c r="H640" s="76"/>
      <c r="I640" s="115"/>
      <c r="J640" s="100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 spans="1:20" ht="12.75">
      <c r="A641" s="26"/>
      <c r="B641" s="26"/>
      <c r="C641" s="26"/>
      <c r="D641" s="26"/>
      <c r="E641" s="26"/>
      <c r="F641" s="26"/>
      <c r="G641" s="76"/>
      <c r="H641" s="76"/>
      <c r="I641" s="115"/>
      <c r="J641" s="100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 spans="1:20" ht="12.75">
      <c r="A642" s="26"/>
      <c r="B642" s="26"/>
      <c r="C642" s="26"/>
      <c r="D642" s="26"/>
      <c r="E642" s="26"/>
      <c r="F642" s="26"/>
      <c r="G642" s="76"/>
      <c r="H642" s="76"/>
      <c r="I642" s="115"/>
      <c r="J642" s="100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 spans="1:20" ht="12.75">
      <c r="A643" s="26"/>
      <c r="B643" s="26"/>
      <c r="C643" s="26"/>
      <c r="D643" s="26"/>
      <c r="E643" s="26"/>
      <c r="F643" s="26"/>
      <c r="G643" s="76"/>
      <c r="H643" s="76"/>
      <c r="I643" s="115"/>
      <c r="J643" s="100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 spans="1:20" ht="12.75">
      <c r="A644" s="26"/>
      <c r="B644" s="26"/>
      <c r="C644" s="26"/>
      <c r="D644" s="26"/>
      <c r="E644" s="26"/>
      <c r="F644" s="26"/>
      <c r="G644" s="76"/>
      <c r="H644" s="76"/>
      <c r="I644" s="115"/>
      <c r="J644" s="100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 spans="1:20" ht="12.75">
      <c r="A645" s="26"/>
      <c r="B645" s="26"/>
      <c r="C645" s="26"/>
      <c r="D645" s="26"/>
      <c r="E645" s="26"/>
      <c r="F645" s="26"/>
      <c r="G645" s="76"/>
      <c r="H645" s="76"/>
      <c r="I645" s="115"/>
      <c r="J645" s="100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 spans="1:20" ht="12.75">
      <c r="A646" s="26"/>
      <c r="B646" s="26"/>
      <c r="C646" s="26"/>
      <c r="D646" s="26"/>
      <c r="E646" s="26"/>
      <c r="F646" s="26"/>
      <c r="G646" s="76"/>
      <c r="H646" s="76"/>
      <c r="I646" s="115"/>
      <c r="J646" s="100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 spans="1:20" ht="12.75">
      <c r="A647" s="26"/>
      <c r="B647" s="26"/>
      <c r="C647" s="26"/>
      <c r="D647" s="26"/>
      <c r="E647" s="26"/>
      <c r="F647" s="26"/>
      <c r="G647" s="76"/>
      <c r="H647" s="76"/>
      <c r="I647" s="115"/>
      <c r="J647" s="100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 spans="1:20" ht="12.75">
      <c r="A648" s="26"/>
      <c r="B648" s="26"/>
      <c r="C648" s="26"/>
      <c r="D648" s="26"/>
      <c r="E648" s="26"/>
      <c r="F648" s="26"/>
      <c r="G648" s="76"/>
      <c r="H648" s="76"/>
      <c r="I648" s="115"/>
      <c r="J648" s="100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 spans="1:20" ht="12.75">
      <c r="A649" s="26"/>
      <c r="B649" s="26"/>
      <c r="C649" s="26"/>
      <c r="D649" s="26"/>
      <c r="E649" s="26"/>
      <c r="F649" s="26"/>
      <c r="G649" s="76"/>
      <c r="H649" s="76"/>
      <c r="I649" s="115"/>
      <c r="J649" s="100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 spans="1:20" ht="12.75">
      <c r="A650" s="26"/>
      <c r="B650" s="26"/>
      <c r="C650" s="26"/>
      <c r="D650" s="26"/>
      <c r="E650" s="26"/>
      <c r="F650" s="26"/>
      <c r="G650" s="76"/>
      <c r="H650" s="76"/>
      <c r="I650" s="115"/>
      <c r="J650" s="100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 spans="1:20" ht="12.75">
      <c r="A651" s="26"/>
      <c r="B651" s="26"/>
      <c r="C651" s="26"/>
      <c r="D651" s="26"/>
      <c r="E651" s="26"/>
      <c r="F651" s="26"/>
      <c r="G651" s="76"/>
      <c r="H651" s="76"/>
      <c r="I651" s="115"/>
      <c r="J651" s="100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 spans="1:20" ht="12.75">
      <c r="A652" s="26"/>
      <c r="B652" s="26"/>
      <c r="C652" s="26"/>
      <c r="D652" s="26"/>
      <c r="E652" s="26"/>
      <c r="F652" s="26"/>
      <c r="G652" s="76"/>
      <c r="H652" s="76"/>
      <c r="I652" s="115"/>
      <c r="J652" s="100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 spans="1:20" ht="12.75">
      <c r="A653" s="26"/>
      <c r="B653" s="26"/>
      <c r="C653" s="26"/>
      <c r="D653" s="26"/>
      <c r="E653" s="26"/>
      <c r="F653" s="26"/>
      <c r="G653" s="76"/>
      <c r="H653" s="76"/>
      <c r="I653" s="115"/>
      <c r="J653" s="100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 spans="1:20" ht="12.75">
      <c r="A654" s="26"/>
      <c r="B654" s="26"/>
      <c r="C654" s="26"/>
      <c r="D654" s="26"/>
      <c r="E654" s="26"/>
      <c r="F654" s="26"/>
      <c r="G654" s="76"/>
      <c r="H654" s="76"/>
      <c r="I654" s="115"/>
      <c r="J654" s="100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 spans="1:20" ht="12.75">
      <c r="A655" s="26"/>
      <c r="B655" s="26"/>
      <c r="C655" s="26"/>
      <c r="D655" s="26"/>
      <c r="E655" s="26"/>
      <c r="F655" s="26"/>
      <c r="G655" s="76"/>
      <c r="H655" s="76"/>
      <c r="I655" s="115"/>
      <c r="J655" s="100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 spans="1:20" ht="12.75">
      <c r="A656" s="26"/>
      <c r="B656" s="26"/>
      <c r="C656" s="26"/>
      <c r="D656" s="26"/>
      <c r="E656" s="26"/>
      <c r="F656" s="26"/>
      <c r="G656" s="76"/>
      <c r="H656" s="76"/>
      <c r="I656" s="115"/>
      <c r="J656" s="100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 spans="1:20" ht="12.75">
      <c r="A657" s="26"/>
      <c r="B657" s="26"/>
      <c r="C657" s="26"/>
      <c r="D657" s="26"/>
      <c r="E657" s="26"/>
      <c r="F657" s="26"/>
      <c r="G657" s="76"/>
      <c r="H657" s="76"/>
      <c r="I657" s="115"/>
      <c r="J657" s="100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 spans="1:20" ht="12.75">
      <c r="A658" s="26"/>
      <c r="B658" s="26"/>
      <c r="C658" s="26"/>
      <c r="D658" s="26"/>
      <c r="E658" s="26"/>
      <c r="F658" s="26"/>
      <c r="G658" s="76"/>
      <c r="H658" s="76"/>
      <c r="I658" s="115"/>
      <c r="J658" s="100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 spans="1:20" ht="12.75">
      <c r="A659" s="26"/>
      <c r="B659" s="26"/>
      <c r="C659" s="26"/>
      <c r="D659" s="26"/>
      <c r="E659" s="26"/>
      <c r="F659" s="26"/>
      <c r="G659" s="76"/>
      <c r="H659" s="76"/>
      <c r="I659" s="115"/>
      <c r="J659" s="100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 spans="1:20" ht="12.75">
      <c r="A660" s="26"/>
      <c r="B660" s="26"/>
      <c r="C660" s="26"/>
      <c r="D660" s="26"/>
      <c r="E660" s="26"/>
      <c r="F660" s="26"/>
      <c r="G660" s="76"/>
      <c r="H660" s="76"/>
      <c r="I660" s="115"/>
      <c r="J660" s="100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 spans="1:20" ht="12.75">
      <c r="A661" s="26"/>
      <c r="B661" s="26"/>
      <c r="C661" s="26"/>
      <c r="D661" s="26"/>
      <c r="E661" s="26"/>
      <c r="F661" s="26"/>
      <c r="G661" s="76"/>
      <c r="H661" s="76"/>
      <c r="I661" s="115"/>
      <c r="J661" s="100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 spans="1:20" ht="12.75">
      <c r="A662" s="26"/>
      <c r="B662" s="26"/>
      <c r="C662" s="26"/>
      <c r="D662" s="26"/>
      <c r="E662" s="26"/>
      <c r="F662" s="26"/>
      <c r="G662" s="76"/>
      <c r="H662" s="76"/>
      <c r="I662" s="115"/>
      <c r="J662" s="100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 spans="1:20" ht="12.75">
      <c r="A663" s="26"/>
      <c r="B663" s="26"/>
      <c r="C663" s="26"/>
      <c r="D663" s="26"/>
      <c r="E663" s="26"/>
      <c r="F663" s="26"/>
      <c r="G663" s="76"/>
      <c r="H663" s="76"/>
      <c r="I663" s="115"/>
      <c r="J663" s="100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 spans="1:20" ht="12.75">
      <c r="A664" s="26"/>
      <c r="B664" s="26"/>
      <c r="C664" s="26"/>
      <c r="D664" s="26"/>
      <c r="E664" s="26"/>
      <c r="F664" s="26"/>
      <c r="G664" s="76"/>
      <c r="H664" s="76"/>
      <c r="I664" s="115"/>
      <c r="J664" s="100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 spans="1:20" ht="12.75">
      <c r="A665" s="26"/>
      <c r="B665" s="26"/>
      <c r="C665" s="26"/>
      <c r="D665" s="26"/>
      <c r="E665" s="26"/>
      <c r="F665" s="26"/>
      <c r="G665" s="76"/>
      <c r="H665" s="76"/>
      <c r="I665" s="115"/>
      <c r="J665" s="100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 spans="1:20" ht="12.75">
      <c r="A666" s="26"/>
      <c r="B666" s="26"/>
      <c r="C666" s="26"/>
      <c r="D666" s="26"/>
      <c r="E666" s="26"/>
      <c r="F666" s="26"/>
      <c r="G666" s="76"/>
      <c r="H666" s="76"/>
      <c r="I666" s="115"/>
      <c r="J666" s="100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 spans="1:20" ht="12.75">
      <c r="A667" s="26"/>
      <c r="B667" s="26"/>
      <c r="C667" s="26"/>
      <c r="D667" s="26"/>
      <c r="E667" s="26"/>
      <c r="F667" s="26"/>
      <c r="G667" s="76"/>
      <c r="H667" s="76"/>
      <c r="I667" s="115"/>
      <c r="J667" s="100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 spans="1:20" ht="12.75">
      <c r="A668" s="26"/>
      <c r="B668" s="26"/>
      <c r="C668" s="26"/>
      <c r="D668" s="26"/>
      <c r="E668" s="26"/>
      <c r="F668" s="26"/>
      <c r="G668" s="76"/>
      <c r="H668" s="76"/>
      <c r="I668" s="115"/>
      <c r="J668" s="100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 spans="1:20" ht="12.75">
      <c r="A669" s="26"/>
      <c r="B669" s="26"/>
      <c r="C669" s="26"/>
      <c r="D669" s="26"/>
      <c r="E669" s="26"/>
      <c r="F669" s="26"/>
      <c r="G669" s="76"/>
      <c r="H669" s="76"/>
      <c r="I669" s="115"/>
      <c r="J669" s="100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 spans="1:20" ht="12.75">
      <c r="A670" s="26"/>
      <c r="B670" s="26"/>
      <c r="C670" s="26"/>
      <c r="D670" s="26"/>
      <c r="E670" s="26"/>
      <c r="F670" s="26"/>
      <c r="G670" s="76"/>
      <c r="H670" s="76"/>
      <c r="I670" s="115"/>
      <c r="J670" s="100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 spans="1:20" ht="12.75">
      <c r="A671" s="26"/>
      <c r="B671" s="26"/>
      <c r="C671" s="26"/>
      <c r="D671" s="26"/>
      <c r="E671" s="26"/>
      <c r="F671" s="26"/>
      <c r="G671" s="76"/>
      <c r="H671" s="76"/>
      <c r="I671" s="115"/>
      <c r="J671" s="100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 spans="1:20" ht="12.75">
      <c r="A672" s="26"/>
      <c r="B672" s="26"/>
      <c r="C672" s="26"/>
      <c r="D672" s="26"/>
      <c r="E672" s="26"/>
      <c r="F672" s="26"/>
      <c r="G672" s="76"/>
      <c r="H672" s="76"/>
      <c r="I672" s="115"/>
      <c r="J672" s="100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 spans="1:20" ht="12.75">
      <c r="A673" s="26"/>
      <c r="B673" s="26"/>
      <c r="C673" s="26"/>
      <c r="D673" s="26"/>
      <c r="E673" s="26"/>
      <c r="F673" s="26"/>
      <c r="G673" s="76"/>
      <c r="H673" s="76"/>
      <c r="I673" s="115"/>
      <c r="J673" s="100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 spans="1:20" ht="12.75">
      <c r="A674" s="26"/>
      <c r="B674" s="26"/>
      <c r="C674" s="26"/>
      <c r="D674" s="26"/>
      <c r="E674" s="26"/>
      <c r="F674" s="26"/>
      <c r="G674" s="76"/>
      <c r="H674" s="76"/>
      <c r="I674" s="115"/>
      <c r="J674" s="100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 spans="1:20" ht="12.75">
      <c r="A675" s="26"/>
      <c r="B675" s="26"/>
      <c r="C675" s="26"/>
      <c r="D675" s="26"/>
      <c r="E675" s="26"/>
      <c r="F675" s="26"/>
      <c r="G675" s="76"/>
      <c r="H675" s="76"/>
      <c r="I675" s="115"/>
      <c r="J675" s="100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 spans="1:20" ht="12.75">
      <c r="A676" s="26"/>
      <c r="B676" s="26"/>
      <c r="C676" s="26"/>
      <c r="D676" s="26"/>
      <c r="E676" s="26"/>
      <c r="F676" s="26"/>
      <c r="G676" s="76"/>
      <c r="H676" s="76"/>
      <c r="I676" s="115"/>
      <c r="J676" s="100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 spans="1:20" ht="12.75">
      <c r="A677" s="26"/>
      <c r="B677" s="26"/>
      <c r="C677" s="26"/>
      <c r="D677" s="26"/>
      <c r="E677" s="26"/>
      <c r="F677" s="26"/>
      <c r="G677" s="76"/>
      <c r="H677" s="76"/>
      <c r="I677" s="115"/>
      <c r="J677" s="100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 spans="1:20" ht="12.75">
      <c r="A678" s="26"/>
      <c r="B678" s="26"/>
      <c r="C678" s="26"/>
      <c r="D678" s="26"/>
      <c r="E678" s="26"/>
      <c r="F678" s="26"/>
      <c r="G678" s="76"/>
      <c r="H678" s="76"/>
      <c r="I678" s="115"/>
      <c r="J678" s="100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 spans="1:20" ht="12.75">
      <c r="A679" s="26"/>
      <c r="B679" s="26"/>
      <c r="C679" s="26"/>
      <c r="D679" s="26"/>
      <c r="E679" s="26"/>
      <c r="F679" s="26"/>
      <c r="G679" s="76"/>
      <c r="H679" s="76"/>
      <c r="I679" s="115"/>
      <c r="J679" s="100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 spans="1:20" ht="12.75">
      <c r="A680" s="26"/>
      <c r="B680" s="26"/>
      <c r="C680" s="26"/>
      <c r="D680" s="26"/>
      <c r="E680" s="26"/>
      <c r="F680" s="26"/>
      <c r="G680" s="76"/>
      <c r="H680" s="76"/>
      <c r="I680" s="115"/>
      <c r="J680" s="100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 spans="1:20" ht="12.75">
      <c r="A681" s="26"/>
      <c r="B681" s="26"/>
      <c r="C681" s="26"/>
      <c r="D681" s="26"/>
      <c r="E681" s="26"/>
      <c r="F681" s="26"/>
      <c r="G681" s="76"/>
      <c r="H681" s="76"/>
      <c r="I681" s="115"/>
      <c r="J681" s="100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 spans="1:20" ht="12.75">
      <c r="A682" s="26"/>
      <c r="B682" s="26"/>
      <c r="C682" s="26"/>
      <c r="D682" s="26"/>
      <c r="E682" s="26"/>
      <c r="F682" s="26"/>
      <c r="G682" s="76"/>
      <c r="H682" s="76"/>
      <c r="I682" s="115"/>
      <c r="J682" s="100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 spans="1:20" ht="12.75">
      <c r="A683" s="26"/>
      <c r="B683" s="26"/>
      <c r="C683" s="26"/>
      <c r="D683" s="26"/>
      <c r="E683" s="26"/>
      <c r="F683" s="26"/>
      <c r="G683" s="76"/>
      <c r="H683" s="76"/>
      <c r="I683" s="115"/>
      <c r="J683" s="100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 spans="1:20" ht="12.75">
      <c r="A684" s="26"/>
      <c r="B684" s="26"/>
      <c r="C684" s="26"/>
      <c r="D684" s="26"/>
      <c r="E684" s="26"/>
      <c r="F684" s="26"/>
      <c r="G684" s="76"/>
      <c r="H684" s="76"/>
      <c r="I684" s="115"/>
      <c r="J684" s="100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 spans="1:20" ht="12.75">
      <c r="A685" s="26"/>
      <c r="B685" s="26"/>
      <c r="C685" s="26"/>
      <c r="D685" s="26"/>
      <c r="E685" s="26"/>
      <c r="F685" s="26"/>
      <c r="G685" s="76"/>
      <c r="H685" s="76"/>
      <c r="I685" s="115"/>
      <c r="J685" s="100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 spans="1:20" ht="12.75">
      <c r="A686" s="26"/>
      <c r="B686" s="26"/>
      <c r="C686" s="26"/>
      <c r="D686" s="26"/>
      <c r="E686" s="26"/>
      <c r="F686" s="26"/>
      <c r="G686" s="76"/>
      <c r="H686" s="76"/>
      <c r="I686" s="115"/>
      <c r="J686" s="100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 spans="1:20" ht="12.75">
      <c r="A687" s="26"/>
      <c r="B687" s="26"/>
      <c r="C687" s="26"/>
      <c r="D687" s="26"/>
      <c r="E687" s="26"/>
      <c r="F687" s="26"/>
      <c r="G687" s="76"/>
      <c r="H687" s="76"/>
      <c r="I687" s="115"/>
      <c r="J687" s="100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 spans="1:20" ht="12.75">
      <c r="A688" s="26"/>
      <c r="B688" s="26"/>
      <c r="C688" s="26"/>
      <c r="D688" s="26"/>
      <c r="E688" s="26"/>
      <c r="F688" s="26"/>
      <c r="G688" s="76"/>
      <c r="H688" s="76"/>
      <c r="I688" s="115"/>
      <c r="J688" s="100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 spans="1:20" ht="12.75">
      <c r="A689" s="26"/>
      <c r="B689" s="26"/>
      <c r="C689" s="26"/>
      <c r="D689" s="26"/>
      <c r="E689" s="26"/>
      <c r="F689" s="26"/>
      <c r="G689" s="76"/>
      <c r="H689" s="76"/>
      <c r="I689" s="115"/>
      <c r="J689" s="100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 spans="1:20" ht="12.75">
      <c r="A690" s="26"/>
      <c r="B690" s="26"/>
      <c r="C690" s="26"/>
      <c r="D690" s="26"/>
      <c r="E690" s="26"/>
      <c r="F690" s="26"/>
      <c r="G690" s="76"/>
      <c r="H690" s="76"/>
      <c r="I690" s="115"/>
      <c r="J690" s="100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 spans="1:20" ht="12.75">
      <c r="A691" s="26"/>
      <c r="B691" s="26"/>
      <c r="C691" s="26"/>
      <c r="D691" s="26"/>
      <c r="E691" s="26"/>
      <c r="F691" s="26"/>
      <c r="G691" s="76"/>
      <c r="H691" s="76"/>
      <c r="I691" s="115"/>
      <c r="J691" s="100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 spans="1:20" ht="12.75">
      <c r="A692" s="26"/>
      <c r="B692" s="26"/>
      <c r="C692" s="26"/>
      <c r="D692" s="26"/>
      <c r="E692" s="26"/>
      <c r="F692" s="26"/>
      <c r="G692" s="76"/>
      <c r="H692" s="76"/>
      <c r="I692" s="115"/>
      <c r="J692" s="100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 spans="1:20" ht="12.75">
      <c r="A693" s="26"/>
      <c r="B693" s="26"/>
      <c r="C693" s="26"/>
      <c r="D693" s="26"/>
      <c r="E693" s="26"/>
      <c r="F693" s="26"/>
      <c r="G693" s="76"/>
      <c r="H693" s="76"/>
      <c r="I693" s="115"/>
      <c r="J693" s="100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 spans="1:20" ht="12.75">
      <c r="A694" s="26"/>
      <c r="B694" s="26"/>
      <c r="C694" s="26"/>
      <c r="D694" s="26"/>
      <c r="E694" s="26"/>
      <c r="F694" s="26"/>
      <c r="G694" s="76"/>
      <c r="H694" s="76"/>
      <c r="I694" s="115"/>
      <c r="J694" s="100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 spans="1:20" ht="12.75">
      <c r="A695" s="26"/>
      <c r="B695" s="26"/>
      <c r="C695" s="26"/>
      <c r="D695" s="26"/>
      <c r="E695" s="26"/>
      <c r="F695" s="26"/>
      <c r="G695" s="76"/>
      <c r="H695" s="76"/>
      <c r="I695" s="115"/>
      <c r="J695" s="100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 spans="1:20" ht="12.75">
      <c r="A696" s="26"/>
      <c r="B696" s="26"/>
      <c r="C696" s="26"/>
      <c r="D696" s="26"/>
      <c r="E696" s="26"/>
      <c r="F696" s="26"/>
      <c r="G696" s="76"/>
      <c r="H696" s="76"/>
      <c r="I696" s="115"/>
      <c r="J696" s="100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 spans="1:20" ht="12.75">
      <c r="A697" s="26"/>
      <c r="B697" s="26"/>
      <c r="C697" s="26"/>
      <c r="D697" s="26"/>
      <c r="E697" s="26"/>
      <c r="F697" s="26"/>
      <c r="G697" s="76"/>
      <c r="H697" s="76"/>
      <c r="I697" s="115"/>
      <c r="J697" s="100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 spans="1:20" ht="12.75">
      <c r="A698" s="26"/>
      <c r="B698" s="26"/>
      <c r="C698" s="26"/>
      <c r="D698" s="26"/>
      <c r="E698" s="26"/>
      <c r="F698" s="26"/>
      <c r="G698" s="76"/>
      <c r="H698" s="76"/>
      <c r="I698" s="115"/>
      <c r="J698" s="100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 spans="1:20" ht="12.75">
      <c r="A699" s="26"/>
      <c r="B699" s="26"/>
      <c r="C699" s="26"/>
      <c r="D699" s="26"/>
      <c r="E699" s="26"/>
      <c r="F699" s="26"/>
      <c r="G699" s="76"/>
      <c r="H699" s="76"/>
      <c r="I699" s="115"/>
      <c r="J699" s="100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 spans="1:20" ht="12.75">
      <c r="A700" s="26"/>
      <c r="B700" s="26"/>
      <c r="C700" s="26"/>
      <c r="D700" s="26"/>
      <c r="E700" s="26"/>
      <c r="F700" s="26"/>
      <c r="G700" s="76"/>
      <c r="H700" s="76"/>
      <c r="I700" s="115"/>
      <c r="J700" s="100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 spans="1:20" ht="12.75">
      <c r="A701" s="26"/>
      <c r="B701" s="26"/>
      <c r="C701" s="26"/>
      <c r="D701" s="26"/>
      <c r="E701" s="26"/>
      <c r="F701" s="26"/>
      <c r="G701" s="76"/>
      <c r="H701" s="76"/>
      <c r="I701" s="115"/>
      <c r="J701" s="100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 spans="1:20" ht="12.75">
      <c r="A702" s="26"/>
      <c r="B702" s="26"/>
      <c r="C702" s="26"/>
      <c r="D702" s="26"/>
      <c r="E702" s="26"/>
      <c r="F702" s="26"/>
      <c r="G702" s="76"/>
      <c r="H702" s="76"/>
      <c r="I702" s="115"/>
      <c r="J702" s="100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 spans="1:20" ht="12.75">
      <c r="A703" s="26"/>
      <c r="B703" s="26"/>
      <c r="C703" s="26"/>
      <c r="D703" s="26"/>
      <c r="E703" s="26"/>
      <c r="F703" s="26"/>
      <c r="G703" s="76"/>
      <c r="H703" s="76"/>
      <c r="I703" s="115"/>
      <c r="J703" s="100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 spans="1:20" ht="12.75">
      <c r="A704" s="26"/>
      <c r="B704" s="26"/>
      <c r="C704" s="26"/>
      <c r="D704" s="26"/>
      <c r="E704" s="26"/>
      <c r="F704" s="26"/>
      <c r="G704" s="76"/>
      <c r="H704" s="76"/>
      <c r="I704" s="115"/>
      <c r="J704" s="100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 spans="1:20" ht="12.75">
      <c r="A705" s="26"/>
      <c r="B705" s="26"/>
      <c r="C705" s="26"/>
      <c r="D705" s="26"/>
      <c r="E705" s="26"/>
      <c r="F705" s="26"/>
      <c r="G705" s="76"/>
      <c r="H705" s="76"/>
      <c r="I705" s="115"/>
      <c r="J705" s="100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 spans="1:20" ht="12.75">
      <c r="A706" s="26"/>
      <c r="B706" s="26"/>
      <c r="C706" s="26"/>
      <c r="D706" s="26"/>
      <c r="E706" s="26"/>
      <c r="F706" s="26"/>
      <c r="G706" s="76"/>
      <c r="H706" s="76"/>
      <c r="I706" s="115"/>
      <c r="J706" s="100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 spans="1:20" ht="12.75">
      <c r="A707" s="26"/>
      <c r="B707" s="26"/>
      <c r="C707" s="26"/>
      <c r="D707" s="26"/>
      <c r="E707" s="26"/>
      <c r="F707" s="26"/>
      <c r="G707" s="76"/>
      <c r="H707" s="76"/>
      <c r="I707" s="115"/>
      <c r="J707" s="100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 spans="1:20" ht="12.75">
      <c r="A708" s="26"/>
      <c r="B708" s="26"/>
      <c r="C708" s="26"/>
      <c r="D708" s="26"/>
      <c r="E708" s="26"/>
      <c r="F708" s="26"/>
      <c r="G708" s="76"/>
      <c r="H708" s="76"/>
      <c r="I708" s="115"/>
      <c r="J708" s="100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 spans="1:20" ht="12.75">
      <c r="A709" s="26"/>
      <c r="B709" s="26"/>
      <c r="C709" s="26"/>
      <c r="D709" s="26"/>
      <c r="E709" s="26"/>
      <c r="F709" s="26"/>
      <c r="G709" s="76"/>
      <c r="H709" s="76"/>
      <c r="I709" s="115"/>
      <c r="J709" s="100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 spans="1:20" ht="12.75">
      <c r="A710" s="26"/>
      <c r="B710" s="26"/>
      <c r="C710" s="26"/>
      <c r="D710" s="26"/>
      <c r="E710" s="26"/>
      <c r="F710" s="26"/>
      <c r="G710" s="76"/>
      <c r="H710" s="76"/>
      <c r="I710" s="115"/>
      <c r="J710" s="100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 spans="1:20" ht="12.75">
      <c r="A711" s="26"/>
      <c r="B711" s="26"/>
      <c r="C711" s="26"/>
      <c r="D711" s="26"/>
      <c r="E711" s="26"/>
      <c r="F711" s="26"/>
      <c r="G711" s="76"/>
      <c r="H711" s="76"/>
      <c r="I711" s="115"/>
      <c r="J711" s="100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 spans="1:20" ht="12.75">
      <c r="A712" s="26"/>
      <c r="B712" s="26"/>
      <c r="C712" s="26"/>
      <c r="D712" s="26"/>
      <c r="E712" s="26"/>
      <c r="F712" s="26"/>
      <c r="G712" s="76"/>
      <c r="H712" s="76"/>
      <c r="I712" s="115"/>
      <c r="J712" s="100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 spans="1:20" ht="12.75">
      <c r="A713" s="26"/>
      <c r="B713" s="26"/>
      <c r="C713" s="26"/>
      <c r="D713" s="26"/>
      <c r="E713" s="26"/>
      <c r="F713" s="26"/>
      <c r="G713" s="76"/>
      <c r="H713" s="76"/>
      <c r="I713" s="115"/>
      <c r="J713" s="100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 spans="1:20" ht="12.75">
      <c r="A714" s="26"/>
      <c r="B714" s="26"/>
      <c r="C714" s="26"/>
      <c r="D714" s="26"/>
      <c r="E714" s="26"/>
      <c r="F714" s="26"/>
      <c r="G714" s="76"/>
      <c r="H714" s="76"/>
      <c r="I714" s="115"/>
      <c r="J714" s="100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 spans="1:20" ht="12.75">
      <c r="A715" s="26"/>
      <c r="B715" s="26"/>
      <c r="C715" s="26"/>
      <c r="D715" s="26"/>
      <c r="E715" s="26"/>
      <c r="F715" s="26"/>
      <c r="G715" s="76"/>
      <c r="H715" s="76"/>
      <c r="I715" s="115"/>
      <c r="J715" s="100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 spans="1:20" ht="12.75">
      <c r="A716" s="26"/>
      <c r="B716" s="26"/>
      <c r="C716" s="26"/>
      <c r="D716" s="26"/>
      <c r="E716" s="26"/>
      <c r="F716" s="26"/>
      <c r="G716" s="76"/>
      <c r="H716" s="76"/>
      <c r="I716" s="115"/>
      <c r="J716" s="100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 spans="1:20" ht="12.75">
      <c r="A717" s="26"/>
      <c r="B717" s="26"/>
      <c r="C717" s="26"/>
      <c r="D717" s="26"/>
      <c r="E717" s="26"/>
      <c r="F717" s="26"/>
      <c r="G717" s="76"/>
      <c r="H717" s="76"/>
      <c r="I717" s="115"/>
      <c r="J717" s="100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 spans="1:20" ht="12.75">
      <c r="A718" s="26"/>
      <c r="B718" s="26"/>
      <c r="C718" s="26"/>
      <c r="D718" s="26"/>
      <c r="E718" s="26"/>
      <c r="F718" s="26"/>
      <c r="G718" s="76"/>
      <c r="H718" s="76"/>
      <c r="I718" s="115"/>
      <c r="J718" s="100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 spans="1:20" ht="12.75">
      <c r="A719" s="26"/>
      <c r="B719" s="26"/>
      <c r="C719" s="26"/>
      <c r="D719" s="26"/>
      <c r="E719" s="26"/>
      <c r="F719" s="26"/>
      <c r="G719" s="76"/>
      <c r="H719" s="76"/>
      <c r="I719" s="115"/>
      <c r="J719" s="100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 spans="1:20" ht="12.75">
      <c r="A720" s="26"/>
      <c r="B720" s="26"/>
      <c r="C720" s="26"/>
      <c r="D720" s="26"/>
      <c r="E720" s="26"/>
      <c r="F720" s="26"/>
      <c r="G720" s="76"/>
      <c r="H720" s="76"/>
      <c r="I720" s="115"/>
      <c r="J720" s="100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 spans="1:20" ht="12.75">
      <c r="A721" s="26"/>
      <c r="B721" s="26"/>
      <c r="C721" s="26"/>
      <c r="D721" s="26"/>
      <c r="E721" s="26"/>
      <c r="F721" s="26"/>
      <c r="G721" s="76"/>
      <c r="H721" s="76"/>
      <c r="I721" s="115"/>
      <c r="J721" s="100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 spans="1:20" ht="12.75">
      <c r="A722" s="26"/>
      <c r="B722" s="26"/>
      <c r="C722" s="26"/>
      <c r="D722" s="26"/>
      <c r="E722" s="26"/>
      <c r="F722" s="26"/>
      <c r="G722" s="76"/>
      <c r="H722" s="76"/>
      <c r="I722" s="115"/>
      <c r="J722" s="100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 spans="1:20" ht="12.75">
      <c r="A723" s="26"/>
      <c r="B723" s="26"/>
      <c r="C723" s="26"/>
      <c r="D723" s="26"/>
      <c r="E723" s="26"/>
      <c r="F723" s="26"/>
      <c r="G723" s="76"/>
      <c r="H723" s="76"/>
      <c r="I723" s="115"/>
      <c r="J723" s="100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 spans="1:20" ht="12.75">
      <c r="A724" s="26"/>
      <c r="B724" s="26"/>
      <c r="C724" s="26"/>
      <c r="D724" s="26"/>
      <c r="E724" s="26"/>
      <c r="F724" s="26"/>
      <c r="G724" s="76"/>
      <c r="H724" s="76"/>
      <c r="I724" s="115"/>
      <c r="J724" s="100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 spans="1:20" ht="12.75">
      <c r="A725" s="26"/>
      <c r="B725" s="26"/>
      <c r="C725" s="26"/>
      <c r="D725" s="26"/>
      <c r="E725" s="26"/>
      <c r="F725" s="26"/>
      <c r="G725" s="76"/>
      <c r="H725" s="76"/>
      <c r="I725" s="115"/>
      <c r="J725" s="100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 spans="1:20" ht="12.75">
      <c r="A726" s="26"/>
      <c r="B726" s="26"/>
      <c r="C726" s="26"/>
      <c r="D726" s="26"/>
      <c r="E726" s="26"/>
      <c r="F726" s="26"/>
      <c r="G726" s="76"/>
      <c r="H726" s="76"/>
      <c r="I726" s="115"/>
      <c r="J726" s="100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 spans="1:20" ht="12.75">
      <c r="A727" s="26"/>
      <c r="B727" s="26"/>
      <c r="C727" s="26"/>
      <c r="D727" s="26"/>
      <c r="E727" s="26"/>
      <c r="F727" s="26"/>
      <c r="G727" s="76"/>
      <c r="H727" s="76"/>
      <c r="I727" s="115"/>
      <c r="J727" s="100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 spans="1:20" ht="12.75">
      <c r="A728" s="26"/>
      <c r="B728" s="26"/>
      <c r="C728" s="26"/>
      <c r="D728" s="26"/>
      <c r="E728" s="26"/>
      <c r="F728" s="26"/>
      <c r="G728" s="76"/>
      <c r="H728" s="76"/>
      <c r="I728" s="115"/>
      <c r="J728" s="100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 spans="1:20" ht="12.75">
      <c r="A729" s="26"/>
      <c r="B729" s="26"/>
      <c r="C729" s="26"/>
      <c r="D729" s="26"/>
      <c r="E729" s="26"/>
      <c r="F729" s="26"/>
      <c r="G729" s="76"/>
      <c r="H729" s="76"/>
      <c r="I729" s="115"/>
      <c r="J729" s="100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 spans="1:20" ht="12.75">
      <c r="A730" s="26"/>
      <c r="B730" s="26"/>
      <c r="C730" s="26"/>
      <c r="D730" s="26"/>
      <c r="E730" s="26"/>
      <c r="F730" s="26"/>
      <c r="G730" s="76"/>
      <c r="H730" s="76"/>
      <c r="I730" s="115"/>
      <c r="J730" s="100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 spans="1:20" ht="12.75">
      <c r="A731" s="26"/>
      <c r="B731" s="26"/>
      <c r="C731" s="26"/>
      <c r="D731" s="26"/>
      <c r="E731" s="26"/>
      <c r="F731" s="26"/>
      <c r="G731" s="76"/>
      <c r="H731" s="76"/>
      <c r="I731" s="115"/>
      <c r="J731" s="100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 spans="1:20" ht="12.75">
      <c r="A732" s="26"/>
      <c r="B732" s="26"/>
      <c r="C732" s="26"/>
      <c r="D732" s="26"/>
      <c r="E732" s="26"/>
      <c r="F732" s="26"/>
      <c r="G732" s="76"/>
      <c r="H732" s="76"/>
      <c r="I732" s="115"/>
      <c r="J732" s="100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 spans="1:20" ht="12.75">
      <c r="A733" s="26"/>
      <c r="B733" s="26"/>
      <c r="C733" s="26"/>
      <c r="D733" s="26"/>
      <c r="E733" s="26"/>
      <c r="F733" s="26"/>
      <c r="G733" s="76"/>
      <c r="H733" s="76"/>
      <c r="I733" s="115"/>
      <c r="J733" s="100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 spans="1:20" ht="12.75">
      <c r="A734" s="26"/>
      <c r="B734" s="26"/>
      <c r="C734" s="26"/>
      <c r="D734" s="26"/>
      <c r="E734" s="26"/>
      <c r="F734" s="26"/>
      <c r="G734" s="76"/>
      <c r="H734" s="76"/>
      <c r="I734" s="115"/>
      <c r="J734" s="100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 spans="1:20" ht="12.75">
      <c r="A735" s="26"/>
      <c r="B735" s="26"/>
      <c r="C735" s="26"/>
      <c r="D735" s="26"/>
      <c r="E735" s="26"/>
      <c r="F735" s="26"/>
      <c r="G735" s="76"/>
      <c r="H735" s="76"/>
      <c r="I735" s="115"/>
      <c r="J735" s="100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 spans="1:20" ht="12.75">
      <c r="A736" s="26"/>
      <c r="B736" s="26"/>
      <c r="C736" s="26"/>
      <c r="D736" s="26"/>
      <c r="E736" s="26"/>
      <c r="F736" s="26"/>
      <c r="G736" s="76"/>
      <c r="H736" s="76"/>
      <c r="I736" s="115"/>
      <c r="J736" s="100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 spans="1:20" ht="12.75">
      <c r="A737" s="26"/>
      <c r="B737" s="26"/>
      <c r="C737" s="26"/>
      <c r="D737" s="26"/>
      <c r="E737" s="26"/>
      <c r="F737" s="26"/>
      <c r="G737" s="76"/>
      <c r="H737" s="76"/>
      <c r="I737" s="115"/>
      <c r="J737" s="100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 spans="1:20" ht="12.75">
      <c r="A738" s="26"/>
      <c r="B738" s="26"/>
      <c r="C738" s="26"/>
      <c r="D738" s="26"/>
      <c r="E738" s="26"/>
      <c r="F738" s="26"/>
      <c r="G738" s="76"/>
      <c r="H738" s="76"/>
      <c r="I738" s="115"/>
      <c r="J738" s="100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 spans="1:20" ht="12.75">
      <c r="A739" s="26"/>
      <c r="B739" s="26"/>
      <c r="C739" s="26"/>
      <c r="D739" s="26"/>
      <c r="E739" s="26"/>
      <c r="F739" s="26"/>
      <c r="G739" s="76"/>
      <c r="H739" s="76"/>
      <c r="I739" s="115"/>
      <c r="J739" s="100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 spans="1:20" ht="12.75">
      <c r="A740" s="26"/>
      <c r="B740" s="26"/>
      <c r="C740" s="26"/>
      <c r="D740" s="26"/>
      <c r="E740" s="26"/>
      <c r="F740" s="26"/>
      <c r="G740" s="76"/>
      <c r="H740" s="76"/>
      <c r="I740" s="115"/>
      <c r="J740" s="100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 spans="1:20" ht="12.75">
      <c r="A741" s="26"/>
      <c r="B741" s="26"/>
      <c r="C741" s="26"/>
      <c r="D741" s="26"/>
      <c r="E741" s="26"/>
      <c r="F741" s="26"/>
      <c r="G741" s="76"/>
      <c r="H741" s="76"/>
      <c r="I741" s="115"/>
      <c r="J741" s="100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 spans="1:20" ht="12.75">
      <c r="A742" s="26"/>
      <c r="B742" s="26"/>
      <c r="C742" s="26"/>
      <c r="D742" s="26"/>
      <c r="E742" s="26"/>
      <c r="F742" s="26"/>
      <c r="G742" s="76"/>
      <c r="H742" s="76"/>
      <c r="I742" s="115"/>
      <c r="J742" s="100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 spans="1:20" ht="12.75">
      <c r="A743" s="26"/>
      <c r="B743" s="26"/>
      <c r="C743" s="26"/>
      <c r="D743" s="26"/>
      <c r="E743" s="26"/>
      <c r="F743" s="26"/>
      <c r="G743" s="76"/>
      <c r="H743" s="76"/>
      <c r="I743" s="115"/>
      <c r="J743" s="100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 spans="1:20" ht="12.75">
      <c r="A744" s="26"/>
      <c r="B744" s="26"/>
      <c r="C744" s="26"/>
      <c r="D744" s="26"/>
      <c r="E744" s="26"/>
      <c r="F744" s="26"/>
      <c r="G744" s="76"/>
      <c r="H744" s="76"/>
      <c r="I744" s="115"/>
      <c r="J744" s="100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 spans="1:20" ht="12.75">
      <c r="A745" s="26"/>
      <c r="B745" s="26"/>
      <c r="C745" s="26"/>
      <c r="D745" s="26"/>
      <c r="E745" s="26"/>
      <c r="F745" s="26"/>
      <c r="G745" s="76"/>
      <c r="H745" s="76"/>
      <c r="I745" s="115"/>
      <c r="J745" s="100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 spans="1:20" ht="12.75">
      <c r="A746" s="26"/>
      <c r="B746" s="26"/>
      <c r="C746" s="26"/>
      <c r="D746" s="26"/>
      <c r="E746" s="26"/>
      <c r="F746" s="26"/>
      <c r="G746" s="76"/>
      <c r="H746" s="76"/>
      <c r="I746" s="115"/>
      <c r="J746" s="100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 spans="1:20" ht="12.75">
      <c r="A747" s="26"/>
      <c r="B747" s="26"/>
      <c r="C747" s="26"/>
      <c r="D747" s="26"/>
      <c r="E747" s="26"/>
      <c r="F747" s="26"/>
      <c r="G747" s="76"/>
      <c r="H747" s="76"/>
      <c r="I747" s="115"/>
      <c r="J747" s="100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 spans="1:20" ht="12.75">
      <c r="A748" s="26"/>
      <c r="B748" s="26"/>
      <c r="C748" s="26"/>
      <c r="D748" s="26"/>
      <c r="E748" s="26"/>
      <c r="F748" s="26"/>
      <c r="G748" s="76"/>
      <c r="H748" s="76"/>
      <c r="I748" s="115"/>
      <c r="J748" s="100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 spans="1:20" ht="12.75">
      <c r="A749" s="26"/>
      <c r="B749" s="26"/>
      <c r="C749" s="26"/>
      <c r="D749" s="26"/>
      <c r="E749" s="26"/>
      <c r="F749" s="26"/>
      <c r="G749" s="76"/>
      <c r="H749" s="76"/>
      <c r="I749" s="115"/>
      <c r="J749" s="100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 spans="1:20" ht="12.75">
      <c r="A750" s="26"/>
      <c r="B750" s="26"/>
      <c r="C750" s="26"/>
      <c r="D750" s="26"/>
      <c r="E750" s="26"/>
      <c r="F750" s="26"/>
      <c r="G750" s="76"/>
      <c r="H750" s="76"/>
      <c r="I750" s="115"/>
      <c r="J750" s="100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 spans="1:20" ht="12.75">
      <c r="A751" s="26"/>
      <c r="B751" s="26"/>
      <c r="C751" s="26"/>
      <c r="D751" s="26"/>
      <c r="E751" s="26"/>
      <c r="F751" s="26"/>
      <c r="G751" s="76"/>
      <c r="H751" s="76"/>
      <c r="I751" s="115"/>
      <c r="J751" s="100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 spans="1:20" ht="12.75">
      <c r="A752" s="26"/>
      <c r="B752" s="26"/>
      <c r="C752" s="26"/>
      <c r="D752" s="26"/>
      <c r="E752" s="26"/>
      <c r="F752" s="26"/>
      <c r="G752" s="76"/>
      <c r="H752" s="76"/>
      <c r="I752" s="115"/>
      <c r="J752" s="100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 spans="1:20" ht="12.75">
      <c r="A753" s="26"/>
      <c r="B753" s="26"/>
      <c r="C753" s="26"/>
      <c r="D753" s="26"/>
      <c r="E753" s="26"/>
      <c r="F753" s="26"/>
      <c r="G753" s="76"/>
      <c r="H753" s="76"/>
      <c r="I753" s="115"/>
      <c r="J753" s="100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 spans="1:20" ht="12.75">
      <c r="A754" s="26"/>
      <c r="B754" s="26"/>
      <c r="C754" s="26"/>
      <c r="D754" s="26"/>
      <c r="E754" s="26"/>
      <c r="F754" s="26"/>
      <c r="G754" s="76"/>
      <c r="H754" s="76"/>
      <c r="I754" s="115"/>
      <c r="J754" s="100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 spans="1:20" ht="12.75">
      <c r="A755" s="26"/>
      <c r="B755" s="26"/>
      <c r="C755" s="26"/>
      <c r="D755" s="26"/>
      <c r="E755" s="26"/>
      <c r="F755" s="26"/>
      <c r="G755" s="76"/>
      <c r="H755" s="76"/>
      <c r="I755" s="115"/>
      <c r="J755" s="100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 spans="1:20" ht="12.75">
      <c r="A756" s="26"/>
      <c r="B756" s="26"/>
      <c r="C756" s="26"/>
      <c r="D756" s="26"/>
      <c r="E756" s="26"/>
      <c r="F756" s="26"/>
      <c r="G756" s="76"/>
      <c r="H756" s="76"/>
      <c r="I756" s="115"/>
      <c r="J756" s="100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 spans="1:20" ht="12.75">
      <c r="A757" s="26"/>
      <c r="B757" s="26"/>
      <c r="C757" s="26"/>
      <c r="D757" s="26"/>
      <c r="E757" s="26"/>
      <c r="F757" s="26"/>
      <c r="G757" s="76"/>
      <c r="H757" s="76"/>
      <c r="I757" s="115"/>
      <c r="J757" s="100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 spans="1:20" ht="12.75">
      <c r="A758" s="26"/>
      <c r="B758" s="26"/>
      <c r="C758" s="26"/>
      <c r="D758" s="26"/>
      <c r="E758" s="26"/>
      <c r="F758" s="26"/>
      <c r="G758" s="76"/>
      <c r="H758" s="76"/>
      <c r="I758" s="115"/>
      <c r="J758" s="100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 spans="1:20" ht="12.75">
      <c r="A759" s="26"/>
      <c r="B759" s="26"/>
      <c r="C759" s="26"/>
      <c r="D759" s="26"/>
      <c r="E759" s="26"/>
      <c r="F759" s="26"/>
      <c r="G759" s="76"/>
      <c r="H759" s="76"/>
      <c r="I759" s="115"/>
      <c r="J759" s="100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 spans="1:20" ht="12.75">
      <c r="A760" s="26"/>
      <c r="B760" s="26"/>
      <c r="C760" s="26"/>
      <c r="D760" s="26"/>
      <c r="E760" s="26"/>
      <c r="F760" s="26"/>
      <c r="G760" s="76"/>
      <c r="H760" s="76"/>
      <c r="I760" s="115"/>
      <c r="J760" s="100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 spans="1:20" ht="12.75">
      <c r="A761" s="26"/>
      <c r="B761" s="26"/>
      <c r="C761" s="26"/>
      <c r="D761" s="26"/>
      <c r="E761" s="26"/>
      <c r="F761" s="26"/>
      <c r="G761" s="76"/>
      <c r="H761" s="76"/>
      <c r="I761" s="115"/>
      <c r="J761" s="100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 spans="1:20" ht="12.75">
      <c r="A762" s="26"/>
      <c r="B762" s="26"/>
      <c r="C762" s="26"/>
      <c r="D762" s="26"/>
      <c r="E762" s="26"/>
      <c r="F762" s="26"/>
      <c r="G762" s="76"/>
      <c r="H762" s="76"/>
      <c r="I762" s="115"/>
      <c r="J762" s="100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 spans="1:20" ht="12.75">
      <c r="A763" s="26"/>
      <c r="B763" s="26"/>
      <c r="C763" s="26"/>
      <c r="D763" s="26"/>
      <c r="E763" s="26"/>
      <c r="F763" s="26"/>
      <c r="G763" s="76"/>
      <c r="H763" s="76"/>
      <c r="I763" s="115"/>
      <c r="J763" s="100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 spans="1:20" ht="12.75">
      <c r="A764" s="26"/>
      <c r="B764" s="26"/>
      <c r="C764" s="26"/>
      <c r="D764" s="26"/>
      <c r="E764" s="26"/>
      <c r="F764" s="26"/>
      <c r="G764" s="76"/>
      <c r="H764" s="76"/>
      <c r="I764" s="115"/>
      <c r="J764" s="100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 spans="1:20" ht="12.75">
      <c r="A765" s="26"/>
      <c r="B765" s="26"/>
      <c r="C765" s="26"/>
      <c r="D765" s="26"/>
      <c r="E765" s="26"/>
      <c r="F765" s="26"/>
      <c r="G765" s="76"/>
      <c r="H765" s="76"/>
      <c r="I765" s="115"/>
      <c r="J765" s="100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 spans="1:20" ht="12.75">
      <c r="A766" s="26"/>
      <c r="B766" s="26"/>
      <c r="C766" s="26"/>
      <c r="D766" s="26"/>
      <c r="E766" s="26"/>
      <c r="F766" s="26"/>
      <c r="G766" s="76"/>
      <c r="H766" s="76"/>
      <c r="I766" s="115"/>
      <c r="J766" s="100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 spans="1:20" ht="12.75">
      <c r="A767" s="26"/>
      <c r="B767" s="26"/>
      <c r="C767" s="26"/>
      <c r="D767" s="26"/>
      <c r="E767" s="26"/>
      <c r="F767" s="26"/>
      <c r="G767" s="76"/>
      <c r="H767" s="76"/>
      <c r="I767" s="115"/>
      <c r="J767" s="100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 spans="1:20" ht="12.75">
      <c r="A768" s="26"/>
      <c r="B768" s="26"/>
      <c r="C768" s="26"/>
      <c r="D768" s="26"/>
      <c r="E768" s="26"/>
      <c r="F768" s="26"/>
      <c r="G768" s="76"/>
      <c r="H768" s="76"/>
      <c r="I768" s="115"/>
      <c r="J768" s="100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 spans="1:20" ht="12.75">
      <c r="A769" s="26"/>
      <c r="B769" s="26"/>
      <c r="C769" s="26"/>
      <c r="D769" s="26"/>
      <c r="E769" s="26"/>
      <c r="F769" s="26"/>
      <c r="G769" s="76"/>
      <c r="H769" s="76"/>
      <c r="I769" s="115"/>
      <c r="J769" s="100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 spans="1:20" ht="12.75">
      <c r="A770" s="26"/>
      <c r="B770" s="26"/>
      <c r="C770" s="26"/>
      <c r="D770" s="26"/>
      <c r="E770" s="26"/>
      <c r="F770" s="26"/>
      <c r="G770" s="76"/>
      <c r="H770" s="76"/>
      <c r="I770" s="115"/>
      <c r="J770" s="100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 spans="1:20" ht="12.75">
      <c r="A771" s="26"/>
      <c r="B771" s="26"/>
      <c r="C771" s="26"/>
      <c r="D771" s="26"/>
      <c r="E771" s="26"/>
      <c r="F771" s="26"/>
      <c r="G771" s="76"/>
      <c r="H771" s="76"/>
      <c r="I771" s="115"/>
      <c r="J771" s="100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 spans="1:20" ht="12.75">
      <c r="A772" s="26"/>
      <c r="B772" s="26"/>
      <c r="C772" s="26"/>
      <c r="D772" s="26"/>
      <c r="E772" s="26"/>
      <c r="F772" s="26"/>
      <c r="G772" s="76"/>
      <c r="H772" s="76"/>
      <c r="I772" s="115"/>
      <c r="J772" s="100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 spans="1:20" ht="12.75">
      <c r="A773" s="26"/>
      <c r="B773" s="26"/>
      <c r="C773" s="26"/>
      <c r="D773" s="26"/>
      <c r="E773" s="26"/>
      <c r="F773" s="26"/>
      <c r="G773" s="76"/>
      <c r="H773" s="76"/>
      <c r="I773" s="115"/>
      <c r="J773" s="100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 spans="1:20" ht="12.75">
      <c r="A774" s="26"/>
      <c r="B774" s="26"/>
      <c r="C774" s="26"/>
      <c r="D774" s="26"/>
      <c r="E774" s="26"/>
      <c r="F774" s="26"/>
      <c r="G774" s="76"/>
      <c r="H774" s="76"/>
      <c r="I774" s="115"/>
      <c r="J774" s="100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 spans="1:20" ht="12.75">
      <c r="A775" s="26"/>
      <c r="B775" s="26"/>
      <c r="C775" s="26"/>
      <c r="D775" s="26"/>
      <c r="E775" s="26"/>
      <c r="F775" s="26"/>
      <c r="G775" s="76"/>
      <c r="H775" s="76"/>
      <c r="I775" s="115"/>
      <c r="J775" s="100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 spans="1:20" ht="12.75">
      <c r="A776" s="26"/>
      <c r="B776" s="26"/>
      <c r="C776" s="26"/>
      <c r="D776" s="26"/>
      <c r="E776" s="26"/>
      <c r="F776" s="26"/>
      <c r="G776" s="76"/>
      <c r="H776" s="76"/>
      <c r="I776" s="115"/>
      <c r="J776" s="100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 spans="1:20" ht="12.75">
      <c r="A777" s="26"/>
      <c r="B777" s="26"/>
      <c r="C777" s="26"/>
      <c r="D777" s="26"/>
      <c r="E777" s="26"/>
      <c r="F777" s="26"/>
      <c r="G777" s="76"/>
      <c r="H777" s="76"/>
      <c r="I777" s="115"/>
      <c r="J777" s="100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 spans="1:20" ht="12.75">
      <c r="A778" s="26"/>
      <c r="B778" s="26"/>
      <c r="C778" s="26"/>
      <c r="D778" s="26"/>
      <c r="E778" s="26"/>
      <c r="F778" s="26"/>
      <c r="G778" s="76"/>
      <c r="H778" s="76"/>
      <c r="I778" s="115"/>
      <c r="J778" s="100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 spans="1:20" ht="12.75">
      <c r="A779" s="26"/>
      <c r="B779" s="26"/>
      <c r="C779" s="26"/>
      <c r="D779" s="26"/>
      <c r="E779" s="26"/>
      <c r="F779" s="26"/>
      <c r="G779" s="76"/>
      <c r="H779" s="76"/>
      <c r="I779" s="115"/>
      <c r="J779" s="100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 spans="1:20" ht="12.75">
      <c r="A780" s="26"/>
      <c r="B780" s="26"/>
      <c r="C780" s="26"/>
      <c r="D780" s="26"/>
      <c r="E780" s="26"/>
      <c r="F780" s="26"/>
      <c r="G780" s="76"/>
      <c r="H780" s="76"/>
      <c r="I780" s="115"/>
      <c r="J780" s="100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 spans="1:20" ht="12.75">
      <c r="A781" s="26"/>
      <c r="B781" s="26"/>
      <c r="C781" s="26"/>
      <c r="D781" s="26"/>
      <c r="E781" s="26"/>
      <c r="F781" s="26"/>
      <c r="G781" s="76"/>
      <c r="H781" s="76"/>
      <c r="I781" s="115"/>
      <c r="J781" s="100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 spans="1:20" ht="12.75">
      <c r="A782" s="26"/>
      <c r="B782" s="26"/>
      <c r="C782" s="26"/>
      <c r="D782" s="26"/>
      <c r="E782" s="26"/>
      <c r="F782" s="26"/>
      <c r="G782" s="76"/>
      <c r="H782" s="76"/>
      <c r="I782" s="115"/>
      <c r="J782" s="100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 spans="1:20" ht="12.75">
      <c r="A783" s="26"/>
      <c r="B783" s="26"/>
      <c r="C783" s="26"/>
      <c r="D783" s="26"/>
      <c r="E783" s="26"/>
      <c r="F783" s="26"/>
      <c r="G783" s="76"/>
      <c r="H783" s="76"/>
      <c r="I783" s="115"/>
      <c r="J783" s="100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 spans="1:20" ht="12.75">
      <c r="A784" s="26"/>
      <c r="B784" s="26"/>
      <c r="C784" s="26"/>
      <c r="D784" s="26"/>
      <c r="E784" s="26"/>
      <c r="F784" s="26"/>
      <c r="G784" s="76"/>
      <c r="H784" s="76"/>
      <c r="I784" s="115"/>
      <c r="J784" s="100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 spans="1:20" ht="12.75">
      <c r="A785" s="26"/>
      <c r="B785" s="26"/>
      <c r="C785" s="26"/>
      <c r="D785" s="26"/>
      <c r="E785" s="26"/>
      <c r="F785" s="26"/>
      <c r="G785" s="76"/>
      <c r="H785" s="76"/>
      <c r="I785" s="115"/>
      <c r="J785" s="100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 spans="1:20" ht="12.75">
      <c r="A786" s="26"/>
      <c r="B786" s="26"/>
      <c r="C786" s="26"/>
      <c r="D786" s="26"/>
      <c r="E786" s="26"/>
      <c r="F786" s="26"/>
      <c r="G786" s="76"/>
      <c r="H786" s="76"/>
      <c r="I786" s="115"/>
      <c r="J786" s="100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 spans="1:20" ht="12.75">
      <c r="A787" s="26"/>
      <c r="B787" s="26"/>
      <c r="C787" s="26"/>
      <c r="D787" s="26"/>
      <c r="E787" s="26"/>
      <c r="F787" s="26"/>
      <c r="G787" s="76"/>
      <c r="H787" s="76"/>
      <c r="I787" s="115"/>
      <c r="J787" s="100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 spans="1:20" ht="12.75">
      <c r="A788" s="26"/>
      <c r="B788" s="26"/>
      <c r="C788" s="26"/>
      <c r="D788" s="26"/>
      <c r="E788" s="26"/>
      <c r="F788" s="26"/>
      <c r="G788" s="76"/>
      <c r="H788" s="76"/>
      <c r="I788" s="115"/>
      <c r="J788" s="100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 spans="1:20" ht="12.75">
      <c r="A789" s="26"/>
      <c r="B789" s="26"/>
      <c r="C789" s="26"/>
      <c r="D789" s="26"/>
      <c r="E789" s="26"/>
      <c r="F789" s="26"/>
      <c r="G789" s="76"/>
      <c r="H789" s="76"/>
      <c r="I789" s="115"/>
      <c r="J789" s="100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 spans="1:20" ht="12.75">
      <c r="A790" s="26"/>
      <c r="B790" s="26"/>
      <c r="C790" s="26"/>
      <c r="D790" s="26"/>
      <c r="E790" s="26"/>
      <c r="F790" s="26"/>
      <c r="G790" s="76"/>
      <c r="H790" s="76"/>
      <c r="I790" s="115"/>
      <c r="J790" s="100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 spans="1:20" ht="12.75">
      <c r="A791" s="26"/>
      <c r="B791" s="26"/>
      <c r="C791" s="26"/>
      <c r="D791" s="26"/>
      <c r="E791" s="26"/>
      <c r="F791" s="26"/>
      <c r="G791" s="76"/>
      <c r="H791" s="76"/>
      <c r="I791" s="115"/>
      <c r="J791" s="100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 spans="1:20" ht="12.75">
      <c r="A792" s="26"/>
      <c r="B792" s="26"/>
      <c r="C792" s="26"/>
      <c r="D792" s="26"/>
      <c r="E792" s="26"/>
      <c r="F792" s="26"/>
      <c r="G792" s="76"/>
      <c r="H792" s="76"/>
      <c r="I792" s="115"/>
      <c r="J792" s="100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 spans="1:20" ht="12.75">
      <c r="A793" s="26"/>
      <c r="B793" s="26"/>
      <c r="C793" s="26"/>
      <c r="D793" s="26"/>
      <c r="E793" s="26"/>
      <c r="F793" s="26"/>
      <c r="G793" s="76"/>
      <c r="H793" s="76"/>
      <c r="I793" s="115"/>
      <c r="J793" s="100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 spans="1:20" ht="12.75">
      <c r="A794" s="26"/>
      <c r="B794" s="26"/>
      <c r="C794" s="26"/>
      <c r="D794" s="26"/>
      <c r="E794" s="26"/>
      <c r="F794" s="26"/>
      <c r="G794" s="76"/>
      <c r="H794" s="76"/>
      <c r="I794" s="115"/>
      <c r="J794" s="100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 spans="1:20" ht="12.75">
      <c r="A795" s="26"/>
      <c r="B795" s="26"/>
      <c r="C795" s="26"/>
      <c r="D795" s="26"/>
      <c r="E795" s="26"/>
      <c r="F795" s="26"/>
      <c r="G795" s="76"/>
      <c r="H795" s="76"/>
      <c r="I795" s="115"/>
      <c r="J795" s="100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 spans="1:20" ht="12.75">
      <c r="A796" s="26"/>
      <c r="B796" s="26"/>
      <c r="C796" s="26"/>
      <c r="D796" s="26"/>
      <c r="E796" s="26"/>
      <c r="F796" s="26"/>
      <c r="G796" s="76"/>
      <c r="H796" s="76"/>
      <c r="I796" s="115"/>
      <c r="J796" s="100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 spans="1:20" ht="12.75">
      <c r="A797" s="26"/>
      <c r="B797" s="26"/>
      <c r="C797" s="26"/>
      <c r="D797" s="26"/>
      <c r="E797" s="26"/>
      <c r="F797" s="26"/>
      <c r="G797" s="76"/>
      <c r="H797" s="76"/>
      <c r="I797" s="115"/>
      <c r="J797" s="100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 spans="1:20" ht="12.75">
      <c r="A798" s="26"/>
      <c r="B798" s="26"/>
      <c r="C798" s="26"/>
      <c r="D798" s="26"/>
      <c r="E798" s="26"/>
      <c r="F798" s="26"/>
      <c r="G798" s="76"/>
      <c r="H798" s="76"/>
      <c r="I798" s="115"/>
      <c r="J798" s="100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 spans="1:20" ht="12.75">
      <c r="A799" s="26"/>
      <c r="B799" s="26"/>
      <c r="C799" s="26"/>
      <c r="D799" s="26"/>
      <c r="E799" s="26"/>
      <c r="F799" s="26"/>
      <c r="G799" s="76"/>
      <c r="H799" s="76"/>
      <c r="I799" s="115"/>
      <c r="J799" s="100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 spans="1:20" ht="12.75">
      <c r="A800" s="26"/>
      <c r="B800" s="26"/>
      <c r="C800" s="26"/>
      <c r="D800" s="26"/>
      <c r="E800" s="26"/>
      <c r="F800" s="26"/>
      <c r="G800" s="76"/>
      <c r="H800" s="76"/>
      <c r="I800" s="115"/>
      <c r="J800" s="100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 spans="1:20" ht="12.75">
      <c r="A801" s="26"/>
      <c r="B801" s="26"/>
      <c r="C801" s="26"/>
      <c r="D801" s="26"/>
      <c r="E801" s="26"/>
      <c r="F801" s="26"/>
      <c r="G801" s="76"/>
      <c r="H801" s="76"/>
      <c r="I801" s="115"/>
      <c r="J801" s="100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 spans="1:20" ht="12.75">
      <c r="A802" s="26"/>
      <c r="B802" s="26"/>
      <c r="C802" s="26"/>
      <c r="D802" s="26"/>
      <c r="E802" s="26"/>
      <c r="F802" s="26"/>
      <c r="G802" s="76"/>
      <c r="H802" s="76"/>
      <c r="I802" s="115"/>
      <c r="J802" s="100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 spans="1:20" ht="12.75">
      <c r="A803" s="26"/>
      <c r="B803" s="26"/>
      <c r="C803" s="26"/>
      <c r="D803" s="26"/>
      <c r="E803" s="26"/>
      <c r="F803" s="26"/>
      <c r="G803" s="76"/>
      <c r="H803" s="76"/>
      <c r="I803" s="115"/>
      <c r="J803" s="100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 spans="1:20" ht="12.75">
      <c r="A804" s="26"/>
      <c r="B804" s="26"/>
      <c r="C804" s="26"/>
      <c r="D804" s="26"/>
      <c r="E804" s="26"/>
      <c r="F804" s="26"/>
      <c r="G804" s="76"/>
      <c r="H804" s="76"/>
      <c r="I804" s="115"/>
      <c r="J804" s="100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 spans="1:20" ht="12.75">
      <c r="A805" s="26"/>
      <c r="B805" s="26"/>
      <c r="C805" s="26"/>
      <c r="D805" s="26"/>
      <c r="E805" s="26"/>
      <c r="F805" s="26"/>
      <c r="G805" s="76"/>
      <c r="H805" s="76"/>
      <c r="I805" s="115"/>
      <c r="J805" s="100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 spans="1:20" ht="12.75">
      <c r="A806" s="26"/>
      <c r="B806" s="26"/>
      <c r="C806" s="26"/>
      <c r="D806" s="26"/>
      <c r="E806" s="26"/>
      <c r="F806" s="26"/>
      <c r="G806" s="76"/>
      <c r="H806" s="76"/>
      <c r="I806" s="115"/>
      <c r="J806" s="100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 spans="1:20" ht="12.75">
      <c r="A807" s="26"/>
      <c r="B807" s="26"/>
      <c r="C807" s="26"/>
      <c r="D807" s="26"/>
      <c r="E807" s="26"/>
      <c r="F807" s="26"/>
      <c r="G807" s="76"/>
      <c r="H807" s="76"/>
      <c r="I807" s="115"/>
      <c r="J807" s="100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 spans="1:20" ht="12.75">
      <c r="A808" s="26"/>
      <c r="B808" s="26"/>
      <c r="C808" s="26"/>
      <c r="D808" s="26"/>
      <c r="E808" s="26"/>
      <c r="F808" s="26"/>
      <c r="G808" s="76"/>
      <c r="H808" s="76"/>
      <c r="I808" s="115"/>
      <c r="J808" s="100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 spans="1:20" ht="12.75">
      <c r="A809" s="26"/>
      <c r="B809" s="26"/>
      <c r="C809" s="26"/>
      <c r="D809" s="26"/>
      <c r="E809" s="26"/>
      <c r="F809" s="26"/>
      <c r="G809" s="76"/>
      <c r="H809" s="76"/>
      <c r="I809" s="115"/>
      <c r="J809" s="100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 spans="1:20" ht="12.75">
      <c r="A810" s="26"/>
      <c r="B810" s="26"/>
      <c r="C810" s="26"/>
      <c r="D810" s="26"/>
      <c r="E810" s="26"/>
      <c r="F810" s="26"/>
      <c r="G810" s="76"/>
      <c r="H810" s="76"/>
      <c r="I810" s="115"/>
      <c r="J810" s="100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 spans="1:20" ht="12.75">
      <c r="A811" s="26"/>
      <c r="B811" s="26"/>
      <c r="C811" s="26"/>
      <c r="D811" s="26"/>
      <c r="E811" s="26"/>
      <c r="F811" s="26"/>
      <c r="G811" s="76"/>
      <c r="H811" s="76"/>
      <c r="I811" s="115"/>
      <c r="J811" s="100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 spans="1:20" ht="12.75">
      <c r="A812" s="26"/>
      <c r="B812" s="26"/>
      <c r="C812" s="26"/>
      <c r="D812" s="26"/>
      <c r="E812" s="26"/>
      <c r="F812" s="26"/>
      <c r="G812" s="76"/>
      <c r="H812" s="76"/>
      <c r="I812" s="115"/>
      <c r="J812" s="100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 spans="1:20" ht="12.75">
      <c r="A813" s="26"/>
      <c r="B813" s="26"/>
      <c r="C813" s="26"/>
      <c r="D813" s="26"/>
      <c r="E813" s="26"/>
      <c r="F813" s="26"/>
      <c r="G813" s="76"/>
      <c r="H813" s="76"/>
      <c r="I813" s="115"/>
      <c r="J813" s="100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 spans="1:20" ht="12.75">
      <c r="A814" s="26"/>
      <c r="B814" s="26"/>
      <c r="C814" s="26"/>
      <c r="D814" s="26"/>
      <c r="E814" s="26"/>
      <c r="F814" s="26"/>
      <c r="G814" s="76"/>
      <c r="H814" s="76"/>
      <c r="I814" s="115"/>
      <c r="J814" s="100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 spans="1:20" ht="12.75">
      <c r="A815" s="26"/>
      <c r="B815" s="26"/>
      <c r="C815" s="26"/>
      <c r="D815" s="26"/>
      <c r="E815" s="26"/>
      <c r="F815" s="26"/>
      <c r="G815" s="76"/>
      <c r="H815" s="76"/>
      <c r="I815" s="115"/>
      <c r="J815" s="100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 spans="1:20" ht="12.75">
      <c r="A816" s="26"/>
      <c r="B816" s="26"/>
      <c r="C816" s="26"/>
      <c r="D816" s="26"/>
      <c r="E816" s="26"/>
      <c r="F816" s="26"/>
      <c r="G816" s="76"/>
      <c r="H816" s="76"/>
      <c r="I816" s="115"/>
      <c r="J816" s="100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 spans="1:20" ht="12.75">
      <c r="A817" s="26"/>
      <c r="B817" s="26"/>
      <c r="C817" s="26"/>
      <c r="D817" s="26"/>
      <c r="E817" s="26"/>
      <c r="F817" s="26"/>
      <c r="G817" s="76"/>
      <c r="H817" s="76"/>
      <c r="I817" s="115"/>
      <c r="J817" s="100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 spans="1:20" ht="12.75">
      <c r="A818" s="26"/>
      <c r="B818" s="26"/>
      <c r="C818" s="26"/>
      <c r="D818" s="26"/>
      <c r="E818" s="26"/>
      <c r="F818" s="26"/>
      <c r="G818" s="76"/>
      <c r="H818" s="76"/>
      <c r="I818" s="115"/>
      <c r="J818" s="100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 spans="1:20" ht="12.75">
      <c r="A819" s="26"/>
      <c r="B819" s="26"/>
      <c r="C819" s="26"/>
      <c r="D819" s="26"/>
      <c r="E819" s="26"/>
      <c r="F819" s="26"/>
      <c r="G819" s="76"/>
      <c r="H819" s="76"/>
      <c r="I819" s="115"/>
      <c r="J819" s="100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 spans="1:20" ht="12.75">
      <c r="A820" s="26"/>
      <c r="B820" s="26"/>
      <c r="C820" s="26"/>
      <c r="D820" s="26"/>
      <c r="E820" s="26"/>
      <c r="F820" s="26"/>
      <c r="G820" s="76"/>
      <c r="H820" s="76"/>
      <c r="I820" s="115"/>
      <c r="J820" s="100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 spans="1:20" ht="12.75">
      <c r="A821" s="26"/>
      <c r="B821" s="26"/>
      <c r="C821" s="26"/>
      <c r="D821" s="26"/>
      <c r="E821" s="26"/>
      <c r="F821" s="26"/>
      <c r="G821" s="76"/>
      <c r="H821" s="76"/>
      <c r="I821" s="115"/>
      <c r="J821" s="100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 spans="1:20" ht="12.75">
      <c r="A822" s="26"/>
      <c r="B822" s="26"/>
      <c r="C822" s="26"/>
      <c r="D822" s="26"/>
      <c r="E822" s="26"/>
      <c r="F822" s="26"/>
      <c r="G822" s="76"/>
      <c r="H822" s="76"/>
      <c r="I822" s="115"/>
      <c r="J822" s="100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 spans="1:20" ht="12.75">
      <c r="A823" s="26"/>
      <c r="B823" s="26"/>
      <c r="C823" s="26"/>
      <c r="D823" s="26"/>
      <c r="E823" s="26"/>
      <c r="F823" s="26"/>
      <c r="G823" s="76"/>
      <c r="H823" s="76"/>
      <c r="I823" s="115"/>
      <c r="J823" s="100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 spans="1:20" ht="12.75">
      <c r="A824" s="26"/>
      <c r="B824" s="26"/>
      <c r="C824" s="26"/>
      <c r="D824" s="26"/>
      <c r="E824" s="26"/>
      <c r="F824" s="26"/>
      <c r="G824" s="76"/>
      <c r="H824" s="76"/>
      <c r="I824" s="115"/>
      <c r="J824" s="100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 spans="1:20" ht="12.75">
      <c r="A825" s="26"/>
      <c r="B825" s="26"/>
      <c r="C825" s="26"/>
      <c r="D825" s="26"/>
      <c r="E825" s="26"/>
      <c r="F825" s="26"/>
      <c r="G825" s="76"/>
      <c r="H825" s="76"/>
      <c r="I825" s="115"/>
      <c r="J825" s="100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 spans="1:20" ht="12.75">
      <c r="A826" s="26"/>
      <c r="B826" s="26"/>
      <c r="C826" s="26"/>
      <c r="D826" s="26"/>
      <c r="E826" s="26"/>
      <c r="F826" s="26"/>
      <c r="G826" s="76"/>
      <c r="H826" s="76"/>
      <c r="I826" s="115"/>
      <c r="J826" s="100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 spans="1:20" ht="12.75">
      <c r="A827" s="26"/>
      <c r="B827" s="26"/>
      <c r="C827" s="26"/>
      <c r="D827" s="26"/>
      <c r="E827" s="26"/>
      <c r="F827" s="26"/>
      <c r="G827" s="76"/>
      <c r="H827" s="76"/>
      <c r="I827" s="115"/>
      <c r="J827" s="100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 spans="1:20" ht="12.75">
      <c r="A828" s="26"/>
      <c r="B828" s="26"/>
      <c r="C828" s="26"/>
      <c r="D828" s="26"/>
      <c r="E828" s="26"/>
      <c r="F828" s="26"/>
      <c r="G828" s="76"/>
      <c r="H828" s="76"/>
      <c r="I828" s="115"/>
      <c r="J828" s="100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 spans="1:20" ht="12.75">
      <c r="A829" s="26"/>
      <c r="B829" s="26"/>
      <c r="C829" s="26"/>
      <c r="D829" s="26"/>
      <c r="E829" s="26"/>
      <c r="F829" s="26"/>
      <c r="G829" s="76"/>
      <c r="H829" s="76"/>
      <c r="I829" s="115"/>
      <c r="J829" s="100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 spans="1:20" ht="12.75">
      <c r="A830" s="26"/>
      <c r="B830" s="26"/>
      <c r="C830" s="26"/>
      <c r="D830" s="26"/>
      <c r="E830" s="26"/>
      <c r="F830" s="26"/>
      <c r="G830" s="76"/>
      <c r="H830" s="76"/>
      <c r="I830" s="115"/>
      <c r="J830" s="100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 spans="1:20" ht="12.75">
      <c r="A831" s="26"/>
      <c r="B831" s="26"/>
      <c r="C831" s="26"/>
      <c r="D831" s="26"/>
      <c r="E831" s="26"/>
      <c r="F831" s="26"/>
      <c r="G831" s="76"/>
      <c r="H831" s="76"/>
      <c r="I831" s="115"/>
      <c r="J831" s="100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 spans="1:20" ht="12.75">
      <c r="A832" s="26"/>
      <c r="B832" s="26"/>
      <c r="C832" s="26"/>
      <c r="D832" s="26"/>
      <c r="E832" s="26"/>
      <c r="F832" s="26"/>
      <c r="G832" s="76"/>
      <c r="H832" s="76"/>
      <c r="I832" s="115"/>
      <c r="J832" s="100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 spans="1:20" ht="12.75">
      <c r="A833" s="26"/>
      <c r="B833" s="26"/>
      <c r="C833" s="26"/>
      <c r="D833" s="26"/>
      <c r="E833" s="26"/>
      <c r="F833" s="26"/>
      <c r="G833" s="76"/>
      <c r="H833" s="76"/>
      <c r="I833" s="115"/>
      <c r="J833" s="100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 spans="1:20" ht="12.75">
      <c r="A834" s="26"/>
      <c r="B834" s="26"/>
      <c r="C834" s="26"/>
      <c r="D834" s="26"/>
      <c r="E834" s="26"/>
      <c r="F834" s="26"/>
      <c r="G834" s="76"/>
      <c r="H834" s="76"/>
      <c r="I834" s="115"/>
      <c r="J834" s="100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 spans="1:20" ht="12.75">
      <c r="A835" s="26"/>
      <c r="B835" s="26"/>
      <c r="C835" s="26"/>
      <c r="D835" s="26"/>
      <c r="E835" s="26"/>
      <c r="F835" s="26"/>
      <c r="G835" s="76"/>
      <c r="H835" s="76"/>
      <c r="I835" s="115"/>
      <c r="J835" s="100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 spans="1:20" ht="12.75">
      <c r="A836" s="26"/>
      <c r="B836" s="26"/>
      <c r="C836" s="26"/>
      <c r="D836" s="26"/>
      <c r="E836" s="26"/>
      <c r="F836" s="26"/>
      <c r="G836" s="76"/>
      <c r="H836" s="76"/>
      <c r="I836" s="115"/>
      <c r="J836" s="100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 spans="1:20" ht="12.75">
      <c r="A837" s="26"/>
      <c r="B837" s="26"/>
      <c r="C837" s="26"/>
      <c r="D837" s="26"/>
      <c r="E837" s="26"/>
      <c r="F837" s="26"/>
      <c r="G837" s="76"/>
      <c r="H837" s="76"/>
      <c r="I837" s="115"/>
      <c r="J837" s="100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 spans="1:20" ht="12.75">
      <c r="A838" s="26"/>
      <c r="B838" s="26"/>
      <c r="C838" s="26"/>
      <c r="D838" s="26"/>
      <c r="E838" s="26"/>
      <c r="F838" s="26"/>
      <c r="G838" s="76"/>
      <c r="H838" s="76"/>
      <c r="I838" s="115"/>
      <c r="J838" s="100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 spans="1:20" ht="12.75">
      <c r="A839" s="26"/>
      <c r="B839" s="26"/>
      <c r="C839" s="26"/>
      <c r="D839" s="26"/>
      <c r="E839" s="26"/>
      <c r="F839" s="26"/>
      <c r="G839" s="76"/>
      <c r="H839" s="76"/>
      <c r="I839" s="115"/>
      <c r="J839" s="100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 spans="1:20" ht="12.75">
      <c r="A840" s="26"/>
      <c r="B840" s="26"/>
      <c r="C840" s="26"/>
      <c r="D840" s="26"/>
      <c r="E840" s="26"/>
      <c r="F840" s="26"/>
      <c r="G840" s="76"/>
      <c r="H840" s="76"/>
      <c r="I840" s="115"/>
      <c r="J840" s="100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 spans="1:20" ht="12.75">
      <c r="A841" s="26"/>
      <c r="B841" s="26"/>
      <c r="C841" s="26"/>
      <c r="D841" s="26"/>
      <c r="E841" s="26"/>
      <c r="F841" s="26"/>
      <c r="G841" s="76"/>
      <c r="H841" s="76"/>
      <c r="I841" s="115"/>
      <c r="J841" s="100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 spans="1:20" ht="12.75">
      <c r="A842" s="26"/>
      <c r="B842" s="26"/>
      <c r="C842" s="26"/>
      <c r="D842" s="26"/>
      <c r="E842" s="26"/>
      <c r="F842" s="26"/>
      <c r="G842" s="76"/>
      <c r="H842" s="76"/>
      <c r="I842" s="115"/>
      <c r="J842" s="100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 spans="1:20" ht="12.75">
      <c r="A843" s="26"/>
      <c r="B843" s="26"/>
      <c r="C843" s="26"/>
      <c r="D843" s="26"/>
      <c r="E843" s="26"/>
      <c r="F843" s="26"/>
      <c r="G843" s="76"/>
      <c r="H843" s="76"/>
      <c r="I843" s="115"/>
      <c r="J843" s="100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 spans="1:20" ht="12.75">
      <c r="A844" s="26"/>
      <c r="B844" s="26"/>
      <c r="C844" s="26"/>
      <c r="D844" s="26"/>
      <c r="E844" s="26"/>
      <c r="F844" s="26"/>
      <c r="G844" s="76"/>
      <c r="H844" s="76"/>
      <c r="I844" s="115"/>
      <c r="J844" s="100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 spans="1:20" ht="12.75">
      <c r="A845" s="26"/>
      <c r="B845" s="26"/>
      <c r="C845" s="26"/>
      <c r="D845" s="26"/>
      <c r="E845" s="26"/>
      <c r="F845" s="26"/>
      <c r="G845" s="76"/>
      <c r="H845" s="76"/>
      <c r="I845" s="115"/>
      <c r="J845" s="100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 spans="1:20" ht="12.75">
      <c r="A846" s="26"/>
      <c r="B846" s="26"/>
      <c r="C846" s="26"/>
      <c r="D846" s="26"/>
      <c r="E846" s="26"/>
      <c r="F846" s="26"/>
      <c r="G846" s="76"/>
      <c r="H846" s="76"/>
      <c r="I846" s="115"/>
      <c r="J846" s="100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 spans="1:20" ht="12.75">
      <c r="A847" s="26"/>
      <c r="B847" s="26"/>
      <c r="C847" s="26"/>
      <c r="D847" s="26"/>
      <c r="E847" s="26"/>
      <c r="F847" s="26"/>
      <c r="G847" s="76"/>
      <c r="H847" s="76"/>
      <c r="I847" s="115"/>
      <c r="J847" s="100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 spans="1:20" ht="12.75">
      <c r="A848" s="26"/>
      <c r="B848" s="26"/>
      <c r="C848" s="26"/>
      <c r="D848" s="26"/>
      <c r="E848" s="26"/>
      <c r="F848" s="26"/>
      <c r="G848" s="76"/>
      <c r="H848" s="76"/>
      <c r="I848" s="115"/>
      <c r="J848" s="100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 spans="1:20" ht="12.75">
      <c r="A849" s="26"/>
      <c r="B849" s="26"/>
      <c r="C849" s="26"/>
      <c r="D849" s="26"/>
      <c r="E849" s="26"/>
      <c r="F849" s="26"/>
      <c r="G849" s="76"/>
      <c r="H849" s="76"/>
      <c r="I849" s="115"/>
      <c r="J849" s="100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 spans="1:20" ht="12.75">
      <c r="A850" s="26"/>
      <c r="B850" s="26"/>
      <c r="C850" s="26"/>
      <c r="D850" s="26"/>
      <c r="E850" s="26"/>
      <c r="F850" s="26"/>
      <c r="G850" s="76"/>
      <c r="H850" s="76"/>
      <c r="I850" s="115"/>
      <c r="J850" s="100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 spans="1:20" ht="12.75">
      <c r="A851" s="26"/>
      <c r="B851" s="26"/>
      <c r="C851" s="26"/>
      <c r="D851" s="26"/>
      <c r="E851" s="26"/>
      <c r="F851" s="26"/>
      <c r="G851" s="76"/>
      <c r="H851" s="76"/>
      <c r="I851" s="115"/>
      <c r="J851" s="100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 spans="1:20" ht="12.75">
      <c r="A852" s="26"/>
      <c r="B852" s="26"/>
      <c r="C852" s="26"/>
      <c r="D852" s="26"/>
      <c r="E852" s="26"/>
      <c r="F852" s="26"/>
      <c r="G852" s="76"/>
      <c r="H852" s="76"/>
      <c r="I852" s="115"/>
      <c r="J852" s="100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 spans="1:20" ht="12.75">
      <c r="A853" s="26"/>
      <c r="B853" s="26"/>
      <c r="C853" s="26"/>
      <c r="D853" s="26"/>
      <c r="E853" s="26"/>
      <c r="F853" s="26"/>
      <c r="G853" s="76"/>
      <c r="H853" s="76"/>
      <c r="I853" s="115"/>
      <c r="J853" s="100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 spans="1:20" ht="12.75">
      <c r="A854" s="26"/>
      <c r="B854" s="26"/>
      <c r="C854" s="26"/>
      <c r="D854" s="26"/>
      <c r="E854" s="26"/>
      <c r="F854" s="26"/>
      <c r="G854" s="76"/>
      <c r="H854" s="76"/>
      <c r="I854" s="115"/>
      <c r="J854" s="100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 spans="1:20" ht="12.75">
      <c r="A855" s="26"/>
      <c r="B855" s="26"/>
      <c r="C855" s="26"/>
      <c r="D855" s="26"/>
      <c r="E855" s="26"/>
      <c r="F855" s="26"/>
      <c r="G855" s="76"/>
      <c r="H855" s="76"/>
      <c r="I855" s="115"/>
      <c r="J855" s="100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 spans="1:20" ht="12.75">
      <c r="A856" s="26"/>
      <c r="B856" s="26"/>
      <c r="C856" s="26"/>
      <c r="D856" s="26"/>
      <c r="E856" s="26"/>
      <c r="F856" s="26"/>
      <c r="G856" s="76"/>
      <c r="H856" s="76"/>
      <c r="I856" s="115"/>
      <c r="J856" s="100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 spans="1:20" ht="12.75">
      <c r="A857" s="26"/>
      <c r="B857" s="26"/>
      <c r="C857" s="26"/>
      <c r="D857" s="26"/>
      <c r="E857" s="26"/>
      <c r="F857" s="26"/>
      <c r="G857" s="76"/>
      <c r="H857" s="76"/>
      <c r="I857" s="115"/>
      <c r="J857" s="100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 spans="1:20" ht="12.75">
      <c r="A858" s="26"/>
      <c r="B858" s="26"/>
      <c r="C858" s="26"/>
      <c r="D858" s="26"/>
      <c r="E858" s="26"/>
      <c r="F858" s="26"/>
      <c r="G858" s="76"/>
      <c r="H858" s="76"/>
      <c r="I858" s="115"/>
      <c r="J858" s="100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 spans="1:20" ht="12.75">
      <c r="A859" s="26"/>
      <c r="B859" s="26"/>
      <c r="C859" s="26"/>
      <c r="D859" s="26"/>
      <c r="E859" s="26"/>
      <c r="F859" s="26"/>
      <c r="G859" s="76"/>
      <c r="H859" s="76"/>
      <c r="I859" s="115"/>
      <c r="J859" s="100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 spans="1:20" ht="12.75">
      <c r="A860" s="26"/>
      <c r="B860" s="26"/>
      <c r="C860" s="26"/>
      <c r="D860" s="26"/>
      <c r="E860" s="26"/>
      <c r="F860" s="26"/>
      <c r="G860" s="76"/>
      <c r="H860" s="76"/>
      <c r="I860" s="115"/>
      <c r="J860" s="100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 spans="1:20" ht="12.75">
      <c r="A861" s="26"/>
      <c r="B861" s="26"/>
      <c r="C861" s="26"/>
      <c r="D861" s="26"/>
      <c r="E861" s="26"/>
      <c r="F861" s="26"/>
      <c r="G861" s="76"/>
      <c r="H861" s="76"/>
      <c r="I861" s="115"/>
      <c r="J861" s="100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 spans="1:20" ht="12.75">
      <c r="A862" s="26"/>
      <c r="B862" s="26"/>
      <c r="C862" s="26"/>
      <c r="D862" s="26"/>
      <c r="E862" s="26"/>
      <c r="F862" s="26"/>
      <c r="G862" s="76"/>
      <c r="H862" s="76"/>
      <c r="I862" s="115"/>
      <c r="J862" s="100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 spans="1:20" ht="12.75">
      <c r="A863" s="26"/>
      <c r="B863" s="26"/>
      <c r="C863" s="26"/>
      <c r="D863" s="26"/>
      <c r="E863" s="26"/>
      <c r="F863" s="26"/>
      <c r="G863" s="76"/>
      <c r="H863" s="76"/>
      <c r="I863" s="115"/>
      <c r="J863" s="100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 spans="1:20" ht="12.75">
      <c r="A864" s="26"/>
      <c r="B864" s="26"/>
      <c r="C864" s="26"/>
      <c r="D864" s="26"/>
      <c r="E864" s="26"/>
      <c r="F864" s="26"/>
      <c r="G864" s="76"/>
      <c r="H864" s="76"/>
      <c r="I864" s="115"/>
      <c r="J864" s="100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 spans="1:20" ht="12.75">
      <c r="A865" s="26"/>
      <c r="B865" s="26"/>
      <c r="C865" s="26"/>
      <c r="D865" s="26"/>
      <c r="E865" s="26"/>
      <c r="F865" s="26"/>
      <c r="G865" s="76"/>
      <c r="H865" s="76"/>
      <c r="I865" s="115"/>
      <c r="J865" s="100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 spans="1:20" ht="12.75">
      <c r="A866" s="26"/>
      <c r="B866" s="26"/>
      <c r="C866" s="26"/>
      <c r="D866" s="26"/>
      <c r="E866" s="26"/>
      <c r="F866" s="26"/>
      <c r="G866" s="76"/>
      <c r="H866" s="76"/>
      <c r="I866" s="115"/>
      <c r="J866" s="100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 spans="1:20" ht="12.75">
      <c r="A867" s="26"/>
      <c r="B867" s="26"/>
      <c r="C867" s="26"/>
      <c r="D867" s="26"/>
      <c r="E867" s="26"/>
      <c r="F867" s="26"/>
      <c r="G867" s="76"/>
      <c r="H867" s="76"/>
      <c r="I867" s="115"/>
      <c r="J867" s="100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 spans="1:20" ht="12.75">
      <c r="A868" s="26"/>
      <c r="B868" s="26"/>
      <c r="C868" s="26"/>
      <c r="D868" s="26"/>
      <c r="E868" s="26"/>
      <c r="F868" s="26"/>
      <c r="G868" s="76"/>
      <c r="H868" s="76"/>
      <c r="I868" s="115"/>
      <c r="J868" s="100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 spans="1:20" ht="12.75">
      <c r="A869" s="26"/>
      <c r="B869" s="26"/>
      <c r="C869" s="26"/>
      <c r="D869" s="26"/>
      <c r="E869" s="26"/>
      <c r="F869" s="26"/>
      <c r="G869" s="76"/>
      <c r="H869" s="76"/>
      <c r="I869" s="115"/>
      <c r="J869" s="100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 spans="1:20" ht="12.75">
      <c r="A870" s="26"/>
      <c r="B870" s="26"/>
      <c r="C870" s="26"/>
      <c r="D870" s="26"/>
      <c r="E870" s="26"/>
      <c r="F870" s="26"/>
      <c r="G870" s="76"/>
      <c r="H870" s="76"/>
      <c r="I870" s="115"/>
      <c r="J870" s="100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 spans="1:20" ht="12.75">
      <c r="A871" s="26"/>
      <c r="B871" s="26"/>
      <c r="C871" s="26"/>
      <c r="D871" s="26"/>
      <c r="E871" s="26"/>
      <c r="F871" s="26"/>
      <c r="G871" s="76"/>
      <c r="H871" s="76"/>
      <c r="I871" s="115"/>
      <c r="J871" s="100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 spans="1:20" ht="12.75">
      <c r="A872" s="26"/>
      <c r="B872" s="26"/>
      <c r="C872" s="26"/>
      <c r="D872" s="26"/>
      <c r="E872" s="26"/>
      <c r="F872" s="26"/>
      <c r="G872" s="76"/>
      <c r="H872" s="76"/>
      <c r="I872" s="115"/>
      <c r="J872" s="100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 spans="1:20" ht="12.75">
      <c r="A873" s="26"/>
      <c r="B873" s="26"/>
      <c r="C873" s="26"/>
      <c r="D873" s="26"/>
      <c r="E873" s="26"/>
      <c r="F873" s="26"/>
      <c r="G873" s="76"/>
      <c r="H873" s="76"/>
      <c r="I873" s="115"/>
      <c r="J873" s="100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 spans="1:20" ht="12.75">
      <c r="A874" s="26"/>
      <c r="B874" s="26"/>
      <c r="C874" s="26"/>
      <c r="D874" s="26"/>
      <c r="E874" s="26"/>
      <c r="F874" s="26"/>
      <c r="G874" s="76"/>
      <c r="H874" s="76"/>
      <c r="I874" s="115"/>
      <c r="J874" s="100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 spans="1:20" ht="12.75">
      <c r="A875" s="26"/>
      <c r="B875" s="26"/>
      <c r="C875" s="26"/>
      <c r="D875" s="26"/>
      <c r="E875" s="26"/>
      <c r="F875" s="26"/>
      <c r="G875" s="76"/>
      <c r="H875" s="76"/>
      <c r="I875" s="115"/>
      <c r="J875" s="100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 spans="1:20" ht="12.75">
      <c r="A876" s="26"/>
      <c r="B876" s="26"/>
      <c r="C876" s="26"/>
      <c r="D876" s="26"/>
      <c r="E876" s="26"/>
      <c r="F876" s="26"/>
      <c r="G876" s="76"/>
      <c r="H876" s="76"/>
      <c r="I876" s="115"/>
      <c r="J876" s="100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 spans="1:20" ht="12.75">
      <c r="A877" s="26"/>
      <c r="B877" s="26"/>
      <c r="C877" s="26"/>
      <c r="D877" s="26"/>
      <c r="E877" s="26"/>
      <c r="F877" s="26"/>
      <c r="G877" s="76"/>
      <c r="H877" s="76"/>
      <c r="I877" s="115"/>
      <c r="J877" s="100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 spans="1:20" ht="12.75">
      <c r="A878" s="26"/>
      <c r="B878" s="26"/>
      <c r="C878" s="26"/>
      <c r="D878" s="26"/>
      <c r="E878" s="26"/>
      <c r="F878" s="26"/>
      <c r="G878" s="76"/>
      <c r="H878" s="76"/>
      <c r="I878" s="115"/>
      <c r="J878" s="100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 spans="1:20" ht="12.75">
      <c r="A879" s="26"/>
      <c r="B879" s="26"/>
      <c r="C879" s="26"/>
      <c r="D879" s="26"/>
      <c r="E879" s="26"/>
      <c r="F879" s="26"/>
      <c r="G879" s="76"/>
      <c r="H879" s="76"/>
      <c r="I879" s="115"/>
      <c r="J879" s="100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 spans="1:20" ht="12.75">
      <c r="A880" s="26"/>
      <c r="B880" s="26"/>
      <c r="C880" s="26"/>
      <c r="D880" s="26"/>
      <c r="E880" s="26"/>
      <c r="F880" s="26"/>
      <c r="G880" s="76"/>
      <c r="H880" s="76"/>
      <c r="I880" s="115"/>
      <c r="J880" s="100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 spans="1:20" ht="12.75">
      <c r="A881" s="26"/>
      <c r="B881" s="26"/>
      <c r="C881" s="26"/>
      <c r="D881" s="26"/>
      <c r="E881" s="26"/>
      <c r="F881" s="26"/>
      <c r="G881" s="76"/>
      <c r="H881" s="76"/>
      <c r="I881" s="115"/>
      <c r="J881" s="100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 spans="1:20" ht="12.75">
      <c r="A882" s="26"/>
      <c r="B882" s="26"/>
      <c r="C882" s="26"/>
      <c r="D882" s="26"/>
      <c r="E882" s="26"/>
      <c r="F882" s="26"/>
      <c r="G882" s="76"/>
      <c r="H882" s="76"/>
      <c r="I882" s="115"/>
      <c r="J882" s="100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 spans="1:20" ht="12.75">
      <c r="A883" s="26"/>
      <c r="B883" s="26"/>
      <c r="C883" s="26"/>
      <c r="D883" s="26"/>
      <c r="E883" s="26"/>
      <c r="F883" s="26"/>
      <c r="G883" s="76"/>
      <c r="H883" s="76"/>
      <c r="I883" s="115"/>
      <c r="J883" s="100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 spans="1:20" ht="12.75">
      <c r="A884" s="26"/>
      <c r="B884" s="26"/>
      <c r="C884" s="26"/>
      <c r="D884" s="26"/>
      <c r="E884" s="26"/>
      <c r="F884" s="26"/>
      <c r="G884" s="76"/>
      <c r="H884" s="76"/>
      <c r="I884" s="115"/>
      <c r="J884" s="100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 spans="1:20" ht="12.75">
      <c r="A885" s="26"/>
      <c r="B885" s="26"/>
      <c r="C885" s="26"/>
      <c r="D885" s="26"/>
      <c r="E885" s="26"/>
      <c r="F885" s="26"/>
      <c r="G885" s="76"/>
      <c r="H885" s="76"/>
      <c r="I885" s="115"/>
      <c r="J885" s="100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 spans="1:20" ht="12.75">
      <c r="A886" s="26"/>
      <c r="B886" s="26"/>
      <c r="C886" s="26"/>
      <c r="D886" s="26"/>
      <c r="E886" s="26"/>
      <c r="F886" s="26"/>
      <c r="G886" s="76"/>
      <c r="H886" s="76"/>
      <c r="I886" s="115"/>
      <c r="J886" s="100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 spans="1:20" ht="12.75">
      <c r="A887" s="26"/>
      <c r="B887" s="26"/>
      <c r="C887" s="26"/>
      <c r="D887" s="26"/>
      <c r="E887" s="26"/>
      <c r="F887" s="26"/>
      <c r="G887" s="76"/>
      <c r="H887" s="76"/>
      <c r="I887" s="115"/>
      <c r="J887" s="100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 spans="1:20" ht="12.75">
      <c r="A888" s="26"/>
      <c r="B888" s="26"/>
      <c r="C888" s="26"/>
      <c r="D888" s="26"/>
      <c r="E888" s="26"/>
      <c r="F888" s="26"/>
      <c r="G888" s="76"/>
      <c r="H888" s="76"/>
      <c r="I888" s="115"/>
      <c r="J888" s="100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 spans="1:20" ht="12.75">
      <c r="A889" s="26"/>
      <c r="B889" s="26"/>
      <c r="C889" s="26"/>
      <c r="D889" s="26"/>
      <c r="E889" s="26"/>
      <c r="F889" s="26"/>
      <c r="G889" s="76"/>
      <c r="H889" s="76"/>
      <c r="I889" s="115"/>
      <c r="J889" s="100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 spans="1:20" ht="12.75">
      <c r="A890" s="26"/>
      <c r="B890" s="26"/>
      <c r="C890" s="26"/>
      <c r="D890" s="26"/>
      <c r="E890" s="26"/>
      <c r="F890" s="26"/>
      <c r="G890" s="76"/>
      <c r="H890" s="76"/>
      <c r="I890" s="115"/>
      <c r="J890" s="100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 spans="1:20" ht="12.75">
      <c r="A891" s="26"/>
      <c r="B891" s="26"/>
      <c r="C891" s="26"/>
      <c r="D891" s="26"/>
      <c r="E891" s="26"/>
      <c r="F891" s="26"/>
      <c r="G891" s="76"/>
      <c r="H891" s="76"/>
      <c r="I891" s="115"/>
      <c r="J891" s="100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 spans="1:20" ht="12.75">
      <c r="A892" s="26"/>
      <c r="B892" s="26"/>
      <c r="C892" s="26"/>
      <c r="D892" s="26"/>
      <c r="E892" s="26"/>
      <c r="F892" s="26"/>
      <c r="G892" s="76"/>
      <c r="H892" s="76"/>
      <c r="I892" s="115"/>
      <c r="J892" s="100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 spans="1:20" ht="12.75">
      <c r="A893" s="26"/>
      <c r="B893" s="26"/>
      <c r="C893" s="26"/>
      <c r="D893" s="26"/>
      <c r="E893" s="26"/>
      <c r="F893" s="26"/>
      <c r="G893" s="76"/>
      <c r="H893" s="76"/>
      <c r="I893" s="115"/>
      <c r="J893" s="100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 spans="1:20" ht="12.75">
      <c r="A894" s="26"/>
      <c r="B894" s="26"/>
      <c r="C894" s="26"/>
      <c r="D894" s="26"/>
      <c r="E894" s="26"/>
      <c r="F894" s="26"/>
      <c r="G894" s="76"/>
      <c r="H894" s="76"/>
      <c r="I894" s="115"/>
      <c r="J894" s="100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 spans="1:20" ht="12.75">
      <c r="A895" s="26"/>
      <c r="B895" s="26"/>
      <c r="C895" s="26"/>
      <c r="D895" s="26"/>
      <c r="E895" s="26"/>
      <c r="F895" s="26"/>
      <c r="G895" s="76"/>
      <c r="H895" s="76"/>
      <c r="I895" s="115"/>
      <c r="J895" s="100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 spans="1:20" ht="12.75">
      <c r="A896" s="26"/>
      <c r="B896" s="26"/>
      <c r="C896" s="26"/>
      <c r="D896" s="26"/>
      <c r="E896" s="26"/>
      <c r="F896" s="26"/>
      <c r="G896" s="76"/>
      <c r="H896" s="76"/>
      <c r="I896" s="115"/>
      <c r="J896" s="100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 spans="1:20" ht="12.75">
      <c r="A897" s="26"/>
      <c r="B897" s="26"/>
      <c r="C897" s="26"/>
      <c r="D897" s="26"/>
      <c r="E897" s="26"/>
      <c r="F897" s="26"/>
      <c r="G897" s="76"/>
      <c r="H897" s="76"/>
      <c r="I897" s="115"/>
      <c r="J897" s="100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 spans="1:20" ht="12.75">
      <c r="A898" s="26"/>
      <c r="B898" s="26"/>
      <c r="C898" s="26"/>
      <c r="D898" s="26"/>
      <c r="E898" s="26"/>
      <c r="F898" s="26"/>
      <c r="G898" s="76"/>
      <c r="H898" s="76"/>
      <c r="I898" s="115"/>
      <c r="J898" s="100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 spans="1:20" ht="12.75">
      <c r="A899" s="26"/>
      <c r="B899" s="26"/>
      <c r="C899" s="26"/>
      <c r="D899" s="26"/>
      <c r="E899" s="26"/>
      <c r="F899" s="26"/>
      <c r="G899" s="76"/>
      <c r="H899" s="76"/>
      <c r="I899" s="115"/>
      <c r="J899" s="100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 spans="1:20" ht="12.75">
      <c r="A900" s="26"/>
      <c r="B900" s="26"/>
      <c r="C900" s="26"/>
      <c r="D900" s="26"/>
      <c r="E900" s="26"/>
      <c r="F900" s="26"/>
      <c r="G900" s="76"/>
      <c r="H900" s="76"/>
      <c r="I900" s="115"/>
      <c r="J900" s="100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 spans="1:20" ht="12.75">
      <c r="A901" s="26"/>
      <c r="B901" s="26"/>
      <c r="C901" s="26"/>
      <c r="D901" s="26"/>
      <c r="E901" s="26"/>
      <c r="F901" s="26"/>
      <c r="G901" s="76"/>
      <c r="H901" s="76"/>
      <c r="I901" s="115"/>
      <c r="J901" s="100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 spans="1:20" ht="12.75">
      <c r="A902" s="26"/>
      <c r="B902" s="26"/>
      <c r="C902" s="26"/>
      <c r="D902" s="26"/>
      <c r="E902" s="26"/>
      <c r="F902" s="26"/>
      <c r="G902" s="76"/>
      <c r="H902" s="76"/>
      <c r="I902" s="115"/>
      <c r="J902" s="100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 spans="1:20" ht="12.75">
      <c r="A903" s="26"/>
      <c r="B903" s="26"/>
      <c r="C903" s="26"/>
      <c r="D903" s="26"/>
      <c r="E903" s="26"/>
      <c r="F903" s="26"/>
      <c r="G903" s="76"/>
      <c r="H903" s="76"/>
      <c r="I903" s="115"/>
      <c r="J903" s="100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 spans="1:20" ht="12.75">
      <c r="A904" s="26"/>
      <c r="B904" s="26"/>
      <c r="C904" s="26"/>
      <c r="D904" s="26"/>
      <c r="E904" s="26"/>
      <c r="F904" s="26"/>
      <c r="G904" s="76"/>
      <c r="H904" s="76"/>
      <c r="I904" s="115"/>
      <c r="J904" s="100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 spans="1:20" ht="12.75">
      <c r="A905" s="26"/>
      <c r="B905" s="26"/>
      <c r="C905" s="26"/>
      <c r="D905" s="26"/>
      <c r="E905" s="26"/>
      <c r="F905" s="26"/>
      <c r="G905" s="76"/>
      <c r="H905" s="76"/>
      <c r="I905" s="115"/>
      <c r="J905" s="100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 spans="1:20" ht="12.75">
      <c r="A906" s="26"/>
      <c r="B906" s="26"/>
      <c r="C906" s="26"/>
      <c r="D906" s="26"/>
      <c r="E906" s="26"/>
      <c r="F906" s="26"/>
      <c r="G906" s="76"/>
      <c r="H906" s="76"/>
      <c r="I906" s="115"/>
      <c r="J906" s="100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 spans="1:20" ht="12.75">
      <c r="A907" s="26"/>
      <c r="B907" s="26"/>
      <c r="C907" s="26"/>
      <c r="D907" s="26"/>
      <c r="E907" s="26"/>
      <c r="F907" s="26"/>
      <c r="G907" s="76"/>
      <c r="H907" s="76"/>
      <c r="I907" s="115"/>
      <c r="J907" s="100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 spans="1:20" ht="12.75">
      <c r="A908" s="26"/>
      <c r="B908" s="26"/>
      <c r="C908" s="26"/>
      <c r="D908" s="26"/>
      <c r="E908" s="26"/>
      <c r="F908" s="26"/>
      <c r="G908" s="76"/>
      <c r="H908" s="76"/>
      <c r="I908" s="115"/>
      <c r="J908" s="100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 spans="1:20" ht="12.75">
      <c r="A909" s="26"/>
      <c r="B909" s="26"/>
      <c r="C909" s="26"/>
      <c r="D909" s="26"/>
      <c r="E909" s="26"/>
      <c r="F909" s="26"/>
      <c r="G909" s="76"/>
      <c r="H909" s="76"/>
      <c r="I909" s="115"/>
      <c r="J909" s="100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 spans="1:20" ht="12.75">
      <c r="A910" s="26"/>
      <c r="B910" s="26"/>
      <c r="C910" s="26"/>
      <c r="D910" s="26"/>
      <c r="E910" s="26"/>
      <c r="F910" s="26"/>
      <c r="G910" s="76"/>
      <c r="H910" s="76"/>
      <c r="I910" s="115"/>
      <c r="J910" s="100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 spans="1:20" ht="12.75">
      <c r="A911" s="26"/>
      <c r="B911" s="26"/>
      <c r="C911" s="26"/>
      <c r="D911" s="26"/>
      <c r="E911" s="26"/>
      <c r="F911" s="26"/>
      <c r="G911" s="76"/>
      <c r="H911" s="76"/>
      <c r="I911" s="115"/>
      <c r="J911" s="100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 spans="1:20" ht="12.75">
      <c r="A912" s="26"/>
      <c r="B912" s="26"/>
      <c r="C912" s="26"/>
      <c r="D912" s="26"/>
      <c r="E912" s="26"/>
      <c r="F912" s="26"/>
      <c r="G912" s="76"/>
      <c r="H912" s="76"/>
      <c r="I912" s="115"/>
      <c r="J912" s="100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 spans="1:20" ht="12.75">
      <c r="A913" s="26"/>
      <c r="B913" s="26"/>
      <c r="C913" s="26"/>
      <c r="D913" s="26"/>
      <c r="E913" s="26"/>
      <c r="F913" s="26"/>
      <c r="G913" s="76"/>
      <c r="H913" s="76"/>
      <c r="I913" s="115"/>
      <c r="J913" s="100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 spans="1:20" ht="12.75">
      <c r="A914" s="26"/>
      <c r="B914" s="26"/>
      <c r="C914" s="26"/>
      <c r="D914" s="26"/>
      <c r="E914" s="26"/>
      <c r="F914" s="26"/>
      <c r="G914" s="76"/>
      <c r="H914" s="76"/>
      <c r="I914" s="115"/>
      <c r="J914" s="100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 spans="1:20" ht="12.75">
      <c r="A915" s="26"/>
      <c r="B915" s="26"/>
      <c r="C915" s="26"/>
      <c r="D915" s="26"/>
      <c r="E915" s="26"/>
      <c r="F915" s="26"/>
      <c r="G915" s="76"/>
      <c r="H915" s="76"/>
      <c r="I915" s="115"/>
      <c r="J915" s="100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 spans="1:20" ht="12.75">
      <c r="A916" s="26"/>
      <c r="B916" s="26"/>
      <c r="C916" s="26"/>
      <c r="D916" s="26"/>
      <c r="E916" s="26"/>
      <c r="F916" s="26"/>
      <c r="G916" s="76"/>
      <c r="H916" s="76"/>
      <c r="I916" s="115"/>
      <c r="J916" s="100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 spans="1:20" ht="12.75">
      <c r="A917" s="26"/>
      <c r="B917" s="26"/>
      <c r="C917" s="26"/>
      <c r="D917" s="26"/>
      <c r="E917" s="26"/>
      <c r="F917" s="26"/>
      <c r="G917" s="76"/>
      <c r="H917" s="76"/>
      <c r="I917" s="115"/>
      <c r="J917" s="100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 spans="1:20" ht="12.75">
      <c r="A918" s="26"/>
      <c r="B918" s="26"/>
      <c r="C918" s="26"/>
      <c r="D918" s="26"/>
      <c r="E918" s="26"/>
      <c r="F918" s="26"/>
      <c r="G918" s="76"/>
      <c r="H918" s="76"/>
      <c r="I918" s="115"/>
      <c r="J918" s="100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 spans="1:20" ht="12.75">
      <c r="A919" s="26"/>
      <c r="B919" s="26"/>
      <c r="C919" s="26"/>
      <c r="D919" s="26"/>
      <c r="E919" s="26"/>
      <c r="F919" s="26"/>
      <c r="G919" s="76"/>
      <c r="H919" s="76"/>
      <c r="I919" s="115"/>
      <c r="J919" s="100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 spans="1:20" ht="12.75">
      <c r="A920" s="26"/>
      <c r="B920" s="26"/>
      <c r="C920" s="26"/>
      <c r="D920" s="26"/>
      <c r="E920" s="26"/>
      <c r="F920" s="26"/>
      <c r="G920" s="76"/>
      <c r="H920" s="76"/>
      <c r="I920" s="115"/>
      <c r="J920" s="100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 spans="1:20" ht="12.75">
      <c r="A921" s="26"/>
      <c r="B921" s="26"/>
      <c r="C921" s="26"/>
      <c r="D921" s="26"/>
      <c r="E921" s="26"/>
      <c r="F921" s="26"/>
      <c r="G921" s="76"/>
      <c r="H921" s="76"/>
      <c r="I921" s="115"/>
      <c r="J921" s="100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 spans="1:20" ht="12.75">
      <c r="A922" s="26"/>
      <c r="B922" s="26"/>
      <c r="C922" s="26"/>
      <c r="D922" s="26"/>
      <c r="E922" s="26"/>
      <c r="F922" s="26"/>
      <c r="G922" s="76"/>
      <c r="H922" s="76"/>
      <c r="I922" s="115"/>
      <c r="J922" s="100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 spans="1:20" ht="12.75">
      <c r="A923" s="26"/>
      <c r="B923" s="26"/>
      <c r="C923" s="26"/>
      <c r="D923" s="26"/>
      <c r="E923" s="26"/>
      <c r="F923" s="26"/>
      <c r="G923" s="76"/>
      <c r="H923" s="76"/>
      <c r="I923" s="115"/>
      <c r="J923" s="100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 spans="1:20" ht="12.75">
      <c r="A924" s="26"/>
      <c r="B924" s="26"/>
      <c r="C924" s="26"/>
      <c r="D924" s="26"/>
      <c r="E924" s="26"/>
      <c r="F924" s="26"/>
      <c r="G924" s="76"/>
      <c r="H924" s="76"/>
      <c r="I924" s="115"/>
      <c r="J924" s="100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 spans="1:20" ht="12.75">
      <c r="A925" s="26"/>
      <c r="B925" s="26"/>
      <c r="C925" s="26"/>
      <c r="D925" s="26"/>
      <c r="E925" s="26"/>
      <c r="F925" s="26"/>
      <c r="G925" s="76"/>
      <c r="H925" s="76"/>
      <c r="I925" s="115"/>
      <c r="J925" s="100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 spans="1:20" ht="12.75">
      <c r="A926" s="26"/>
      <c r="B926" s="26"/>
      <c r="C926" s="26"/>
      <c r="D926" s="26"/>
      <c r="E926" s="26"/>
      <c r="F926" s="26"/>
      <c r="G926" s="76"/>
      <c r="H926" s="76"/>
      <c r="I926" s="115"/>
      <c r="J926" s="100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 spans="1:20" ht="12.75">
      <c r="A927" s="26"/>
      <c r="B927" s="26"/>
      <c r="C927" s="26"/>
      <c r="D927" s="26"/>
      <c r="E927" s="26"/>
      <c r="F927" s="26"/>
      <c r="G927" s="76"/>
      <c r="H927" s="76"/>
      <c r="I927" s="115"/>
      <c r="J927" s="100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 spans="1:20" ht="12.75">
      <c r="A928" s="26"/>
      <c r="B928" s="26"/>
      <c r="C928" s="26"/>
      <c r="D928" s="26"/>
      <c r="E928" s="26"/>
      <c r="F928" s="26"/>
      <c r="G928" s="76"/>
      <c r="H928" s="76"/>
      <c r="I928" s="115"/>
      <c r="J928" s="100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 spans="1:20" ht="12.75">
      <c r="A929" s="26"/>
      <c r="B929" s="26"/>
      <c r="C929" s="26"/>
      <c r="D929" s="26"/>
      <c r="E929" s="26"/>
      <c r="F929" s="26"/>
      <c r="G929" s="76"/>
      <c r="H929" s="76"/>
      <c r="I929" s="115"/>
      <c r="J929" s="100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 spans="1:20" ht="12.75">
      <c r="A930" s="26"/>
      <c r="B930" s="26"/>
      <c r="C930" s="26"/>
      <c r="D930" s="26"/>
      <c r="E930" s="26"/>
      <c r="F930" s="26"/>
      <c r="G930" s="76"/>
      <c r="H930" s="76"/>
      <c r="I930" s="115"/>
      <c r="J930" s="100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 spans="1:20" ht="12.75">
      <c r="A931" s="26"/>
      <c r="B931" s="26"/>
      <c r="C931" s="26"/>
      <c r="D931" s="26"/>
      <c r="E931" s="26"/>
      <c r="F931" s="26"/>
      <c r="G931" s="76"/>
      <c r="H931" s="76"/>
      <c r="I931" s="115"/>
      <c r="J931" s="100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 spans="1:20" ht="12.75">
      <c r="A932" s="26"/>
      <c r="B932" s="26"/>
      <c r="C932" s="26"/>
      <c r="D932" s="26"/>
      <c r="E932" s="26"/>
      <c r="F932" s="26"/>
      <c r="G932" s="76"/>
      <c r="H932" s="76"/>
      <c r="I932" s="115"/>
      <c r="J932" s="100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 spans="1:20" ht="12.75">
      <c r="A933" s="26"/>
      <c r="B933" s="26"/>
      <c r="C933" s="26"/>
      <c r="D933" s="26"/>
      <c r="E933" s="26"/>
      <c r="F933" s="26"/>
      <c r="G933" s="76"/>
      <c r="H933" s="76"/>
      <c r="I933" s="115"/>
      <c r="J933" s="100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 spans="1:20" ht="12.75">
      <c r="A934" s="26"/>
      <c r="B934" s="26"/>
      <c r="C934" s="26"/>
      <c r="D934" s="26"/>
      <c r="E934" s="26"/>
      <c r="F934" s="26"/>
      <c r="G934" s="76"/>
      <c r="H934" s="76"/>
      <c r="I934" s="115"/>
      <c r="J934" s="100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 spans="1:20" ht="12.75">
      <c r="A935" s="26"/>
      <c r="B935" s="26"/>
      <c r="C935" s="26"/>
      <c r="D935" s="26"/>
      <c r="E935" s="26"/>
      <c r="F935" s="26"/>
      <c r="G935" s="76"/>
      <c r="H935" s="76"/>
      <c r="I935" s="115"/>
      <c r="J935" s="100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 spans="1:20" ht="12.75">
      <c r="A936" s="26"/>
      <c r="B936" s="26"/>
      <c r="C936" s="26"/>
      <c r="D936" s="26"/>
      <c r="E936" s="26"/>
      <c r="F936" s="26"/>
      <c r="G936" s="76"/>
      <c r="H936" s="76"/>
      <c r="I936" s="115"/>
      <c r="J936" s="100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 spans="1:20" ht="12.75">
      <c r="A937" s="26"/>
      <c r="B937" s="26"/>
      <c r="C937" s="26"/>
      <c r="D937" s="26"/>
      <c r="E937" s="26"/>
      <c r="F937" s="26"/>
      <c r="G937" s="76"/>
      <c r="H937" s="76"/>
      <c r="I937" s="115"/>
      <c r="J937" s="100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 spans="1:20" ht="12.75">
      <c r="A938" s="26"/>
      <c r="B938" s="26"/>
      <c r="C938" s="26"/>
      <c r="D938" s="26"/>
      <c r="E938" s="26"/>
      <c r="F938" s="26"/>
      <c r="G938" s="76"/>
      <c r="H938" s="76"/>
      <c r="I938" s="115"/>
      <c r="J938" s="100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 spans="1:20" ht="12.75">
      <c r="A939" s="26"/>
      <c r="B939" s="26"/>
      <c r="C939" s="26"/>
      <c r="D939" s="26"/>
      <c r="E939" s="26"/>
      <c r="F939" s="26"/>
      <c r="G939" s="76"/>
      <c r="H939" s="76"/>
      <c r="I939" s="115"/>
      <c r="J939" s="100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 spans="1:20" ht="12.75">
      <c r="A940" s="26"/>
      <c r="B940" s="26"/>
      <c r="C940" s="26"/>
      <c r="D940" s="26"/>
      <c r="E940" s="26"/>
      <c r="F940" s="26"/>
      <c r="G940" s="76"/>
      <c r="H940" s="76"/>
      <c r="I940" s="115"/>
      <c r="J940" s="100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 spans="1:20" ht="12.75">
      <c r="A941" s="26"/>
      <c r="B941" s="26"/>
      <c r="C941" s="26"/>
      <c r="D941" s="26"/>
      <c r="E941" s="26"/>
      <c r="F941" s="26"/>
      <c r="G941" s="76"/>
      <c r="H941" s="76"/>
      <c r="I941" s="115"/>
      <c r="J941" s="100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 spans="1:20" ht="12.75">
      <c r="A942" s="26"/>
      <c r="B942" s="26"/>
      <c r="C942" s="26"/>
      <c r="D942" s="26"/>
      <c r="E942" s="26"/>
      <c r="F942" s="26"/>
      <c r="G942" s="76"/>
      <c r="H942" s="76"/>
      <c r="I942" s="115"/>
      <c r="J942" s="100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 spans="1:20" ht="12.75">
      <c r="A943" s="26"/>
      <c r="B943" s="26"/>
      <c r="C943" s="26"/>
      <c r="D943" s="26"/>
      <c r="E943" s="26"/>
      <c r="F943" s="26"/>
      <c r="G943" s="76"/>
      <c r="H943" s="76"/>
      <c r="I943" s="115"/>
      <c r="J943" s="100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 spans="1:20" ht="12.75">
      <c r="A944" s="26"/>
      <c r="B944" s="26"/>
      <c r="C944" s="26"/>
      <c r="D944" s="26"/>
      <c r="E944" s="26"/>
      <c r="F944" s="26"/>
      <c r="G944" s="76"/>
      <c r="H944" s="76"/>
      <c r="I944" s="115"/>
      <c r="J944" s="100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 spans="1:20" ht="12.75">
      <c r="A945" s="26"/>
      <c r="B945" s="26"/>
      <c r="C945" s="26"/>
      <c r="D945" s="26"/>
      <c r="E945" s="26"/>
      <c r="F945" s="26"/>
      <c r="G945" s="76"/>
      <c r="H945" s="76"/>
      <c r="I945" s="115"/>
      <c r="J945" s="100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 spans="1:20" ht="12.75">
      <c r="A946" s="26"/>
      <c r="B946" s="26"/>
      <c r="C946" s="26"/>
      <c r="D946" s="26"/>
      <c r="E946" s="26"/>
      <c r="F946" s="26"/>
      <c r="G946" s="76"/>
      <c r="H946" s="76"/>
      <c r="I946" s="115"/>
      <c r="J946" s="100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 spans="1:20" ht="12.75">
      <c r="A947" s="26"/>
      <c r="B947" s="26"/>
      <c r="C947" s="26"/>
      <c r="D947" s="26"/>
      <c r="E947" s="26"/>
      <c r="F947" s="26"/>
      <c r="G947" s="76"/>
      <c r="H947" s="76"/>
      <c r="I947" s="115"/>
      <c r="J947" s="100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 spans="1:20" ht="12.75">
      <c r="A948" s="26"/>
      <c r="B948" s="26"/>
      <c r="C948" s="26"/>
      <c r="D948" s="26"/>
      <c r="E948" s="26"/>
      <c r="F948" s="26"/>
      <c r="G948" s="76"/>
      <c r="H948" s="76"/>
      <c r="I948" s="115"/>
      <c r="J948" s="100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 spans="1:20" ht="12.75">
      <c r="A949" s="26"/>
      <c r="B949" s="26"/>
      <c r="C949" s="26"/>
      <c r="D949" s="26"/>
      <c r="E949" s="26"/>
      <c r="F949" s="26"/>
      <c r="G949" s="76"/>
      <c r="H949" s="76"/>
      <c r="I949" s="115"/>
      <c r="J949" s="100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 spans="1:20" ht="12.75">
      <c r="A950" s="26"/>
      <c r="B950" s="26"/>
      <c r="C950" s="26"/>
      <c r="D950" s="26"/>
      <c r="E950" s="26"/>
      <c r="F950" s="26"/>
      <c r="G950" s="76"/>
      <c r="H950" s="76"/>
      <c r="I950" s="115"/>
      <c r="J950" s="100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 spans="1:20" ht="12.75">
      <c r="A951" s="26"/>
      <c r="B951" s="26"/>
      <c r="C951" s="26"/>
      <c r="D951" s="26"/>
      <c r="E951" s="26"/>
      <c r="F951" s="26"/>
      <c r="G951" s="76"/>
      <c r="H951" s="76"/>
      <c r="I951" s="115"/>
      <c r="J951" s="100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 spans="1:20" ht="12.75">
      <c r="A952" s="26"/>
      <c r="B952" s="26"/>
      <c r="C952" s="26"/>
      <c r="D952" s="26"/>
      <c r="E952" s="26"/>
      <c r="F952" s="26"/>
      <c r="G952" s="76"/>
      <c r="H952" s="76"/>
      <c r="I952" s="115"/>
      <c r="J952" s="100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 spans="1:20" ht="12.75">
      <c r="A953" s="26"/>
      <c r="B953" s="26"/>
      <c r="C953" s="26"/>
      <c r="D953" s="26"/>
      <c r="E953" s="26"/>
      <c r="F953" s="26"/>
      <c r="G953" s="76"/>
      <c r="H953" s="76"/>
      <c r="I953" s="115"/>
      <c r="J953" s="100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 spans="1:20" ht="12.75">
      <c r="A954" s="26"/>
      <c r="B954" s="26"/>
      <c r="C954" s="26"/>
      <c r="D954" s="26"/>
      <c r="E954" s="26"/>
      <c r="F954" s="26"/>
      <c r="G954" s="76"/>
      <c r="H954" s="76"/>
      <c r="I954" s="115"/>
      <c r="J954" s="100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 spans="1:20" ht="12.75">
      <c r="A955" s="26"/>
      <c r="B955" s="26"/>
      <c r="C955" s="26"/>
      <c r="D955" s="26"/>
      <c r="E955" s="26"/>
      <c r="F955" s="26"/>
      <c r="G955" s="76"/>
      <c r="H955" s="76"/>
      <c r="I955" s="115"/>
      <c r="J955" s="100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 spans="1:20" ht="12.75">
      <c r="A956" s="26"/>
      <c r="B956" s="26"/>
      <c r="C956" s="26"/>
      <c r="D956" s="26"/>
      <c r="E956" s="26"/>
      <c r="F956" s="26"/>
      <c r="G956" s="76"/>
      <c r="H956" s="76"/>
      <c r="I956" s="115"/>
      <c r="J956" s="100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 spans="1:20" ht="12.75">
      <c r="A957" s="26"/>
      <c r="B957" s="26"/>
      <c r="C957" s="26"/>
      <c r="D957" s="26"/>
      <c r="E957" s="26"/>
      <c r="F957" s="26"/>
      <c r="G957" s="76"/>
      <c r="H957" s="76"/>
      <c r="I957" s="115"/>
      <c r="J957" s="100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 spans="1:20" ht="12.75">
      <c r="A958" s="26"/>
      <c r="B958" s="26"/>
      <c r="C958" s="26"/>
      <c r="D958" s="26"/>
      <c r="E958" s="26"/>
      <c r="F958" s="26"/>
      <c r="G958" s="76"/>
      <c r="H958" s="76"/>
      <c r="I958" s="115"/>
      <c r="J958" s="100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 spans="1:20" ht="12.75">
      <c r="A959" s="26"/>
      <c r="B959" s="26"/>
      <c r="C959" s="26"/>
      <c r="D959" s="26"/>
      <c r="E959" s="26"/>
      <c r="F959" s="26"/>
      <c r="G959" s="76"/>
      <c r="H959" s="76"/>
      <c r="I959" s="115"/>
      <c r="J959" s="100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 spans="1:20" ht="12.75">
      <c r="A960" s="26"/>
      <c r="B960" s="26"/>
      <c r="C960" s="26"/>
      <c r="D960" s="26"/>
      <c r="E960" s="26"/>
      <c r="F960" s="26"/>
      <c r="G960" s="76"/>
      <c r="H960" s="76"/>
      <c r="I960" s="115"/>
      <c r="J960" s="100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 spans="1:20" ht="12.75">
      <c r="A961" s="26"/>
      <c r="B961" s="26"/>
      <c r="C961" s="26"/>
      <c r="D961" s="26"/>
      <c r="E961" s="26"/>
      <c r="F961" s="26"/>
      <c r="G961" s="76"/>
      <c r="H961" s="76"/>
      <c r="I961" s="115"/>
      <c r="J961" s="100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 spans="1:20" ht="12.75">
      <c r="A962" s="26"/>
      <c r="B962" s="26"/>
      <c r="C962" s="26"/>
      <c r="D962" s="26"/>
      <c r="E962" s="26"/>
      <c r="F962" s="26"/>
      <c r="G962" s="76"/>
      <c r="H962" s="76"/>
      <c r="I962" s="115"/>
      <c r="J962" s="100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 spans="1:20" ht="12.75">
      <c r="A963" s="26"/>
      <c r="B963" s="26"/>
      <c r="C963" s="26"/>
      <c r="D963" s="26"/>
      <c r="E963" s="26"/>
      <c r="F963" s="26"/>
      <c r="G963" s="76"/>
      <c r="H963" s="76"/>
      <c r="I963" s="115"/>
      <c r="J963" s="100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 spans="1:20" ht="12.75">
      <c r="A964" s="26"/>
      <c r="B964" s="26"/>
      <c r="C964" s="26"/>
      <c r="D964" s="26"/>
      <c r="E964" s="26"/>
      <c r="F964" s="26"/>
      <c r="G964" s="76"/>
      <c r="H964" s="76"/>
      <c r="I964" s="115"/>
      <c r="J964" s="100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 spans="1:20" ht="12.75">
      <c r="A965" s="26"/>
      <c r="B965" s="26"/>
      <c r="C965" s="26"/>
      <c r="D965" s="26"/>
      <c r="E965" s="26"/>
      <c r="F965" s="26"/>
      <c r="G965" s="76"/>
      <c r="H965" s="76"/>
      <c r="I965" s="115"/>
      <c r="J965" s="100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 spans="1:20" ht="12.75">
      <c r="A966" s="26"/>
      <c r="B966" s="26"/>
      <c r="C966" s="26"/>
      <c r="D966" s="26"/>
      <c r="E966" s="26"/>
      <c r="F966" s="26"/>
      <c r="G966" s="76"/>
      <c r="H966" s="76"/>
      <c r="I966" s="115"/>
      <c r="J966" s="100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 spans="1:20" ht="12.75">
      <c r="A967" s="26"/>
      <c r="B967" s="26"/>
      <c r="C967" s="26"/>
      <c r="D967" s="26"/>
      <c r="E967" s="26"/>
      <c r="F967" s="26"/>
      <c r="G967" s="76"/>
      <c r="H967" s="76"/>
      <c r="I967" s="115"/>
      <c r="J967" s="100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 spans="1:20" ht="12.75">
      <c r="A968" s="26"/>
      <c r="B968" s="26"/>
      <c r="C968" s="26"/>
      <c r="D968" s="26"/>
      <c r="E968" s="26"/>
      <c r="F968" s="26"/>
      <c r="G968" s="76"/>
      <c r="H968" s="76"/>
      <c r="I968" s="115"/>
      <c r="J968" s="100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 spans="1:20" ht="12.75">
      <c r="A969" s="26"/>
      <c r="B969" s="26"/>
      <c r="C969" s="26"/>
      <c r="D969" s="26"/>
      <c r="E969" s="26"/>
      <c r="F969" s="26"/>
      <c r="G969" s="76"/>
      <c r="H969" s="76"/>
      <c r="I969" s="115"/>
      <c r="J969" s="100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 spans="1:20" ht="12.75">
      <c r="A970" s="26"/>
      <c r="B970" s="26"/>
      <c r="C970" s="26"/>
      <c r="D970" s="26"/>
      <c r="E970" s="26"/>
      <c r="F970" s="26"/>
      <c r="G970" s="76"/>
      <c r="H970" s="76"/>
      <c r="I970" s="115"/>
      <c r="J970" s="100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 spans="1:20" ht="12.75">
      <c r="A971" s="26"/>
      <c r="B971" s="26"/>
      <c r="C971" s="26"/>
      <c r="D971" s="26"/>
      <c r="E971" s="26"/>
      <c r="F971" s="26"/>
      <c r="G971" s="76"/>
      <c r="H971" s="76"/>
      <c r="I971" s="115"/>
      <c r="J971" s="100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 spans="1:20" ht="12.75">
      <c r="A972" s="26"/>
      <c r="B972" s="26"/>
      <c r="C972" s="26"/>
      <c r="D972" s="26"/>
      <c r="E972" s="26"/>
      <c r="F972" s="26"/>
      <c r="G972" s="76"/>
      <c r="H972" s="76"/>
      <c r="I972" s="115"/>
      <c r="J972" s="100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 spans="1:20" ht="12.75">
      <c r="A973" s="26"/>
      <c r="B973" s="26"/>
      <c r="C973" s="26"/>
      <c r="D973" s="26"/>
      <c r="E973" s="26"/>
      <c r="F973" s="26"/>
      <c r="G973" s="76"/>
      <c r="H973" s="76"/>
      <c r="I973" s="115"/>
      <c r="J973" s="100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 spans="1:20" ht="12.75">
      <c r="A974" s="26"/>
      <c r="B974" s="26"/>
      <c r="C974" s="26"/>
      <c r="D974" s="26"/>
      <c r="E974" s="26"/>
      <c r="F974" s="26"/>
      <c r="G974" s="76"/>
      <c r="H974" s="76"/>
      <c r="I974" s="115"/>
      <c r="J974" s="100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 spans="1:20" ht="12.75">
      <c r="A975" s="26"/>
      <c r="B975" s="26"/>
      <c r="C975" s="26"/>
      <c r="D975" s="26"/>
      <c r="E975" s="26"/>
      <c r="F975" s="26"/>
      <c r="G975" s="76"/>
      <c r="H975" s="76"/>
      <c r="I975" s="115"/>
      <c r="J975" s="100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 spans="1:20" ht="12.75">
      <c r="A976" s="26"/>
      <c r="B976" s="26"/>
      <c r="C976" s="26"/>
      <c r="D976" s="26"/>
      <c r="E976" s="26"/>
      <c r="F976" s="26"/>
      <c r="G976" s="76"/>
      <c r="H976" s="76"/>
      <c r="I976" s="115"/>
      <c r="J976" s="100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 spans="1:20" ht="12.75">
      <c r="A977" s="26"/>
      <c r="B977" s="26"/>
      <c r="C977" s="26"/>
      <c r="D977" s="26"/>
      <c r="E977" s="26"/>
      <c r="F977" s="26"/>
      <c r="G977" s="76"/>
      <c r="H977" s="76"/>
      <c r="I977" s="115"/>
      <c r="J977" s="100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 spans="1:20" ht="12.75">
      <c r="A978" s="26"/>
      <c r="B978" s="26"/>
      <c r="C978" s="26"/>
      <c r="D978" s="26"/>
      <c r="E978" s="26"/>
      <c r="F978" s="26"/>
      <c r="G978" s="76"/>
      <c r="H978" s="76"/>
      <c r="I978" s="115"/>
      <c r="J978" s="100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 spans="1:20" ht="12.75">
      <c r="A979" s="26"/>
      <c r="B979" s="26"/>
      <c r="C979" s="26"/>
      <c r="D979" s="26"/>
      <c r="E979" s="26"/>
      <c r="F979" s="26"/>
      <c r="G979" s="76"/>
      <c r="H979" s="76"/>
      <c r="I979" s="115"/>
      <c r="J979" s="100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 spans="1:20" ht="12.75">
      <c r="A980" s="26"/>
      <c r="B980" s="26"/>
      <c r="C980" s="26"/>
      <c r="D980" s="26"/>
      <c r="E980" s="26"/>
      <c r="F980" s="26"/>
      <c r="G980" s="76"/>
      <c r="H980" s="76"/>
      <c r="I980" s="115"/>
      <c r="J980" s="100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 spans="1:20" ht="12.75">
      <c r="A981" s="26"/>
      <c r="B981" s="26"/>
      <c r="C981" s="26"/>
      <c r="D981" s="26"/>
      <c r="E981" s="26"/>
      <c r="F981" s="26"/>
      <c r="G981" s="76"/>
      <c r="H981" s="76"/>
      <c r="I981" s="115"/>
      <c r="J981" s="100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 spans="1:20" ht="12.75">
      <c r="A982" s="26"/>
      <c r="B982" s="26"/>
      <c r="C982" s="26"/>
      <c r="D982" s="26"/>
      <c r="E982" s="26"/>
      <c r="F982" s="26"/>
      <c r="G982" s="76"/>
      <c r="H982" s="76"/>
      <c r="I982" s="115"/>
      <c r="J982" s="100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 spans="1:20" ht="12.75">
      <c r="A983" s="26"/>
      <c r="B983" s="26"/>
      <c r="C983" s="26"/>
      <c r="D983" s="26"/>
      <c r="E983" s="26"/>
      <c r="F983" s="26"/>
      <c r="G983" s="76"/>
      <c r="H983" s="76"/>
      <c r="I983" s="115"/>
      <c r="J983" s="100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 spans="1:20" ht="12.75">
      <c r="A984" s="26"/>
      <c r="B984" s="26"/>
      <c r="C984" s="26"/>
      <c r="D984" s="26"/>
      <c r="E984" s="26"/>
      <c r="F984" s="26"/>
      <c r="G984" s="76"/>
      <c r="H984" s="76"/>
      <c r="I984" s="115"/>
      <c r="J984" s="100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 spans="1:20" ht="12.75">
      <c r="A985" s="26"/>
      <c r="B985" s="26"/>
      <c r="C985" s="26"/>
      <c r="D985" s="26"/>
      <c r="E985" s="26"/>
      <c r="F985" s="26"/>
      <c r="G985" s="76"/>
      <c r="H985" s="76"/>
      <c r="I985" s="115"/>
      <c r="J985" s="100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 spans="1:20" ht="12.75">
      <c r="A986" s="26"/>
      <c r="B986" s="26"/>
      <c r="C986" s="26"/>
      <c r="D986" s="26"/>
      <c r="E986" s="26"/>
      <c r="F986" s="26"/>
      <c r="G986" s="76"/>
      <c r="H986" s="76"/>
      <c r="I986" s="115"/>
      <c r="J986" s="100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 spans="1:20" ht="12.75">
      <c r="A987" s="26"/>
      <c r="B987" s="26"/>
      <c r="C987" s="26"/>
      <c r="D987" s="26"/>
      <c r="E987" s="26"/>
      <c r="F987" s="26"/>
      <c r="G987" s="76"/>
      <c r="H987" s="76"/>
      <c r="I987" s="115"/>
      <c r="J987" s="100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 spans="1:20" ht="12.75">
      <c r="A988" s="26"/>
      <c r="B988" s="26"/>
      <c r="C988" s="26"/>
      <c r="D988" s="26"/>
      <c r="E988" s="26"/>
      <c r="F988" s="26"/>
      <c r="G988" s="76"/>
      <c r="H988" s="76"/>
      <c r="I988" s="115"/>
      <c r="J988" s="100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 spans="1:20" ht="12.75">
      <c r="A989" s="26"/>
      <c r="B989" s="26"/>
      <c r="C989" s="26"/>
      <c r="D989" s="26"/>
      <c r="E989" s="26"/>
      <c r="F989" s="26"/>
      <c r="G989" s="76"/>
      <c r="H989" s="76"/>
      <c r="I989" s="115"/>
      <c r="J989" s="100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 spans="1:20" ht="12.75">
      <c r="A990" s="26"/>
      <c r="B990" s="26"/>
      <c r="C990" s="26"/>
      <c r="D990" s="26"/>
      <c r="E990" s="26"/>
      <c r="F990" s="26"/>
      <c r="G990" s="76"/>
      <c r="H990" s="76"/>
      <c r="I990" s="115"/>
      <c r="J990" s="100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 spans="1:20" ht="12.75">
      <c r="A991" s="26"/>
      <c r="B991" s="26"/>
      <c r="C991" s="26"/>
      <c r="D991" s="26"/>
      <c r="E991" s="26"/>
      <c r="F991" s="26"/>
      <c r="G991" s="76"/>
      <c r="H991" s="76"/>
      <c r="I991" s="115"/>
      <c r="J991" s="100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 spans="1:20" ht="12.75">
      <c r="A992" s="26"/>
      <c r="B992" s="26"/>
      <c r="C992" s="26"/>
      <c r="D992" s="26"/>
      <c r="E992" s="26"/>
      <c r="F992" s="26"/>
      <c r="G992" s="76"/>
      <c r="H992" s="76"/>
      <c r="I992" s="115"/>
      <c r="J992" s="100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 spans="1:20" ht="12.75">
      <c r="A993" s="26"/>
      <c r="B993" s="26"/>
      <c r="C993" s="26"/>
      <c r="D993" s="26"/>
      <c r="E993" s="26"/>
      <c r="F993" s="26"/>
      <c r="G993" s="7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 spans="1:20" ht="12.75">
      <c r="A994" s="26"/>
      <c r="B994" s="26"/>
      <c r="C994" s="26"/>
      <c r="D994" s="26"/>
      <c r="E994" s="26"/>
      <c r="F994" s="26"/>
      <c r="G994" s="7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</sheetData>
  <mergeCells count="2">
    <mergeCell ref="L11:N16"/>
    <mergeCell ref="L20:N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 de preços</vt:lpstr>
      <vt:lpstr>Produtos Geris </vt:lpstr>
      <vt:lpstr>Produtos Cir</vt:lpstr>
      <vt:lpstr>Produtos Correr DN150 </vt:lpstr>
      <vt:lpstr>Produtos Camarão</vt:lpstr>
      <vt:lpstr>EM BRANCO</vt:lpstr>
      <vt:lpstr>Grade Geris WC</vt:lpstr>
      <vt:lpstr>Grade Geris Interno</vt:lpstr>
      <vt:lpstr>Grade Geris Externo</vt:lpstr>
      <vt:lpstr>Grade Correr DN150</vt:lpstr>
      <vt:lpstr>Grade CIR WC</vt:lpstr>
      <vt:lpstr>Grade CIR Interno</vt:lpstr>
      <vt:lpstr>Grade CIR Externo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Leandro</cp:lastModifiedBy>
  <dcterms:modified xsi:type="dcterms:W3CDTF">2026-04-21T18:55:01Z</dcterms:modified>
</cp:coreProperties>
</file>