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naldo Leandro\Desktop\"/>
    </mc:Choice>
  </mc:AlternateContent>
  <bookViews>
    <workbookView xWindow="0" yWindow="0" windowWidth="28800" windowHeight="12315" tabRatio="937" firstSheet="7" activeTab="15"/>
  </bookViews>
  <sheets>
    <sheet name="Resumo Geral" sheetId="1" r:id="rId1"/>
    <sheet name="Tabela de preços" sheetId="2" state="hidden" r:id="rId2"/>
    <sheet name="PT PIVO GERIS EXT" sheetId="9" r:id="rId3"/>
    <sheet name="PT PIVO GERIS INTERNA" sheetId="12" r:id="rId4"/>
    <sheet name="PT PIVO GERIS WC" sheetId="11" r:id="rId5"/>
    <sheet name="PT PIVO ITALY LINE EXT" sheetId="10" r:id="rId6"/>
    <sheet name="PT PIVO ITALY LINE INT" sheetId="8" r:id="rId7"/>
    <sheet name="PT PIVO ITALYNE WC" sheetId="7" r:id="rId8"/>
    <sheet name="PT PIVO CIR INTERNA" sheetId="14" r:id="rId9"/>
    <sheet name="PT PIVO CIR WC" sheetId="15" r:id="rId10"/>
    <sheet name="PT PASSAGEM WC 3D" sheetId="6" r:id="rId11"/>
    <sheet name="PT PASSAGEM INTERNA 3D" sheetId="5" r:id="rId12"/>
    <sheet name="PT CORRER RO82 TOP INT" sheetId="4" r:id="rId13"/>
    <sheet name="PT CORRER RO82 TOP WC" sheetId="3" r:id="rId14"/>
    <sheet name="PORTA CORRER DN150 INT" sheetId="16" r:id="rId15"/>
    <sheet name="PORTA CORRER DN150 WC" sheetId="13" r:id="rId16"/>
  </sheets>
  <calcPr calcId="152511"/>
</workbook>
</file>

<file path=xl/calcChain.xml><?xml version="1.0" encoding="utf-8"?>
<calcChain xmlns="http://schemas.openxmlformats.org/spreadsheetml/2006/main">
  <c r="F29" i="16" l="1"/>
  <c r="F27" i="5"/>
  <c r="F27" i="15"/>
  <c r="F26" i="9"/>
  <c r="E9" i="10" l="1"/>
  <c r="F9" i="10" s="1"/>
  <c r="D9" i="10"/>
  <c r="B9" i="10"/>
  <c r="E13" i="4"/>
  <c r="F13" i="4" s="1"/>
  <c r="D13" i="4"/>
  <c r="B13" i="4"/>
  <c r="E27" i="16"/>
  <c r="F27" i="16" s="1"/>
  <c r="D27" i="16"/>
  <c r="B27" i="16"/>
  <c r="E26" i="16"/>
  <c r="F26" i="16" s="1"/>
  <c r="D26" i="16"/>
  <c r="B26" i="16"/>
  <c r="E24" i="16"/>
  <c r="F24" i="16" s="1"/>
  <c r="D24" i="16"/>
  <c r="B24" i="16"/>
  <c r="E23" i="16"/>
  <c r="F23" i="16" s="1"/>
  <c r="D23" i="16"/>
  <c r="B23" i="16"/>
  <c r="E22" i="16"/>
  <c r="F22" i="16" s="1"/>
  <c r="D22" i="16"/>
  <c r="B22" i="16"/>
  <c r="E21" i="16"/>
  <c r="F21" i="16" s="1"/>
  <c r="D21" i="16"/>
  <c r="B21" i="16"/>
  <c r="E20" i="16"/>
  <c r="F20" i="16" s="1"/>
  <c r="D20" i="16"/>
  <c r="B20" i="16"/>
  <c r="E19" i="16"/>
  <c r="F19" i="16" s="1"/>
  <c r="D19" i="16"/>
  <c r="B19" i="16"/>
  <c r="E18" i="16"/>
  <c r="F18" i="16" s="1"/>
  <c r="D18" i="16"/>
  <c r="B18" i="16"/>
  <c r="E17" i="16"/>
  <c r="F17" i="16" s="1"/>
  <c r="D17" i="16"/>
  <c r="B17" i="16"/>
  <c r="E16" i="16"/>
  <c r="F16" i="16" s="1"/>
  <c r="D16" i="16"/>
  <c r="B16" i="16"/>
  <c r="E15" i="16"/>
  <c r="F15" i="16" s="1"/>
  <c r="D15" i="16"/>
  <c r="B15" i="16"/>
  <c r="E13" i="16"/>
  <c r="F13" i="16" s="1"/>
  <c r="D13" i="16"/>
  <c r="B13" i="16"/>
  <c r="E12" i="16"/>
  <c r="F12" i="16" s="1"/>
  <c r="D12" i="16"/>
  <c r="B12" i="16"/>
  <c r="E11" i="16"/>
  <c r="F11" i="16" s="1"/>
  <c r="D11" i="16"/>
  <c r="B11" i="16"/>
  <c r="E10" i="16"/>
  <c r="F10" i="16" s="1"/>
  <c r="D10" i="16"/>
  <c r="B10" i="16"/>
  <c r="E9" i="16"/>
  <c r="F9" i="16" s="1"/>
  <c r="D9" i="16"/>
  <c r="B9" i="16"/>
  <c r="E8" i="16"/>
  <c r="F8" i="16" s="1"/>
  <c r="D8" i="16"/>
  <c r="B8" i="16"/>
  <c r="E7" i="16"/>
  <c r="F7" i="16" s="1"/>
  <c r="D7" i="16"/>
  <c r="B7" i="16"/>
  <c r="E6" i="16"/>
  <c r="F6" i="16" s="1"/>
  <c r="D6" i="16"/>
  <c r="B6" i="16"/>
  <c r="E25" i="15"/>
  <c r="F25" i="15" s="1"/>
  <c r="D25" i="15"/>
  <c r="B25" i="15"/>
  <c r="E24" i="15"/>
  <c r="F24" i="15" s="1"/>
  <c r="D24" i="15"/>
  <c r="B24" i="15"/>
  <c r="E22" i="15"/>
  <c r="F22" i="15" s="1"/>
  <c r="D22" i="15"/>
  <c r="B22" i="15"/>
  <c r="E21" i="15"/>
  <c r="F21" i="15" s="1"/>
  <c r="D21" i="15"/>
  <c r="B21" i="15"/>
  <c r="E20" i="15"/>
  <c r="F20" i="15" s="1"/>
  <c r="D20" i="15"/>
  <c r="B20" i="15"/>
  <c r="E19" i="15"/>
  <c r="F19" i="15" s="1"/>
  <c r="D19" i="15"/>
  <c r="B19" i="15"/>
  <c r="E18" i="15"/>
  <c r="F18" i="15" s="1"/>
  <c r="D18" i="15"/>
  <c r="B18" i="15"/>
  <c r="E17" i="15"/>
  <c r="F17" i="15" s="1"/>
  <c r="D17" i="15"/>
  <c r="B17" i="15"/>
  <c r="E16" i="15"/>
  <c r="F16" i="15" s="1"/>
  <c r="D16" i="15"/>
  <c r="B16" i="15"/>
  <c r="E15" i="15"/>
  <c r="F15" i="15" s="1"/>
  <c r="D15" i="15"/>
  <c r="B15" i="15"/>
  <c r="E14" i="15"/>
  <c r="F14" i="15" s="1"/>
  <c r="D14" i="15"/>
  <c r="B14" i="15"/>
  <c r="E13" i="15"/>
  <c r="F13" i="15" s="1"/>
  <c r="D13" i="15"/>
  <c r="B13" i="15"/>
  <c r="E11" i="15"/>
  <c r="F11" i="15" s="1"/>
  <c r="D11" i="15"/>
  <c r="B11" i="15"/>
  <c r="E9" i="15"/>
  <c r="F9" i="15" s="1"/>
  <c r="D9" i="15"/>
  <c r="B9" i="15"/>
  <c r="E10" i="15"/>
  <c r="F10" i="15" s="1"/>
  <c r="D10" i="15"/>
  <c r="B10" i="15"/>
  <c r="E8" i="15"/>
  <c r="F8" i="15" s="1"/>
  <c r="D8" i="15"/>
  <c r="B8" i="15"/>
  <c r="E7" i="15"/>
  <c r="F7" i="15" s="1"/>
  <c r="D7" i="15"/>
  <c r="B7" i="15"/>
  <c r="E6" i="15"/>
  <c r="F6" i="15" s="1"/>
  <c r="D6" i="15"/>
  <c r="B6" i="15"/>
  <c r="E25" i="14"/>
  <c r="F25" i="14" s="1"/>
  <c r="D25" i="14"/>
  <c r="B25" i="14"/>
  <c r="E24" i="14"/>
  <c r="F24" i="14" s="1"/>
  <c r="D24" i="14"/>
  <c r="B24" i="14"/>
  <c r="E22" i="14"/>
  <c r="F22" i="14" s="1"/>
  <c r="D22" i="14"/>
  <c r="B22" i="14"/>
  <c r="E21" i="14"/>
  <c r="F21" i="14" s="1"/>
  <c r="D21" i="14"/>
  <c r="B21" i="14"/>
  <c r="E20" i="14"/>
  <c r="F20" i="14" s="1"/>
  <c r="D20" i="14"/>
  <c r="B20" i="14"/>
  <c r="E19" i="14"/>
  <c r="F19" i="14" s="1"/>
  <c r="D19" i="14"/>
  <c r="B19" i="14"/>
  <c r="E18" i="14"/>
  <c r="F18" i="14" s="1"/>
  <c r="D18" i="14"/>
  <c r="B18" i="14"/>
  <c r="E17" i="14"/>
  <c r="F17" i="14" s="1"/>
  <c r="D17" i="14"/>
  <c r="B17" i="14"/>
  <c r="E16" i="14"/>
  <c r="F16" i="14" s="1"/>
  <c r="D16" i="14"/>
  <c r="B16" i="14"/>
  <c r="E15" i="14"/>
  <c r="F15" i="14" s="1"/>
  <c r="D15" i="14"/>
  <c r="B15" i="14"/>
  <c r="E14" i="14"/>
  <c r="F14" i="14" s="1"/>
  <c r="D14" i="14"/>
  <c r="B14" i="14"/>
  <c r="E13" i="14"/>
  <c r="F13" i="14" s="1"/>
  <c r="D13" i="14"/>
  <c r="B13" i="14"/>
  <c r="E10" i="14"/>
  <c r="F10" i="14" s="1"/>
  <c r="D10" i="14"/>
  <c r="B10" i="14"/>
  <c r="E11" i="14"/>
  <c r="F11" i="14" s="1"/>
  <c r="D11" i="14"/>
  <c r="B11" i="14"/>
  <c r="E9" i="14"/>
  <c r="F9" i="14" s="1"/>
  <c r="D9" i="14"/>
  <c r="B9" i="14"/>
  <c r="E8" i="14"/>
  <c r="F8" i="14" s="1"/>
  <c r="D8" i="14"/>
  <c r="B8" i="14"/>
  <c r="E7" i="14"/>
  <c r="F7" i="14" s="1"/>
  <c r="D7" i="14"/>
  <c r="B7" i="14"/>
  <c r="E6" i="14"/>
  <c r="F6" i="14" s="1"/>
  <c r="D6" i="14"/>
  <c r="B6" i="14"/>
  <c r="E28" i="13"/>
  <c r="F28" i="13" s="1"/>
  <c r="D28" i="13"/>
  <c r="B28" i="13"/>
  <c r="E27" i="13"/>
  <c r="F27" i="13" s="1"/>
  <c r="D27" i="13"/>
  <c r="B27" i="13"/>
  <c r="E25" i="13"/>
  <c r="F25" i="13" s="1"/>
  <c r="D25" i="13"/>
  <c r="B25" i="13"/>
  <c r="E24" i="13"/>
  <c r="F24" i="13" s="1"/>
  <c r="D24" i="13"/>
  <c r="B24" i="13"/>
  <c r="E23" i="13"/>
  <c r="F23" i="13" s="1"/>
  <c r="D23" i="13"/>
  <c r="B23" i="13"/>
  <c r="E22" i="13"/>
  <c r="F22" i="13" s="1"/>
  <c r="D22" i="13"/>
  <c r="B22" i="13"/>
  <c r="E21" i="13"/>
  <c r="F21" i="13" s="1"/>
  <c r="D21" i="13"/>
  <c r="B21" i="13"/>
  <c r="E20" i="13"/>
  <c r="F20" i="13" s="1"/>
  <c r="D20" i="13"/>
  <c r="B20" i="13"/>
  <c r="E19" i="13"/>
  <c r="F19" i="13" s="1"/>
  <c r="D19" i="13"/>
  <c r="B19" i="13"/>
  <c r="E18" i="13"/>
  <c r="F18" i="13" s="1"/>
  <c r="D18" i="13"/>
  <c r="B18" i="13"/>
  <c r="E17" i="13"/>
  <c r="F17" i="13" s="1"/>
  <c r="D17" i="13"/>
  <c r="B17" i="13"/>
  <c r="E16" i="13"/>
  <c r="F16" i="13" s="1"/>
  <c r="D16" i="13"/>
  <c r="B16" i="13"/>
  <c r="E13" i="13"/>
  <c r="F13" i="13" s="1"/>
  <c r="D13" i="13"/>
  <c r="B13" i="13"/>
  <c r="E14" i="13"/>
  <c r="F14" i="13" s="1"/>
  <c r="D14" i="13"/>
  <c r="B14" i="13"/>
  <c r="E12" i="13"/>
  <c r="F12" i="13" s="1"/>
  <c r="D12" i="13"/>
  <c r="B12" i="13"/>
  <c r="E11" i="13"/>
  <c r="F11" i="13" s="1"/>
  <c r="D11" i="13"/>
  <c r="B11" i="13"/>
  <c r="E10" i="13"/>
  <c r="F10" i="13" s="1"/>
  <c r="D10" i="13"/>
  <c r="B10" i="13"/>
  <c r="E9" i="13"/>
  <c r="F9" i="13" s="1"/>
  <c r="D9" i="13"/>
  <c r="B9" i="13"/>
  <c r="E8" i="13"/>
  <c r="F8" i="13" s="1"/>
  <c r="D8" i="13"/>
  <c r="B8" i="13"/>
  <c r="E7" i="13"/>
  <c r="F7" i="13" s="1"/>
  <c r="D7" i="13"/>
  <c r="B7" i="13"/>
  <c r="E6" i="13"/>
  <c r="F6" i="13" s="1"/>
  <c r="D6" i="13"/>
  <c r="B6" i="13"/>
  <c r="E25" i="12"/>
  <c r="F25" i="12" s="1"/>
  <c r="D25" i="12"/>
  <c r="B25" i="12"/>
  <c r="E24" i="12"/>
  <c r="F24" i="12" s="1"/>
  <c r="D24" i="12"/>
  <c r="B24" i="12"/>
  <c r="E22" i="12"/>
  <c r="F22" i="12" s="1"/>
  <c r="D22" i="12"/>
  <c r="B22" i="12"/>
  <c r="E21" i="12"/>
  <c r="F21" i="12" s="1"/>
  <c r="D21" i="12"/>
  <c r="B21" i="12"/>
  <c r="F20" i="12"/>
  <c r="E20" i="12"/>
  <c r="D20" i="12"/>
  <c r="B20" i="12"/>
  <c r="E19" i="12"/>
  <c r="F19" i="12" s="1"/>
  <c r="D19" i="12"/>
  <c r="B19" i="12"/>
  <c r="E18" i="12"/>
  <c r="F18" i="12" s="1"/>
  <c r="D18" i="12"/>
  <c r="B18" i="12"/>
  <c r="E17" i="12"/>
  <c r="F17" i="12" s="1"/>
  <c r="D17" i="12"/>
  <c r="B17" i="12"/>
  <c r="E16" i="12"/>
  <c r="F16" i="12" s="1"/>
  <c r="D16" i="12"/>
  <c r="B16" i="12"/>
  <c r="E15" i="12"/>
  <c r="F15" i="12" s="1"/>
  <c r="D15" i="12"/>
  <c r="B15" i="12"/>
  <c r="E14" i="12"/>
  <c r="F14" i="12" s="1"/>
  <c r="D14" i="12"/>
  <c r="B14" i="12"/>
  <c r="E13" i="12"/>
  <c r="F13" i="12" s="1"/>
  <c r="D13" i="12"/>
  <c r="B13" i="12"/>
  <c r="E11" i="12"/>
  <c r="F11" i="12" s="1"/>
  <c r="D11" i="12"/>
  <c r="B11" i="12"/>
  <c r="E10" i="12"/>
  <c r="F10" i="12" s="1"/>
  <c r="D10" i="12"/>
  <c r="B10" i="12"/>
  <c r="E9" i="12"/>
  <c r="F9" i="12" s="1"/>
  <c r="D9" i="12"/>
  <c r="B9" i="12"/>
  <c r="E8" i="12"/>
  <c r="F8" i="12" s="1"/>
  <c r="D8" i="12"/>
  <c r="B8" i="12"/>
  <c r="E7" i="12"/>
  <c r="F7" i="12" s="1"/>
  <c r="D7" i="12"/>
  <c r="B7" i="12"/>
  <c r="E6" i="12"/>
  <c r="F6" i="12" s="1"/>
  <c r="D6" i="12"/>
  <c r="B6" i="12"/>
  <c r="E25" i="11"/>
  <c r="F25" i="11" s="1"/>
  <c r="D25" i="11"/>
  <c r="B25" i="11"/>
  <c r="E24" i="11"/>
  <c r="F24" i="11" s="1"/>
  <c r="D24" i="11"/>
  <c r="B24" i="11"/>
  <c r="E22" i="11"/>
  <c r="F22" i="11" s="1"/>
  <c r="D22" i="11"/>
  <c r="B22" i="11"/>
  <c r="E21" i="11"/>
  <c r="F21" i="11" s="1"/>
  <c r="D21" i="11"/>
  <c r="B21" i="11"/>
  <c r="E20" i="11"/>
  <c r="F20" i="11" s="1"/>
  <c r="D20" i="11"/>
  <c r="B20" i="11"/>
  <c r="E19" i="11"/>
  <c r="F19" i="11" s="1"/>
  <c r="D19" i="11"/>
  <c r="B19" i="11"/>
  <c r="E18" i="11"/>
  <c r="F18" i="11" s="1"/>
  <c r="D18" i="11"/>
  <c r="B18" i="11"/>
  <c r="E17" i="11"/>
  <c r="F17" i="11" s="1"/>
  <c r="D17" i="11"/>
  <c r="B17" i="11"/>
  <c r="E16" i="11"/>
  <c r="F16" i="11" s="1"/>
  <c r="D16" i="11"/>
  <c r="B16" i="11"/>
  <c r="E15" i="11"/>
  <c r="F15" i="11" s="1"/>
  <c r="D15" i="11"/>
  <c r="B15" i="11"/>
  <c r="E14" i="11"/>
  <c r="F14" i="11" s="1"/>
  <c r="D14" i="11"/>
  <c r="B14" i="11"/>
  <c r="E13" i="11"/>
  <c r="F13" i="11" s="1"/>
  <c r="D13" i="11"/>
  <c r="B13" i="11"/>
  <c r="E11" i="11"/>
  <c r="F11" i="11" s="1"/>
  <c r="D11" i="11"/>
  <c r="B11" i="11"/>
  <c r="E9" i="11"/>
  <c r="F9" i="11" s="1"/>
  <c r="D9" i="11"/>
  <c r="B9" i="11"/>
  <c r="E10" i="11"/>
  <c r="F10" i="11" s="1"/>
  <c r="D10" i="11"/>
  <c r="B10" i="11"/>
  <c r="E8" i="11"/>
  <c r="F8" i="11" s="1"/>
  <c r="D8" i="11"/>
  <c r="B8" i="11"/>
  <c r="E7" i="11"/>
  <c r="F7" i="11" s="1"/>
  <c r="D7" i="11"/>
  <c r="B7" i="11"/>
  <c r="E6" i="11"/>
  <c r="F6" i="11" s="1"/>
  <c r="D6" i="11"/>
  <c r="B6" i="11"/>
  <c r="E24" i="10"/>
  <c r="F24" i="10" s="1"/>
  <c r="D24" i="10"/>
  <c r="B24" i="10"/>
  <c r="E23" i="10"/>
  <c r="F23" i="10" s="1"/>
  <c r="D23" i="10"/>
  <c r="B23" i="10"/>
  <c r="E21" i="10"/>
  <c r="F21" i="10" s="1"/>
  <c r="D21" i="10"/>
  <c r="B21" i="10"/>
  <c r="E20" i="10"/>
  <c r="F20" i="10" s="1"/>
  <c r="D20" i="10"/>
  <c r="B20" i="10"/>
  <c r="E19" i="10"/>
  <c r="F19" i="10" s="1"/>
  <c r="D19" i="10"/>
  <c r="B19" i="10"/>
  <c r="E18" i="10"/>
  <c r="F18" i="10" s="1"/>
  <c r="D18" i="10"/>
  <c r="B18" i="10"/>
  <c r="E17" i="10"/>
  <c r="F17" i="10" s="1"/>
  <c r="D17" i="10"/>
  <c r="B17" i="10"/>
  <c r="E16" i="10"/>
  <c r="F16" i="10" s="1"/>
  <c r="D16" i="10"/>
  <c r="B16" i="10"/>
  <c r="E15" i="10"/>
  <c r="F15" i="10" s="1"/>
  <c r="D15" i="10"/>
  <c r="B15" i="10"/>
  <c r="E14" i="10"/>
  <c r="F14" i="10" s="1"/>
  <c r="D14" i="10"/>
  <c r="B14" i="10"/>
  <c r="E13" i="10"/>
  <c r="F13" i="10" s="1"/>
  <c r="D13" i="10"/>
  <c r="B13" i="10"/>
  <c r="E12" i="10"/>
  <c r="F12" i="10" s="1"/>
  <c r="D12" i="10"/>
  <c r="B12" i="10"/>
  <c r="E10" i="10"/>
  <c r="F10" i="10" s="1"/>
  <c r="D10" i="10"/>
  <c r="B10" i="10"/>
  <c r="E8" i="10"/>
  <c r="F8" i="10" s="1"/>
  <c r="D8" i="10"/>
  <c r="B8" i="10"/>
  <c r="E7" i="10"/>
  <c r="F7" i="10" s="1"/>
  <c r="D7" i="10"/>
  <c r="B7" i="10"/>
  <c r="E6" i="10"/>
  <c r="F6" i="10" s="1"/>
  <c r="D6" i="10"/>
  <c r="B6" i="10"/>
  <c r="E24" i="9"/>
  <c r="F24" i="9" s="1"/>
  <c r="D24" i="9"/>
  <c r="B24" i="9"/>
  <c r="E23" i="9"/>
  <c r="F23" i="9" s="1"/>
  <c r="D23" i="9"/>
  <c r="B23" i="9"/>
  <c r="E21" i="9"/>
  <c r="F21" i="9" s="1"/>
  <c r="D21" i="9"/>
  <c r="B21" i="9"/>
  <c r="E20" i="9"/>
  <c r="F20" i="9" s="1"/>
  <c r="D20" i="9"/>
  <c r="B20" i="9"/>
  <c r="F19" i="9"/>
  <c r="E19" i="9"/>
  <c r="D19" i="9"/>
  <c r="B19" i="9"/>
  <c r="E18" i="9"/>
  <c r="F18" i="9" s="1"/>
  <c r="D18" i="9"/>
  <c r="B18" i="9"/>
  <c r="E17" i="9"/>
  <c r="F17" i="9" s="1"/>
  <c r="D17" i="9"/>
  <c r="B17" i="9"/>
  <c r="E16" i="9"/>
  <c r="F16" i="9" s="1"/>
  <c r="D16" i="9"/>
  <c r="B16" i="9"/>
  <c r="E15" i="9"/>
  <c r="F15" i="9" s="1"/>
  <c r="D15" i="9"/>
  <c r="B15" i="9"/>
  <c r="E14" i="9"/>
  <c r="F14" i="9" s="1"/>
  <c r="D14" i="9"/>
  <c r="B14" i="9"/>
  <c r="E13" i="9"/>
  <c r="F13" i="9" s="1"/>
  <c r="D13" i="9"/>
  <c r="B13" i="9"/>
  <c r="E12" i="9"/>
  <c r="F12" i="9" s="1"/>
  <c r="D12" i="9"/>
  <c r="B12" i="9"/>
  <c r="E10" i="9"/>
  <c r="F10" i="9" s="1"/>
  <c r="D10" i="9"/>
  <c r="B10" i="9"/>
  <c r="E9" i="9"/>
  <c r="F9" i="9" s="1"/>
  <c r="D9" i="9"/>
  <c r="B9" i="9"/>
  <c r="E8" i="9"/>
  <c r="F8" i="9" s="1"/>
  <c r="D8" i="9"/>
  <c r="B8" i="9"/>
  <c r="E7" i="9"/>
  <c r="F7" i="9" s="1"/>
  <c r="D7" i="9"/>
  <c r="B7" i="9"/>
  <c r="E6" i="9"/>
  <c r="F6" i="9" s="1"/>
  <c r="D6" i="9"/>
  <c r="B6" i="9"/>
  <c r="E25" i="8"/>
  <c r="F25" i="8" s="1"/>
  <c r="D25" i="8"/>
  <c r="B25" i="8"/>
  <c r="E24" i="8"/>
  <c r="F24" i="8" s="1"/>
  <c r="D24" i="8"/>
  <c r="B24" i="8"/>
  <c r="E22" i="8"/>
  <c r="F22" i="8" s="1"/>
  <c r="D22" i="8"/>
  <c r="B22" i="8"/>
  <c r="E21" i="8"/>
  <c r="F21" i="8" s="1"/>
  <c r="D21" i="8"/>
  <c r="B21" i="8"/>
  <c r="E20" i="8"/>
  <c r="F20" i="8" s="1"/>
  <c r="D20" i="8"/>
  <c r="B20" i="8"/>
  <c r="E19" i="8"/>
  <c r="F19" i="8" s="1"/>
  <c r="D19" i="8"/>
  <c r="B19" i="8"/>
  <c r="E18" i="8"/>
  <c r="F18" i="8" s="1"/>
  <c r="D18" i="8"/>
  <c r="B18" i="8"/>
  <c r="E17" i="8"/>
  <c r="F17" i="8" s="1"/>
  <c r="D17" i="8"/>
  <c r="B17" i="8"/>
  <c r="E16" i="8"/>
  <c r="F16" i="8" s="1"/>
  <c r="D16" i="8"/>
  <c r="B16" i="8"/>
  <c r="E15" i="8"/>
  <c r="F15" i="8" s="1"/>
  <c r="D15" i="8"/>
  <c r="B15" i="8"/>
  <c r="E14" i="8"/>
  <c r="F14" i="8" s="1"/>
  <c r="D14" i="8"/>
  <c r="B14" i="8"/>
  <c r="E13" i="8"/>
  <c r="F13" i="8" s="1"/>
  <c r="D13" i="8"/>
  <c r="B13" i="8"/>
  <c r="E11" i="8"/>
  <c r="F11" i="8" s="1"/>
  <c r="D11" i="8"/>
  <c r="B11" i="8"/>
  <c r="E9" i="8"/>
  <c r="F9" i="8" s="1"/>
  <c r="D9" i="8"/>
  <c r="B9" i="8"/>
  <c r="E10" i="8"/>
  <c r="F10" i="8" s="1"/>
  <c r="D10" i="8"/>
  <c r="B10" i="8"/>
  <c r="E8" i="8"/>
  <c r="F8" i="8" s="1"/>
  <c r="D8" i="8"/>
  <c r="B8" i="8"/>
  <c r="E7" i="8"/>
  <c r="F7" i="8" s="1"/>
  <c r="D7" i="8"/>
  <c r="B7" i="8"/>
  <c r="E6" i="8"/>
  <c r="F6" i="8" s="1"/>
  <c r="D6" i="8"/>
  <c r="B6" i="8"/>
  <c r="E25" i="7"/>
  <c r="F25" i="7" s="1"/>
  <c r="D25" i="7"/>
  <c r="B25" i="7"/>
  <c r="E24" i="7"/>
  <c r="F24" i="7" s="1"/>
  <c r="D24" i="7"/>
  <c r="B24" i="7"/>
  <c r="E22" i="7"/>
  <c r="F22" i="7" s="1"/>
  <c r="D22" i="7"/>
  <c r="B22" i="7"/>
  <c r="E21" i="7"/>
  <c r="F21" i="7" s="1"/>
  <c r="D21" i="7"/>
  <c r="B21" i="7"/>
  <c r="E20" i="7"/>
  <c r="F20" i="7" s="1"/>
  <c r="D20" i="7"/>
  <c r="B20" i="7"/>
  <c r="E19" i="7"/>
  <c r="F19" i="7" s="1"/>
  <c r="D19" i="7"/>
  <c r="B19" i="7"/>
  <c r="E18" i="7"/>
  <c r="F18" i="7" s="1"/>
  <c r="D18" i="7"/>
  <c r="B18" i="7"/>
  <c r="E17" i="7"/>
  <c r="F17" i="7" s="1"/>
  <c r="D17" i="7"/>
  <c r="B17" i="7"/>
  <c r="E16" i="7"/>
  <c r="F16" i="7" s="1"/>
  <c r="D16" i="7"/>
  <c r="B16" i="7"/>
  <c r="E15" i="7"/>
  <c r="F15" i="7" s="1"/>
  <c r="D15" i="7"/>
  <c r="B15" i="7"/>
  <c r="E14" i="7"/>
  <c r="F14" i="7" s="1"/>
  <c r="D14" i="7"/>
  <c r="B14" i="7"/>
  <c r="E13" i="7"/>
  <c r="F13" i="7" s="1"/>
  <c r="D13" i="7"/>
  <c r="B13" i="7"/>
  <c r="E11" i="7"/>
  <c r="F11" i="7" s="1"/>
  <c r="D11" i="7"/>
  <c r="B11" i="7"/>
  <c r="E9" i="7"/>
  <c r="F9" i="7" s="1"/>
  <c r="D9" i="7"/>
  <c r="B9" i="7"/>
  <c r="E10" i="7"/>
  <c r="F10" i="7" s="1"/>
  <c r="D10" i="7"/>
  <c r="B10" i="7"/>
  <c r="E8" i="7"/>
  <c r="F8" i="7" s="1"/>
  <c r="D8" i="7"/>
  <c r="B8" i="7"/>
  <c r="E7" i="7"/>
  <c r="F7" i="7" s="1"/>
  <c r="D7" i="7"/>
  <c r="B7" i="7"/>
  <c r="E6" i="7"/>
  <c r="F6" i="7" s="1"/>
  <c r="D6" i="7"/>
  <c r="B6" i="7"/>
  <c r="E25" i="6"/>
  <c r="F25" i="6" s="1"/>
  <c r="D25" i="6"/>
  <c r="B25" i="6"/>
  <c r="E24" i="6"/>
  <c r="F24" i="6" s="1"/>
  <c r="D24" i="6"/>
  <c r="B24" i="6"/>
  <c r="E22" i="6"/>
  <c r="F22" i="6" s="1"/>
  <c r="D22" i="6"/>
  <c r="B22" i="6"/>
  <c r="E21" i="6"/>
  <c r="F21" i="6" s="1"/>
  <c r="D21" i="6"/>
  <c r="B21" i="6"/>
  <c r="E20" i="6"/>
  <c r="F20" i="6" s="1"/>
  <c r="D20" i="6"/>
  <c r="B20" i="6"/>
  <c r="E19" i="6"/>
  <c r="F19" i="6" s="1"/>
  <c r="D19" i="6"/>
  <c r="B19" i="6"/>
  <c r="E18" i="6"/>
  <c r="F18" i="6" s="1"/>
  <c r="D18" i="6"/>
  <c r="B18" i="6"/>
  <c r="E17" i="6"/>
  <c r="F17" i="6" s="1"/>
  <c r="D17" i="6"/>
  <c r="B17" i="6"/>
  <c r="E16" i="6"/>
  <c r="F16" i="6" s="1"/>
  <c r="D16" i="6"/>
  <c r="B16" i="6"/>
  <c r="E15" i="6"/>
  <c r="F15" i="6" s="1"/>
  <c r="D15" i="6"/>
  <c r="B15" i="6"/>
  <c r="E14" i="6"/>
  <c r="F14" i="6" s="1"/>
  <c r="D14" i="6"/>
  <c r="B14" i="6"/>
  <c r="E13" i="6"/>
  <c r="F13" i="6" s="1"/>
  <c r="D13" i="6"/>
  <c r="B13" i="6"/>
  <c r="E11" i="6"/>
  <c r="F11" i="6" s="1"/>
  <c r="D11" i="6"/>
  <c r="B11" i="6"/>
  <c r="E9" i="6"/>
  <c r="F9" i="6" s="1"/>
  <c r="D9" i="6"/>
  <c r="B9" i="6"/>
  <c r="E10" i="6"/>
  <c r="F10" i="6" s="1"/>
  <c r="D10" i="6"/>
  <c r="B10" i="6"/>
  <c r="E8" i="6"/>
  <c r="F8" i="6" s="1"/>
  <c r="D8" i="6"/>
  <c r="B8" i="6"/>
  <c r="E7" i="6"/>
  <c r="F7" i="6" s="1"/>
  <c r="D7" i="6"/>
  <c r="B7" i="6"/>
  <c r="E6" i="6"/>
  <c r="F6" i="6" s="1"/>
  <c r="D6" i="6"/>
  <c r="B6" i="6"/>
  <c r="E25" i="5"/>
  <c r="F25" i="5" s="1"/>
  <c r="D25" i="5"/>
  <c r="B25" i="5"/>
  <c r="E24" i="5"/>
  <c r="F24" i="5" s="1"/>
  <c r="D24" i="5"/>
  <c r="B24" i="5"/>
  <c r="E22" i="5"/>
  <c r="F22" i="5" s="1"/>
  <c r="D22" i="5"/>
  <c r="B22" i="5"/>
  <c r="E21" i="5"/>
  <c r="F21" i="5" s="1"/>
  <c r="D21" i="5"/>
  <c r="B21" i="5"/>
  <c r="E20" i="5"/>
  <c r="F20" i="5" s="1"/>
  <c r="D20" i="5"/>
  <c r="B20" i="5"/>
  <c r="E19" i="5"/>
  <c r="F19" i="5" s="1"/>
  <c r="D19" i="5"/>
  <c r="B19" i="5"/>
  <c r="E18" i="5"/>
  <c r="F18" i="5" s="1"/>
  <c r="D18" i="5"/>
  <c r="B18" i="5"/>
  <c r="E17" i="5"/>
  <c r="F17" i="5" s="1"/>
  <c r="D17" i="5"/>
  <c r="B17" i="5"/>
  <c r="E16" i="5"/>
  <c r="F16" i="5" s="1"/>
  <c r="D16" i="5"/>
  <c r="B16" i="5"/>
  <c r="E15" i="5"/>
  <c r="F15" i="5" s="1"/>
  <c r="D15" i="5"/>
  <c r="B15" i="5"/>
  <c r="E14" i="5"/>
  <c r="F14" i="5" s="1"/>
  <c r="D14" i="5"/>
  <c r="B14" i="5"/>
  <c r="E13" i="5"/>
  <c r="F13" i="5" s="1"/>
  <c r="D13" i="5"/>
  <c r="B13" i="5"/>
  <c r="E11" i="5"/>
  <c r="F11" i="5" s="1"/>
  <c r="D11" i="5"/>
  <c r="B11" i="5"/>
  <c r="E9" i="5"/>
  <c r="F9" i="5" s="1"/>
  <c r="D9" i="5"/>
  <c r="B9" i="5"/>
  <c r="E10" i="5"/>
  <c r="F10" i="5" s="1"/>
  <c r="D10" i="5"/>
  <c r="B10" i="5"/>
  <c r="E8" i="5"/>
  <c r="F8" i="5" s="1"/>
  <c r="D8" i="5"/>
  <c r="B8" i="5"/>
  <c r="E7" i="5"/>
  <c r="F7" i="5" s="1"/>
  <c r="D7" i="5"/>
  <c r="B7" i="5"/>
  <c r="E6" i="5"/>
  <c r="F6" i="5" s="1"/>
  <c r="D6" i="5"/>
  <c r="B6" i="5"/>
  <c r="E28" i="4"/>
  <c r="F28" i="4" s="1"/>
  <c r="D28" i="4"/>
  <c r="B28" i="4"/>
  <c r="E27" i="4"/>
  <c r="F27" i="4" s="1"/>
  <c r="D27" i="4"/>
  <c r="B27" i="4"/>
  <c r="E25" i="4"/>
  <c r="F25" i="4" s="1"/>
  <c r="D25" i="4"/>
  <c r="B25" i="4"/>
  <c r="E24" i="4"/>
  <c r="F24" i="4" s="1"/>
  <c r="D24" i="4"/>
  <c r="B24" i="4"/>
  <c r="E23" i="4"/>
  <c r="F23" i="4" s="1"/>
  <c r="D23" i="4"/>
  <c r="B23" i="4"/>
  <c r="E22" i="4"/>
  <c r="F22" i="4" s="1"/>
  <c r="D22" i="4"/>
  <c r="B22" i="4"/>
  <c r="E21" i="4"/>
  <c r="F21" i="4" s="1"/>
  <c r="D21" i="4"/>
  <c r="B21" i="4"/>
  <c r="E20" i="4"/>
  <c r="F20" i="4" s="1"/>
  <c r="D20" i="4"/>
  <c r="B20" i="4"/>
  <c r="E19" i="4"/>
  <c r="F19" i="4" s="1"/>
  <c r="D19" i="4"/>
  <c r="B19" i="4"/>
  <c r="E18" i="4"/>
  <c r="F18" i="4" s="1"/>
  <c r="D18" i="4"/>
  <c r="B18" i="4"/>
  <c r="E17" i="4"/>
  <c r="F17" i="4" s="1"/>
  <c r="D17" i="4"/>
  <c r="B17" i="4"/>
  <c r="E16" i="4"/>
  <c r="F16" i="4" s="1"/>
  <c r="D16" i="4"/>
  <c r="B16" i="4"/>
  <c r="E12" i="4"/>
  <c r="F12" i="4" s="1"/>
  <c r="D12" i="4"/>
  <c r="B12" i="4"/>
  <c r="E14" i="4"/>
  <c r="F14" i="4" s="1"/>
  <c r="D14" i="4"/>
  <c r="B14" i="4"/>
  <c r="E10" i="4"/>
  <c r="F10" i="4" s="1"/>
  <c r="D10" i="4"/>
  <c r="B10" i="4"/>
  <c r="E11" i="4"/>
  <c r="F11" i="4" s="1"/>
  <c r="D11" i="4"/>
  <c r="B11" i="4"/>
  <c r="E8" i="4"/>
  <c r="F8" i="4" s="1"/>
  <c r="D8" i="4"/>
  <c r="B8" i="4"/>
  <c r="E9" i="4"/>
  <c r="F9" i="4" s="1"/>
  <c r="D9" i="4"/>
  <c r="B9" i="4"/>
  <c r="E7" i="4"/>
  <c r="F7" i="4" s="1"/>
  <c r="D7" i="4"/>
  <c r="B7" i="4"/>
  <c r="E6" i="4"/>
  <c r="F6" i="4" s="1"/>
  <c r="D6" i="4"/>
  <c r="B6" i="4"/>
  <c r="E28" i="3"/>
  <c r="F28" i="3" s="1"/>
  <c r="D28" i="3"/>
  <c r="B28" i="3"/>
  <c r="E27" i="3"/>
  <c r="F27" i="3" s="1"/>
  <c r="D27" i="3"/>
  <c r="B27" i="3"/>
  <c r="E25" i="3"/>
  <c r="F25" i="3" s="1"/>
  <c r="D25" i="3"/>
  <c r="B25" i="3"/>
  <c r="E24" i="3"/>
  <c r="F24" i="3" s="1"/>
  <c r="D24" i="3"/>
  <c r="B24" i="3"/>
  <c r="E23" i="3"/>
  <c r="F23" i="3" s="1"/>
  <c r="D23" i="3"/>
  <c r="B23" i="3"/>
  <c r="E22" i="3"/>
  <c r="F22" i="3" s="1"/>
  <c r="D22" i="3"/>
  <c r="B22" i="3"/>
  <c r="E21" i="3"/>
  <c r="F21" i="3" s="1"/>
  <c r="D21" i="3"/>
  <c r="B21" i="3"/>
  <c r="E20" i="3"/>
  <c r="F20" i="3" s="1"/>
  <c r="D20" i="3"/>
  <c r="B20" i="3"/>
  <c r="E19" i="3"/>
  <c r="F19" i="3" s="1"/>
  <c r="D19" i="3"/>
  <c r="B19" i="3"/>
  <c r="E18" i="3"/>
  <c r="F18" i="3" s="1"/>
  <c r="D18" i="3"/>
  <c r="B18" i="3"/>
  <c r="E17" i="3"/>
  <c r="F17" i="3" s="1"/>
  <c r="D17" i="3"/>
  <c r="B17" i="3"/>
  <c r="E16" i="3"/>
  <c r="F16" i="3" s="1"/>
  <c r="D16" i="3"/>
  <c r="B16" i="3"/>
  <c r="E13" i="3"/>
  <c r="F13" i="3" s="1"/>
  <c r="D13" i="3"/>
  <c r="B13" i="3"/>
  <c r="E14" i="3"/>
  <c r="F14" i="3" s="1"/>
  <c r="D14" i="3"/>
  <c r="B14" i="3"/>
  <c r="E12" i="3"/>
  <c r="F12" i="3" s="1"/>
  <c r="D12" i="3"/>
  <c r="B12" i="3"/>
  <c r="E11" i="3"/>
  <c r="F11" i="3" s="1"/>
  <c r="D11" i="3"/>
  <c r="B11" i="3"/>
  <c r="E10" i="3"/>
  <c r="F10" i="3" s="1"/>
  <c r="D10" i="3"/>
  <c r="B10" i="3"/>
  <c r="E8" i="3"/>
  <c r="F8" i="3" s="1"/>
  <c r="D8" i="3"/>
  <c r="B8" i="3"/>
  <c r="E9" i="3"/>
  <c r="F9" i="3" s="1"/>
  <c r="D9" i="3"/>
  <c r="B9" i="3"/>
  <c r="E7" i="3"/>
  <c r="F7" i="3" s="1"/>
  <c r="D7" i="3"/>
  <c r="B7" i="3"/>
  <c r="E6" i="3"/>
  <c r="F6" i="3" s="1"/>
  <c r="D6" i="3"/>
  <c r="B6" i="3"/>
  <c r="C12" i="1" l="1"/>
  <c r="F30" i="13"/>
  <c r="C17" i="1" s="1"/>
  <c r="C4" i="1"/>
  <c r="F30" i="4"/>
  <c r="C14" i="1" s="1"/>
  <c r="F26" i="10"/>
  <c r="C7" i="1" s="1"/>
  <c r="F27" i="8"/>
  <c r="C8" i="1" s="1"/>
  <c r="F27" i="11"/>
  <c r="C6" i="1" s="1"/>
  <c r="F27" i="7"/>
  <c r="C9" i="1" s="1"/>
  <c r="F27" i="12"/>
  <c r="C5" i="1" s="1"/>
  <c r="F27" i="6"/>
  <c r="C13" i="1" s="1"/>
  <c r="F27" i="14"/>
  <c r="C10" i="1" s="1"/>
  <c r="C11" i="1"/>
  <c r="C16" i="1"/>
  <c r="F30" i="3"/>
  <c r="C15" i="1" s="1"/>
  <c r="C18" i="1" l="1"/>
</calcChain>
</file>

<file path=xl/sharedStrings.xml><?xml version="1.0" encoding="utf-8"?>
<sst xmlns="http://schemas.openxmlformats.org/spreadsheetml/2006/main" count="573" uniqueCount="128">
  <si>
    <t>MODELO / ABA DA PORTA</t>
  </si>
  <si>
    <t>TIPO DE PORTA</t>
  </si>
  <si>
    <t>CUSTO TOTAL DA PORTA (R$)</t>
  </si>
  <si>
    <t>Correr</t>
  </si>
  <si>
    <t>PT CORRER RO82 TOP INT</t>
  </si>
  <si>
    <t>Passagem</t>
  </si>
  <si>
    <t>Pivotante</t>
  </si>
  <si>
    <t>PT PIVO GERIS EXT</t>
  </si>
  <si>
    <t>PT PIVO ITALY LINE EXT</t>
  </si>
  <si>
    <t>PT PIVO GERIS WC</t>
  </si>
  <si>
    <t>PT PIVO GERIS INTERNA</t>
  </si>
  <si>
    <t>PORTA CORRER DN150 WC</t>
  </si>
  <si>
    <t>PT PIVO CIR INTERNA.</t>
  </si>
  <si>
    <t>PORTA DE CORRER DN150 INT</t>
  </si>
  <si>
    <t>MÉDIA GERAL DE CUSTO:</t>
  </si>
  <si>
    <t>CÓDIGO</t>
  </si>
  <si>
    <t>DESCRIÇÃO PADRONIZADA</t>
  </si>
  <si>
    <t>UNID MEDIDA</t>
  </si>
  <si>
    <t>VALOR UNITÁRIO (R$)</t>
  </si>
  <si>
    <t>865</t>
  </si>
  <si>
    <t>LAMINA NATURAL CARVALHO EUROPEU</t>
  </si>
  <si>
    <t>M²</t>
  </si>
  <si>
    <t>PKT-MAT-865</t>
  </si>
  <si>
    <t>PKT100024IN</t>
  </si>
  <si>
    <t>BUCHA 08MM</t>
  </si>
  <si>
    <t>CT</t>
  </si>
  <si>
    <t>PKT100033IN</t>
  </si>
  <si>
    <t>COLA DE CONTATO 2,8KG</t>
  </si>
  <si>
    <t>UNID</t>
  </si>
  <si>
    <t>PKT100039IN</t>
  </si>
  <si>
    <t>COLA PUR TEKBOND 500G</t>
  </si>
  <si>
    <t>PKT100050IN</t>
  </si>
  <si>
    <t>VEDA FRESTAS 04 X 09MM MARROM CLARO C/ 06 MT</t>
  </si>
  <si>
    <t>PKT100064IN</t>
  </si>
  <si>
    <t>FUNDO ACABAMENTO BRILHO 0 MILESSI</t>
  </si>
  <si>
    <t>LT</t>
  </si>
  <si>
    <t>PKT100066IN</t>
  </si>
  <si>
    <t>COLA TITE BOND 1KG</t>
  </si>
  <si>
    <t>PKT100070IN</t>
  </si>
  <si>
    <t>IMÃ 22X10 N.42</t>
  </si>
  <si>
    <t>PKT100218IN</t>
  </si>
  <si>
    <t>PINO F30 P/ PINADOR PNEUMATICO</t>
  </si>
  <si>
    <t>PKT100231IN</t>
  </si>
  <si>
    <t>PIVOT HEAVY H143 (300KG) AÇO ESCOVADO</t>
  </si>
  <si>
    <t>PKT100285IN</t>
  </si>
  <si>
    <t>KIT RO 82TOP P/ 1 Porta FE9009 80-100kg</t>
  </si>
  <si>
    <t>KIT</t>
  </si>
  <si>
    <t>PKT100288IN</t>
  </si>
  <si>
    <t>TRILHO SUP RM-003 P/RO82 6M FSC</t>
  </si>
  <si>
    <t>BARRA</t>
  </si>
  <si>
    <t>PKT100292IN</t>
  </si>
  <si>
    <t>KIT DN150 COM AMORTECIMENTO PARA 01 PORTA - DUCASSE</t>
  </si>
  <si>
    <t>PKT100297IN</t>
  </si>
  <si>
    <t>PIVOT IL 100 (INVISIVEL) 280KG - ITALY LINE</t>
  </si>
  <si>
    <t>PKT100300IN</t>
  </si>
  <si>
    <t>ACABAMENTO REDONDO PERSONALIZADO  PARA WC</t>
  </si>
  <si>
    <t>PKT100425IN</t>
  </si>
  <si>
    <t>TRILHO U150 ANODIZADO PRATA 6MT- DUCASSE</t>
  </si>
  <si>
    <t>PKT100487IN</t>
  </si>
  <si>
    <t>BARRA TUBO 20 X 30 X 6,00 CH PRETO</t>
  </si>
  <si>
    <t>PKT100503IN</t>
  </si>
  <si>
    <t>PERFIL DE ALUMINIO 1/2 - 02 METROS - 10MM INTERNO</t>
  </si>
  <si>
    <t>PKT100504IN</t>
  </si>
  <si>
    <t>GRAMPO TIPO ''U'' 80x12MM</t>
  </si>
  <si>
    <t>PKT100505IN</t>
  </si>
  <si>
    <t>FECHADURA AUX LINGUETA RETA INOX FOSCO 911.22.490</t>
  </si>
  <si>
    <t>PKT100506IN</t>
  </si>
  <si>
    <t>ADAPTADOR P/WC ZMK NIQ 911.03.885</t>
  </si>
  <si>
    <t>PKT100509IN</t>
  </si>
  <si>
    <t>FECHADURA AUX P.CORRER RETA INOX FOSCO 911.26.335</t>
  </si>
  <si>
    <t>PKT100511IN</t>
  </si>
  <si>
    <t>PIVÔ CIR 80KG - ECLISSE</t>
  </si>
  <si>
    <t>PKT100512IN</t>
  </si>
  <si>
    <t>TRANQUETA GOTINHA AÇO INOX ESCOVADO</t>
  </si>
  <si>
    <t>PKT100513IN</t>
  </si>
  <si>
    <t>DOBRADIÇA INVISIVEL IN1200 120KG INOX FOSCO 923.03.250</t>
  </si>
  <si>
    <t>PKT100518IN</t>
  </si>
  <si>
    <t>PUXADOR FRONTAL OBLONGO INOX 304 ESCOVADO</t>
  </si>
  <si>
    <t>PKT100519IN</t>
  </si>
  <si>
    <t>ADAPTADOR INTERNO, PARA FECHADURAS COD 911.03.886</t>
  </si>
  <si>
    <t>PKT100520IN</t>
  </si>
  <si>
    <t>COMPENSADO NAVAL 10MM (10X1200X3000)</t>
  </si>
  <si>
    <t>PKT100521IN</t>
  </si>
  <si>
    <t>PARAFUSO BICROMATIZADO PHILIPS 6.0X80MM</t>
  </si>
  <si>
    <t>PKT100522IN</t>
  </si>
  <si>
    <t>COLAR OBLONGO ACABAMENTO CHAVE 27,5x13mm</t>
  </si>
  <si>
    <t>PKT100523IN</t>
  </si>
  <si>
    <t>HIDROREPELENTE ROCHESA</t>
  </si>
  <si>
    <t>BALDE</t>
  </si>
  <si>
    <t>PKT100528IN</t>
  </si>
  <si>
    <t>FECHADURA SEGURANÇA 03 PINOS C/ ROLETE 70291 KESO</t>
  </si>
  <si>
    <t>CJ</t>
  </si>
  <si>
    <t>PKT100633IN</t>
  </si>
  <si>
    <t>FECHADURA SEGURANÇA 12 PINOS C/ ROLETE 70200 KESO</t>
  </si>
  <si>
    <t>PKT400351P</t>
  </si>
  <si>
    <t>MADEIRA MACIÇA TAUARI (0.02X0.30X3.00)</t>
  </si>
  <si>
    <t>Estrutura de custos por item integrada dinamicamente à Tabela de Preços</t>
  </si>
  <si>
    <t>CÓDIGO ITEM</t>
  </si>
  <si>
    <t>DESCRIÇÃO DO ITEM</t>
  </si>
  <si>
    <t>QUANTIDADE</t>
  </si>
  <si>
    <t>CUSTO UNITÁRIO (R$)</t>
  </si>
  <si>
    <t>CUSTO TOTAL (R$)</t>
  </si>
  <si>
    <t>FERRAGENS</t>
  </si>
  <si>
    <t>MATÉRIA PRIMA</t>
  </si>
  <si>
    <t>INSUMOS DE OBRA</t>
  </si>
  <si>
    <t>CUSTO TOTAL DA PORTA:</t>
  </si>
  <si>
    <t xml:space="preserve">Base unificada de preços para cálculo de composições </t>
  </si>
  <si>
    <t>COMPOSIÇÃO DE CUSTOS - PT CORRER RO82 TOP WC.</t>
  </si>
  <si>
    <t>COMPOSIÇÃO DE CUSTOS - PT CORRER RO82 TOP INT</t>
  </si>
  <si>
    <t>COMPOSIÇÃO DE CUSTOS - PT PASSAGEM WC 3D</t>
  </si>
  <si>
    <t>COMPOSIÇÃO DE CUSTOS - PT PASSAGEM INTERNA 3D</t>
  </si>
  <si>
    <t>PT PIVO ITALY LINE INT</t>
  </si>
  <si>
    <t>PT PIVO ITALYNE WC</t>
  </si>
  <si>
    <t>PT PIVO CIR WC</t>
  </si>
  <si>
    <t>PT PASSAGEM INTERNA 3D</t>
  </si>
  <si>
    <t>PT PASSAGEM WC 3D</t>
  </si>
  <si>
    <t>PT CORRER RO82 TOP WC</t>
  </si>
  <si>
    <t>COMPOSIÇÃO DE CUSTOS - PT PIVO GERIS EXT</t>
  </si>
  <si>
    <t>COMPOSIÇÃO DE CUSTOS - PT PIVO GERIS INTERNA</t>
  </si>
  <si>
    <t>COMPOSIÇÃO DE CUSTOS - PT PIVO GERIS WC</t>
  </si>
  <si>
    <t>COMPOSIÇÃO DE CUSTOS - PT PIVO ITALY LINE EXT</t>
  </si>
  <si>
    <t>COMPOSIÇÃO DE CUSTOS - PT PIVO ITALY LINE INT</t>
  </si>
  <si>
    <t>COMPOSIÇÃO DE CUSTOS - PT PIVO ITALYNE WC</t>
  </si>
  <si>
    <t>COMPOSIÇÃO DE CUSTOS - PT PIVO CIR INTERNA</t>
  </si>
  <si>
    <t>COMPOSIÇÃO DE CUSTOS - PT PIVO CIR WC</t>
  </si>
  <si>
    <t>COMPOSIÇÃO DE CUSTOS - PORTA CORRER DN150 INT</t>
  </si>
  <si>
    <t>COMPOSIÇÃO DE CUSTOS - PORTA CORRER DN150 WC</t>
  </si>
  <si>
    <t>RESUMO GERAL DE PORTAS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</si>
</sst>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5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/>
    <xf numFmtId="0" fontId="5" fillId="0" borderId="0" xfId="0" applyFont="1" applyAlignment="1">
      <alignment horizontal="right"/>
    </xf>
    <xf numFmtId="164" fontId="5" fillId="0" borderId="2" xfId="0" applyNumberFormat="1" applyFont="1" applyBorder="1"/>
    <xf numFmtId="0" fontId="4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0" xfId="0"/>
    <xf numFmtId="0" fontId="5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workbookViewId="0">
      <selection activeCell="C18" sqref="C18"/>
    </sheetView>
  </sheetViews>
  <sheetFormatPr defaultRowHeight="15" x14ac:dyDescent="0.25"/>
  <cols>
    <col min="1" max="1" width="29" customWidth="1"/>
    <col min="2" max="2" width="25" customWidth="1"/>
    <col min="3" max="3" width="29" customWidth="1"/>
  </cols>
  <sheetData>
    <row r="1" spans="1:3" ht="24" x14ac:dyDescent="0.45">
      <c r="A1" s="1" t="s">
        <v>127</v>
      </c>
    </row>
    <row r="3" spans="1:3" ht="16.5" x14ac:dyDescent="0.25">
      <c r="A3" s="3" t="s">
        <v>0</v>
      </c>
      <c r="B3" s="4" t="s">
        <v>1</v>
      </c>
      <c r="C3" s="4" t="s">
        <v>2</v>
      </c>
    </row>
    <row r="4" spans="1:3" s="15" customFormat="1" x14ac:dyDescent="0.25">
      <c r="A4" s="5" t="s">
        <v>7</v>
      </c>
      <c r="B4" s="6" t="s">
        <v>6</v>
      </c>
      <c r="C4" s="7">
        <f>'PT PIVO GERIS EXT'!F26</f>
        <v>4182.6648000000014</v>
      </c>
    </row>
    <row r="5" spans="1:3" s="15" customFormat="1" x14ac:dyDescent="0.25">
      <c r="A5" s="8" t="s">
        <v>10</v>
      </c>
      <c r="B5" s="9" t="s">
        <v>6</v>
      </c>
      <c r="C5" s="10">
        <f>'PT PIVO GERIS INTERNA'!F27</f>
        <v>3060.1287999999995</v>
      </c>
    </row>
    <row r="6" spans="1:3" x14ac:dyDescent="0.25">
      <c r="A6" s="5" t="s">
        <v>9</v>
      </c>
      <c r="B6" s="6" t="s">
        <v>6</v>
      </c>
      <c r="C6" s="7">
        <f>'PT PIVO GERIS WC'!F27</f>
        <v>3258.9887999999996</v>
      </c>
    </row>
    <row r="7" spans="1:3" x14ac:dyDescent="0.25">
      <c r="A7" s="8" t="s">
        <v>8</v>
      </c>
      <c r="B7" s="9" t="s">
        <v>6</v>
      </c>
      <c r="C7" s="10">
        <f>'PT PIVO ITALY LINE EXT'!F26</f>
        <v>4454.4748000000018</v>
      </c>
    </row>
    <row r="8" spans="1:3" x14ac:dyDescent="0.25">
      <c r="A8" s="8" t="s">
        <v>111</v>
      </c>
      <c r="B8" s="9" t="s">
        <v>6</v>
      </c>
      <c r="C8" s="10">
        <f>'PT PIVO ITALY LINE INT'!F27</f>
        <v>3291.9387999999994</v>
      </c>
    </row>
    <row r="9" spans="1:3" x14ac:dyDescent="0.25">
      <c r="A9" s="5" t="s">
        <v>112</v>
      </c>
      <c r="B9" s="6" t="s">
        <v>6</v>
      </c>
      <c r="C9" s="7">
        <f>'PT PIVO ITALYNE WC'!F27</f>
        <v>3490.7987999999996</v>
      </c>
    </row>
    <row r="10" spans="1:3" s="15" customFormat="1" x14ac:dyDescent="0.25">
      <c r="A10" s="8" t="s">
        <v>12</v>
      </c>
      <c r="B10" s="9" t="s">
        <v>6</v>
      </c>
      <c r="C10" s="10">
        <f>'PT PIVO CIR INTERNA'!F27</f>
        <v>3423.1637999999994</v>
      </c>
    </row>
    <row r="11" spans="1:3" s="15" customFormat="1" x14ac:dyDescent="0.25">
      <c r="A11" s="5" t="s">
        <v>113</v>
      </c>
      <c r="B11" s="6" t="s">
        <v>6</v>
      </c>
      <c r="C11" s="7">
        <f>'PT PIVO CIR WC'!F27</f>
        <v>3622.0237999999995</v>
      </c>
    </row>
    <row r="12" spans="1:3" x14ac:dyDescent="0.25">
      <c r="A12" s="5" t="s">
        <v>114</v>
      </c>
      <c r="B12" s="6" t="s">
        <v>5</v>
      </c>
      <c r="C12" s="7">
        <f>'PT PASSAGEM INTERNA 3D'!F27</f>
        <v>4624.578800000002</v>
      </c>
    </row>
    <row r="13" spans="1:3" x14ac:dyDescent="0.25">
      <c r="A13" s="8" t="s">
        <v>115</v>
      </c>
      <c r="B13" s="9" t="s">
        <v>5</v>
      </c>
      <c r="C13" s="10">
        <f>'PT PASSAGEM WC 3D'!F27</f>
        <v>5116.4388000000017</v>
      </c>
    </row>
    <row r="14" spans="1:3" x14ac:dyDescent="0.25">
      <c r="A14" s="8" t="s">
        <v>4</v>
      </c>
      <c r="B14" s="9" t="s">
        <v>3</v>
      </c>
      <c r="C14" s="10">
        <f>'PT CORRER RO82 TOP INT'!F30</f>
        <v>4242.1347999999998</v>
      </c>
    </row>
    <row r="15" spans="1:3" x14ac:dyDescent="0.25">
      <c r="A15" s="5" t="s">
        <v>116</v>
      </c>
      <c r="B15" s="6" t="s">
        <v>3</v>
      </c>
      <c r="C15" s="7">
        <f>'PT CORRER RO82 TOP WC'!F30</f>
        <v>4545.2848000000013</v>
      </c>
    </row>
    <row r="16" spans="1:3" x14ac:dyDescent="0.25">
      <c r="A16" s="8" t="s">
        <v>13</v>
      </c>
      <c r="B16" s="9" t="s">
        <v>3</v>
      </c>
      <c r="C16" s="10">
        <f>'PORTA CORRER DN150 INT'!F29</f>
        <v>4934.5260000000007</v>
      </c>
    </row>
    <row r="17" spans="1:3" x14ac:dyDescent="0.25">
      <c r="A17" s="5" t="s">
        <v>11</v>
      </c>
      <c r="B17" s="6" t="s">
        <v>3</v>
      </c>
      <c r="C17" s="7">
        <f>'PORTA CORRER DN150 WC'!F30</f>
        <v>5158.3860000000004</v>
      </c>
    </row>
    <row r="18" spans="1:3" x14ac:dyDescent="0.25">
      <c r="B18" s="11" t="s">
        <v>14</v>
      </c>
      <c r="C18" s="12">
        <f>AVERAGE(C4:C17)</f>
        <v>4100.395114285714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showGridLines="0" topLeftCell="A19" workbookViewId="0">
      <selection activeCell="B32" sqref="B32"/>
    </sheetView>
  </sheetViews>
  <sheetFormatPr defaultRowHeight="15" x14ac:dyDescent="0.25"/>
  <cols>
    <col min="1" max="1" width="15" customWidth="1"/>
    <col min="2" max="2" width="58" customWidth="1"/>
    <col min="3" max="3" width="15" customWidth="1"/>
    <col min="4" max="4" width="23" customWidth="1"/>
  </cols>
  <sheetData>
    <row r="1" spans="1:4" ht="24" x14ac:dyDescent="0.45">
      <c r="A1" s="1" t="s">
        <v>107</v>
      </c>
    </row>
    <row r="2" spans="1:4" x14ac:dyDescent="0.25">
      <c r="A2" s="2" t="s">
        <v>106</v>
      </c>
    </row>
    <row r="4" spans="1:4" ht="16.5" x14ac:dyDescent="0.25">
      <c r="A4" s="4" t="s">
        <v>15</v>
      </c>
      <c r="B4" s="3" t="s">
        <v>16</v>
      </c>
      <c r="C4" s="4" t="s">
        <v>17</v>
      </c>
      <c r="D4" s="3" t="s">
        <v>18</v>
      </c>
    </row>
    <row r="5" spans="1:4" x14ac:dyDescent="0.25">
      <c r="A5" s="6" t="s">
        <v>19</v>
      </c>
      <c r="B5" s="5" t="s">
        <v>20</v>
      </c>
      <c r="C5" s="6" t="s">
        <v>21</v>
      </c>
      <c r="D5" s="7">
        <v>65</v>
      </c>
    </row>
    <row r="6" spans="1:4" x14ac:dyDescent="0.25">
      <c r="A6" s="9" t="s">
        <v>22</v>
      </c>
      <c r="B6" s="8" t="s">
        <v>20</v>
      </c>
      <c r="C6" s="9" t="s">
        <v>21</v>
      </c>
      <c r="D6" s="10">
        <v>65</v>
      </c>
    </row>
    <row r="7" spans="1:4" x14ac:dyDescent="0.25">
      <c r="A7" s="6" t="s">
        <v>23</v>
      </c>
      <c r="B7" s="5" t="s">
        <v>24</v>
      </c>
      <c r="C7" s="6" t="s">
        <v>25</v>
      </c>
      <c r="D7" s="7">
        <v>18</v>
      </c>
    </row>
    <row r="8" spans="1:4" x14ac:dyDescent="0.25">
      <c r="A8" s="9" t="s">
        <v>26</v>
      </c>
      <c r="B8" s="8" t="s">
        <v>27</v>
      </c>
      <c r="C8" s="9" t="s">
        <v>28</v>
      </c>
      <c r="D8" s="10">
        <v>99</v>
      </c>
    </row>
    <row r="9" spans="1:4" x14ac:dyDescent="0.25">
      <c r="A9" s="6" t="s">
        <v>29</v>
      </c>
      <c r="B9" s="5" t="s">
        <v>30</v>
      </c>
      <c r="C9" s="6" t="s">
        <v>28</v>
      </c>
      <c r="D9" s="7">
        <v>33.64</v>
      </c>
    </row>
    <row r="10" spans="1:4" x14ac:dyDescent="0.25">
      <c r="A10" s="9" t="s">
        <v>31</v>
      </c>
      <c r="B10" s="8" t="s">
        <v>32</v>
      </c>
      <c r="C10" s="9" t="s">
        <v>28</v>
      </c>
      <c r="D10" s="10">
        <v>18.510000000000002</v>
      </c>
    </row>
    <row r="11" spans="1:4" x14ac:dyDescent="0.25">
      <c r="A11" s="6" t="s">
        <v>33</v>
      </c>
      <c r="B11" s="5" t="s">
        <v>34</v>
      </c>
      <c r="C11" s="6" t="s">
        <v>35</v>
      </c>
      <c r="D11" s="7">
        <v>87.706800000000001</v>
      </c>
    </row>
    <row r="12" spans="1:4" x14ac:dyDescent="0.25">
      <c r="A12" s="9" t="s">
        <v>36</v>
      </c>
      <c r="B12" s="8" t="s">
        <v>37</v>
      </c>
      <c r="C12" s="9" t="s">
        <v>28</v>
      </c>
      <c r="D12" s="10">
        <v>50.76</v>
      </c>
    </row>
    <row r="13" spans="1:4" x14ac:dyDescent="0.25">
      <c r="A13" s="6" t="s">
        <v>38</v>
      </c>
      <c r="B13" s="5" t="s">
        <v>39</v>
      </c>
      <c r="C13" s="6" t="s">
        <v>28</v>
      </c>
      <c r="D13" s="7">
        <v>22.5</v>
      </c>
    </row>
    <row r="14" spans="1:4" x14ac:dyDescent="0.25">
      <c r="A14" s="9" t="s">
        <v>40</v>
      </c>
      <c r="B14" s="8" t="s">
        <v>41</v>
      </c>
      <c r="C14" s="9" t="s">
        <v>25</v>
      </c>
      <c r="D14" s="10">
        <v>0.45200000000000001</v>
      </c>
    </row>
    <row r="15" spans="1:4" x14ac:dyDescent="0.25">
      <c r="A15" s="6" t="s">
        <v>42</v>
      </c>
      <c r="B15" s="5" t="s">
        <v>43</v>
      </c>
      <c r="C15" s="6" t="s">
        <v>28</v>
      </c>
      <c r="D15" s="7">
        <v>99.99</v>
      </c>
    </row>
    <row r="16" spans="1:4" x14ac:dyDescent="0.25">
      <c r="A16" s="9" t="s">
        <v>44</v>
      </c>
      <c r="B16" s="8" t="s">
        <v>45</v>
      </c>
      <c r="C16" s="9" t="s">
        <v>46</v>
      </c>
      <c r="D16" s="10">
        <v>473.5</v>
      </c>
    </row>
    <row r="17" spans="1:4" x14ac:dyDescent="0.25">
      <c r="A17" s="6" t="s">
        <v>47</v>
      </c>
      <c r="B17" s="5" t="s">
        <v>48</v>
      </c>
      <c r="C17" s="6" t="s">
        <v>49</v>
      </c>
      <c r="D17" s="7">
        <v>452</v>
      </c>
    </row>
    <row r="18" spans="1:4" x14ac:dyDescent="0.25">
      <c r="A18" s="9" t="s">
        <v>50</v>
      </c>
      <c r="B18" s="8" t="s">
        <v>51</v>
      </c>
      <c r="C18" s="9" t="s">
        <v>46</v>
      </c>
      <c r="D18" s="10">
        <v>979.98</v>
      </c>
    </row>
    <row r="19" spans="1:4" x14ac:dyDescent="0.25">
      <c r="A19" s="6" t="s">
        <v>52</v>
      </c>
      <c r="B19" s="5" t="s">
        <v>53</v>
      </c>
      <c r="C19" s="6" t="s">
        <v>28</v>
      </c>
      <c r="D19" s="7">
        <v>331.8</v>
      </c>
    </row>
    <row r="20" spans="1:4" x14ac:dyDescent="0.25">
      <c r="A20" s="9" t="s">
        <v>54</v>
      </c>
      <c r="B20" s="8" t="s">
        <v>55</v>
      </c>
      <c r="C20" s="9" t="s">
        <v>28</v>
      </c>
      <c r="D20" s="10">
        <v>25</v>
      </c>
    </row>
    <row r="21" spans="1:4" x14ac:dyDescent="0.25">
      <c r="A21" s="6" t="s">
        <v>56</v>
      </c>
      <c r="B21" s="5" t="s">
        <v>57</v>
      </c>
      <c r="C21" s="6" t="s">
        <v>49</v>
      </c>
      <c r="D21" s="7">
        <v>862.02</v>
      </c>
    </row>
    <row r="22" spans="1:4" x14ac:dyDescent="0.25">
      <c r="A22" s="9" t="s">
        <v>58</v>
      </c>
      <c r="B22" s="8" t="s">
        <v>59</v>
      </c>
      <c r="C22" s="9" t="s">
        <v>49</v>
      </c>
      <c r="D22" s="10">
        <v>66.45</v>
      </c>
    </row>
    <row r="23" spans="1:4" x14ac:dyDescent="0.25">
      <c r="A23" s="6" t="s">
        <v>60</v>
      </c>
      <c r="B23" s="5" t="s">
        <v>61</v>
      </c>
      <c r="C23" s="6" t="s">
        <v>49</v>
      </c>
      <c r="D23" s="7">
        <v>13.6</v>
      </c>
    </row>
    <row r="24" spans="1:4" x14ac:dyDescent="0.25">
      <c r="A24" s="9" t="s">
        <v>62</v>
      </c>
      <c r="B24" s="8" t="s">
        <v>63</v>
      </c>
      <c r="C24" s="9" t="s">
        <v>25</v>
      </c>
      <c r="D24" s="10">
        <v>2</v>
      </c>
    </row>
    <row r="25" spans="1:4" x14ac:dyDescent="0.25">
      <c r="A25" s="6" t="s">
        <v>64</v>
      </c>
      <c r="B25" s="5" t="s">
        <v>65</v>
      </c>
      <c r="C25" s="6" t="s">
        <v>28</v>
      </c>
      <c r="D25" s="7">
        <v>105.20399999999999</v>
      </c>
    </row>
    <row r="26" spans="1:4" x14ac:dyDescent="0.25">
      <c r="A26" s="9" t="s">
        <v>66</v>
      </c>
      <c r="B26" s="8" t="s">
        <v>67</v>
      </c>
      <c r="C26" s="9" t="s">
        <v>28</v>
      </c>
      <c r="D26" s="10">
        <v>19.12</v>
      </c>
    </row>
    <row r="27" spans="1:4" x14ac:dyDescent="0.25">
      <c r="A27" s="6" t="s">
        <v>68</v>
      </c>
      <c r="B27" s="5" t="s">
        <v>69</v>
      </c>
      <c r="C27" s="6" t="s">
        <v>28</v>
      </c>
      <c r="D27" s="7">
        <v>104.43</v>
      </c>
    </row>
    <row r="28" spans="1:4" x14ac:dyDescent="0.25">
      <c r="A28" s="9" t="s">
        <v>70</v>
      </c>
      <c r="B28" s="8" t="s">
        <v>71</v>
      </c>
      <c r="C28" s="9" t="s">
        <v>28</v>
      </c>
      <c r="D28" s="10">
        <v>463.02499999999998</v>
      </c>
    </row>
    <row r="29" spans="1:4" x14ac:dyDescent="0.25">
      <c r="A29" s="6" t="s">
        <v>72</v>
      </c>
      <c r="B29" s="5" t="s">
        <v>73</v>
      </c>
      <c r="C29" s="6" t="s">
        <v>28</v>
      </c>
      <c r="D29" s="7">
        <v>293</v>
      </c>
    </row>
    <row r="30" spans="1:4" x14ac:dyDescent="0.25">
      <c r="A30" s="9" t="s">
        <v>74</v>
      </c>
      <c r="B30" s="8" t="s">
        <v>75</v>
      </c>
      <c r="C30" s="9" t="s">
        <v>28</v>
      </c>
      <c r="D30" s="10">
        <v>416.11</v>
      </c>
    </row>
    <row r="31" spans="1:4" x14ac:dyDescent="0.25">
      <c r="A31" s="6" t="s">
        <v>76</v>
      </c>
      <c r="B31" s="5" t="s">
        <v>77</v>
      </c>
      <c r="C31" s="6" t="s">
        <v>28</v>
      </c>
      <c r="D31" s="7">
        <v>110</v>
      </c>
    </row>
    <row r="32" spans="1:4" x14ac:dyDescent="0.25">
      <c r="A32" s="9" t="s">
        <v>78</v>
      </c>
      <c r="B32" s="8" t="s">
        <v>79</v>
      </c>
      <c r="C32" s="9" t="s">
        <v>28</v>
      </c>
      <c r="D32" s="10">
        <v>33.26</v>
      </c>
    </row>
    <row r="33" spans="1:4" x14ac:dyDescent="0.25">
      <c r="A33" s="6" t="s">
        <v>80</v>
      </c>
      <c r="B33" s="5" t="s">
        <v>81</v>
      </c>
      <c r="C33" s="6" t="s">
        <v>28</v>
      </c>
      <c r="D33" s="7">
        <v>185</v>
      </c>
    </row>
    <row r="34" spans="1:4" x14ac:dyDescent="0.25">
      <c r="A34" s="9" t="s">
        <v>82</v>
      </c>
      <c r="B34" s="8" t="s">
        <v>83</v>
      </c>
      <c r="C34" s="9" t="s">
        <v>25</v>
      </c>
      <c r="D34" s="10">
        <v>28</v>
      </c>
    </row>
    <row r="35" spans="1:4" x14ac:dyDescent="0.25">
      <c r="A35" s="6" t="s">
        <v>84</v>
      </c>
      <c r="B35" s="5" t="s">
        <v>85</v>
      </c>
      <c r="C35" s="6" t="s">
        <v>28</v>
      </c>
      <c r="D35" s="7">
        <v>40</v>
      </c>
    </row>
    <row r="36" spans="1:4" x14ac:dyDescent="0.25">
      <c r="A36" s="9" t="s">
        <v>86</v>
      </c>
      <c r="B36" s="8" t="s">
        <v>87</v>
      </c>
      <c r="C36" s="9" t="s">
        <v>88</v>
      </c>
      <c r="D36" s="10">
        <v>60</v>
      </c>
    </row>
    <row r="37" spans="1:4" x14ac:dyDescent="0.25">
      <c r="A37" s="6" t="s">
        <v>89</v>
      </c>
      <c r="B37" s="5" t="s">
        <v>90</v>
      </c>
      <c r="C37" s="6" t="s">
        <v>91</v>
      </c>
      <c r="D37" s="7">
        <v>728.22</v>
      </c>
    </row>
    <row r="38" spans="1:4" x14ac:dyDescent="0.25">
      <c r="A38" s="9" t="s">
        <v>92</v>
      </c>
      <c r="B38" s="8" t="s">
        <v>93</v>
      </c>
      <c r="C38" s="9" t="s">
        <v>91</v>
      </c>
      <c r="D38" s="10">
        <v>1301</v>
      </c>
    </row>
    <row r="39" spans="1:4" x14ac:dyDescent="0.25">
      <c r="A39" s="6" t="s">
        <v>94</v>
      </c>
      <c r="B39" s="5" t="s">
        <v>95</v>
      </c>
      <c r="C39" s="6" t="s">
        <v>28</v>
      </c>
      <c r="D39" s="7">
        <v>52.2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workbookViewId="0">
      <selection activeCell="F26" sqref="F26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117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42</v>
      </c>
      <c r="B6" s="8" t="str">
        <f>IFERROR(VLOOKUP(A6, 'Tabela de preços'!A:D, 2, FALSE), "")</f>
        <v>PIVOT HEAVY H143 (300KG) AÇO ESCOVADO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99.99</v>
      </c>
      <c r="F6" s="10">
        <f>C6*E6</f>
        <v>99.99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>C7*E7</f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>C8*E8</f>
        <v>90</v>
      </c>
    </row>
    <row r="9" spans="1:6" x14ac:dyDescent="0.25">
      <c r="A9" s="6" t="s">
        <v>92</v>
      </c>
      <c r="B9" s="5" t="str">
        <f>IFERROR(VLOOKUP(A9, 'Tabela de preços'!A:D, 2, FALSE), "")</f>
        <v>FECHADURA SEGURANÇA 12 PINOS C/ ROLETE 70200 KESO</v>
      </c>
      <c r="C9" s="14">
        <v>1</v>
      </c>
      <c r="D9" s="6" t="str">
        <f>IFERROR(VLOOKUP(A9, 'Tabela de preços'!A:D, 3, FALSE), "")</f>
        <v>CJ</v>
      </c>
      <c r="E9" s="7">
        <f>IFERROR(VLOOKUP(A9, 'Tabela de preços'!A:D, 4, FALSE), 0)</f>
        <v>1301</v>
      </c>
      <c r="F9" s="7">
        <f>C9*E9</f>
        <v>1301</v>
      </c>
    </row>
    <row r="10" spans="1:6" x14ac:dyDescent="0.25">
      <c r="A10" s="9" t="s">
        <v>84</v>
      </c>
      <c r="B10" s="8" t="str">
        <f>IFERROR(VLOOKUP(A10, 'Tabela de preços'!A:D, 2, FALSE), "")</f>
        <v>COLAR OBLONGO ACABAMENTO CHAVE 27,5x13mm</v>
      </c>
      <c r="C10" s="13">
        <v>1</v>
      </c>
      <c r="D10" s="9" t="str">
        <f>IFERROR(VLOOKUP(A10, 'Tabela de preços'!A:D, 3, FALSE), "")</f>
        <v>UNID</v>
      </c>
      <c r="E10" s="10">
        <f>IFERROR(VLOOKUP(A10, 'Tabela de preços'!A:D, 4, FALSE), 0)</f>
        <v>40</v>
      </c>
      <c r="F10" s="10">
        <f>C10*E10</f>
        <v>40</v>
      </c>
    </row>
    <row r="11" spans="1:6" x14ac:dyDescent="0.25">
      <c r="A11" s="16" t="s">
        <v>103</v>
      </c>
      <c r="B11" s="17"/>
      <c r="C11" s="17"/>
      <c r="D11" s="17"/>
      <c r="E11" s="17"/>
      <c r="F11" s="17"/>
    </row>
    <row r="12" spans="1:6" x14ac:dyDescent="0.25">
      <c r="A12" s="9" t="s">
        <v>80</v>
      </c>
      <c r="B12" s="8" t="str">
        <f>IFERROR(VLOOKUP(A12, 'Tabela de preços'!A:D, 2, FALSE), "")</f>
        <v>COMPENSADO NAVAL 10MM (10X1200X3000)</v>
      </c>
      <c r="C12" s="13">
        <v>2</v>
      </c>
      <c r="D12" s="9" t="str">
        <f>IFERROR(VLOOKUP(A12, 'Tabela de preços'!A:D, 3, FALSE), "")</f>
        <v>UNID</v>
      </c>
      <c r="E12" s="10">
        <f>IFERROR(VLOOKUP(A12, 'Tabela de preços'!A:D, 4, FALSE), 0)</f>
        <v>185</v>
      </c>
      <c r="F12" s="10">
        <f t="shared" ref="F12:F21" si="0">C12*E12</f>
        <v>370</v>
      </c>
    </row>
    <row r="13" spans="1:6" x14ac:dyDescent="0.25">
      <c r="A13" s="6" t="s">
        <v>22</v>
      </c>
      <c r="B13" s="5" t="str">
        <f>IFERROR(VLOOKUP(A13, 'Tabela de preços'!A:D, 2, FALSE), "")</f>
        <v>LAMINA NATURAL CARVALHO EUROPEU</v>
      </c>
      <c r="C13" s="14">
        <v>20</v>
      </c>
      <c r="D13" s="6" t="str">
        <f>IFERROR(VLOOKUP(A13, 'Tabela de preços'!A:D, 3, FALSE), "")</f>
        <v>M²</v>
      </c>
      <c r="E13" s="7">
        <f>IFERROR(VLOOKUP(A13, 'Tabela de preços'!A:D, 4, FALSE), 0)</f>
        <v>65</v>
      </c>
      <c r="F13" s="7">
        <f t="shared" si="0"/>
        <v>1300</v>
      </c>
    </row>
    <row r="14" spans="1:6" x14ac:dyDescent="0.25">
      <c r="A14" s="9" t="s">
        <v>94</v>
      </c>
      <c r="B14" s="8" t="str">
        <f>IFERROR(VLOOKUP(A14, 'Tabela de preços'!A:D, 2, FALSE), "")</f>
        <v>MADEIRA MACIÇA TAUARI (0.02X0.30X3.00)</v>
      </c>
      <c r="C14" s="13">
        <v>5</v>
      </c>
      <c r="D14" s="9" t="str">
        <f>IFERROR(VLOOKUP(A14, 'Tabela de preços'!A:D, 3, FALSE), "")</f>
        <v>UNID</v>
      </c>
      <c r="E14" s="10">
        <f>IFERROR(VLOOKUP(A14, 'Tabela de preços'!A:D, 4, FALSE), 0)</f>
        <v>52.2</v>
      </c>
      <c r="F14" s="10">
        <f t="shared" si="0"/>
        <v>261</v>
      </c>
    </row>
    <row r="15" spans="1:6" x14ac:dyDescent="0.25">
      <c r="A15" s="6" t="s">
        <v>80</v>
      </c>
      <c r="B15" s="5" t="str">
        <f>IFERROR(VLOOKUP(A15, 'Tabela de preços'!A:D, 2, FALSE), "")</f>
        <v>COMPENSADO NAVAL 10MM (10X1200X3000)</v>
      </c>
      <c r="C15" s="14">
        <v>1.56</v>
      </c>
      <c r="D15" s="6" t="str">
        <f>IFERROR(VLOOKUP(A15, 'Tabela de preços'!A:D, 3, FALSE), "")</f>
        <v>UNID</v>
      </c>
      <c r="E15" s="7">
        <f>IFERROR(VLOOKUP(A15, 'Tabela de preços'!A:D, 4, FALSE), 0)</f>
        <v>185</v>
      </c>
      <c r="F15" s="7">
        <f t="shared" si="0"/>
        <v>288.60000000000002</v>
      </c>
    </row>
    <row r="16" spans="1:6" x14ac:dyDescent="0.25">
      <c r="A16" s="9" t="s">
        <v>36</v>
      </c>
      <c r="B16" s="8" t="str">
        <f>IFERROR(VLOOKUP(A16, 'Tabela de preços'!A:D, 2, FALSE), "")</f>
        <v>COLA TITE BOND 1KG</v>
      </c>
      <c r="C16" s="13">
        <v>1.6</v>
      </c>
      <c r="D16" s="9" t="str">
        <f>IFERROR(VLOOKUP(A16, 'Tabela de preços'!A:D, 3, FALSE), "")</f>
        <v>UNID</v>
      </c>
      <c r="E16" s="10">
        <f>IFERROR(VLOOKUP(A16, 'Tabela de preços'!A:D, 4, FALSE), 0)</f>
        <v>50.76</v>
      </c>
      <c r="F16" s="10">
        <f t="shared" si="0"/>
        <v>81.216000000000008</v>
      </c>
    </row>
    <row r="17" spans="1:6" x14ac:dyDescent="0.25">
      <c r="A17" s="6" t="s">
        <v>58</v>
      </c>
      <c r="B17" s="5" t="str">
        <f>IFERROR(VLOOKUP(A17, 'Tabela de preços'!A:D, 2, FALSE), "")</f>
        <v>BARRA TUBO 20 X 30 X 6,00 CH PRETO</v>
      </c>
      <c r="C17" s="14">
        <v>3</v>
      </c>
      <c r="D17" s="6" t="str">
        <f>IFERROR(VLOOKUP(A17, 'Tabela de preços'!A:D, 3, FALSE), "")</f>
        <v>BARRA</v>
      </c>
      <c r="E17" s="7">
        <f>IFERROR(VLOOKUP(A17, 'Tabela de preços'!A:D, 4, FALSE), 0)</f>
        <v>66.45</v>
      </c>
      <c r="F17" s="7">
        <f t="shared" si="0"/>
        <v>199.35000000000002</v>
      </c>
    </row>
    <row r="18" spans="1:6" x14ac:dyDescent="0.25">
      <c r="A18" s="9" t="s">
        <v>33</v>
      </c>
      <c r="B18" s="8" t="str">
        <f>IFERROR(VLOOKUP(A18, 'Tabela de preços'!A:D, 2, FALSE), "")</f>
        <v>FUNDO ACABAMENTO BRILHO 0 MILESSI</v>
      </c>
      <c r="C18" s="13">
        <v>1</v>
      </c>
      <c r="D18" s="9" t="str">
        <f>IFERROR(VLOOKUP(A18, 'Tabela de preços'!A:D, 3, FALSE), "")</f>
        <v>LT</v>
      </c>
      <c r="E18" s="10">
        <f>IFERROR(VLOOKUP(A18, 'Tabela de preços'!A:D, 4, FALSE), 0)</f>
        <v>87.706800000000001</v>
      </c>
      <c r="F18" s="10">
        <f t="shared" si="0"/>
        <v>87.706800000000001</v>
      </c>
    </row>
    <row r="19" spans="1:6" x14ac:dyDescent="0.25">
      <c r="A19" s="6" t="s">
        <v>29</v>
      </c>
      <c r="B19" s="5" t="str">
        <f>IFERROR(VLOOKUP(A19, 'Tabela de preços'!A:D, 2, FALSE), "")</f>
        <v>COLA PUR TEKBOND 500G</v>
      </c>
      <c r="C19" s="14">
        <v>1</v>
      </c>
      <c r="D19" s="6" t="str">
        <f>IFERROR(VLOOKUP(A19, 'Tabela de preços'!A:D, 3, FALSE), "")</f>
        <v>UNID</v>
      </c>
      <c r="E19" s="7">
        <f>IFERROR(VLOOKUP(A19, 'Tabela de preços'!A:D, 4, FALSE), 0)</f>
        <v>33.64</v>
      </c>
      <c r="F19" s="7">
        <f t="shared" si="0"/>
        <v>33.64</v>
      </c>
    </row>
    <row r="20" spans="1:6" x14ac:dyDescent="0.25">
      <c r="A20" s="9" t="s">
        <v>62</v>
      </c>
      <c r="B20" s="8" t="str">
        <f>IFERROR(VLOOKUP(A20, 'Tabela de preços'!A:D, 2, FALSE), "")</f>
        <v>GRAMPO TIPO ''U'' 80x12MM</v>
      </c>
      <c r="C20" s="13">
        <v>1</v>
      </c>
      <c r="D20" s="9" t="str">
        <f>IFERROR(VLOOKUP(A20, 'Tabela de preços'!A:D, 3, FALSE), "")</f>
        <v>CT</v>
      </c>
      <c r="E20" s="10">
        <f>IFERROR(VLOOKUP(A20, 'Tabela de preços'!A:D, 4, FALSE), 0)</f>
        <v>2</v>
      </c>
      <c r="F20" s="10">
        <f t="shared" si="0"/>
        <v>2</v>
      </c>
    </row>
    <row r="21" spans="1:6" x14ac:dyDescent="0.25">
      <c r="A21" s="6" t="s">
        <v>40</v>
      </c>
      <c r="B21" s="5" t="str">
        <f>IFERROR(VLOOKUP(A21, 'Tabela de preços'!A:D, 2, FALSE), "")</f>
        <v>PINO F30 P/ PINADOR PNEUMATICO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0.45200000000000001</v>
      </c>
      <c r="F21" s="7">
        <f t="shared" si="0"/>
        <v>0.45200000000000001</v>
      </c>
    </row>
    <row r="22" spans="1:6" x14ac:dyDescent="0.25">
      <c r="A22" s="16" t="s">
        <v>104</v>
      </c>
      <c r="B22" s="17"/>
      <c r="C22" s="17"/>
      <c r="D22" s="17"/>
      <c r="E22" s="17"/>
      <c r="F22" s="17"/>
    </row>
    <row r="23" spans="1:6" x14ac:dyDescent="0.25">
      <c r="A23" s="6" t="s">
        <v>82</v>
      </c>
      <c r="B23" s="5" t="str">
        <f>IFERROR(VLOOKUP(A23, 'Tabela de preços'!A:D, 2, FALSE), "")</f>
        <v>PARAFUSO BICROMATIZADO PHILIPS 6.0X80MM</v>
      </c>
      <c r="C23" s="14">
        <v>0.2</v>
      </c>
      <c r="D23" s="6" t="str">
        <f>IFERROR(VLOOKUP(A23, 'Tabela de preços'!A:D, 3, FALSE), "")</f>
        <v>CT</v>
      </c>
      <c r="E23" s="7">
        <f>IFERROR(VLOOKUP(A23, 'Tabela de preços'!A:D, 4, FALSE), 0)</f>
        <v>28</v>
      </c>
      <c r="F23" s="7">
        <f>C23*E23</f>
        <v>5.6000000000000005</v>
      </c>
    </row>
    <row r="24" spans="1:6" x14ac:dyDescent="0.25">
      <c r="A24" s="9" t="s">
        <v>23</v>
      </c>
      <c r="B24" s="8" t="str">
        <f>IFERROR(VLOOKUP(A24, 'Tabela de preços'!A:D, 2, FALSE), "")</f>
        <v>BUCHA 08MM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18</v>
      </c>
      <c r="F24" s="10">
        <f>C24*E24</f>
        <v>3.6</v>
      </c>
    </row>
    <row r="26" spans="1:6" x14ac:dyDescent="0.25">
      <c r="E26" s="11" t="s">
        <v>105</v>
      </c>
      <c r="F26" s="12">
        <f>SUM(F5:F24)</f>
        <v>4182.6648000000014</v>
      </c>
    </row>
  </sheetData>
  <mergeCells count="3">
    <mergeCell ref="A11:F11"/>
    <mergeCell ref="A22:F22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118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42</v>
      </c>
      <c r="B6" s="8" t="str">
        <f>IFERROR(VLOOKUP(A6, 'Tabela de preços'!A:D, 2, FALSE), "")</f>
        <v>PIVOT HEAVY H143 (300KG) AÇO ESCOVADO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99.99</v>
      </c>
      <c r="F6" s="10">
        <f t="shared" ref="F6:F11" si="0">C6*E6</f>
        <v>99.99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6" t="s">
        <v>78</v>
      </c>
      <c r="B9" s="5" t="str">
        <f>IFERROR(VLOOKUP(A9, 'Tabela de preços'!A:D, 2, FALSE), "")</f>
        <v>ADAPTADOR INTERNO, PARA FECHADURAS COD 911.03.886</v>
      </c>
      <c r="C9" s="14">
        <v>1</v>
      </c>
      <c r="D9" s="6" t="str">
        <f>IFERROR(VLOOKUP(A9, 'Tabela de preços'!A:D, 3, FALSE), "")</f>
        <v>UNID</v>
      </c>
      <c r="E9" s="7">
        <f>IFERROR(VLOOKUP(A9, 'Tabela de preços'!A:D, 4, FALSE), 0)</f>
        <v>33.26</v>
      </c>
      <c r="F9" s="7">
        <f t="shared" si="0"/>
        <v>33.26</v>
      </c>
    </row>
    <row r="10" spans="1:6" x14ac:dyDescent="0.25">
      <c r="A10" s="9" t="s">
        <v>64</v>
      </c>
      <c r="B10" s="8" t="str">
        <f>IFERROR(VLOOKUP(A10, 'Tabela de preços'!A:D, 2, FALSE), "")</f>
        <v>FECHADURA AUX LINGUETA RETA INOX FOSCO 911.22.490</v>
      </c>
      <c r="C10" s="13">
        <v>1</v>
      </c>
      <c r="D10" s="9" t="str">
        <f>IFERROR(VLOOKUP(A10, 'Tabela de preços'!A:D, 3, FALSE), "")</f>
        <v>UNID</v>
      </c>
      <c r="E10" s="10">
        <f>IFERROR(VLOOKUP(A10, 'Tabela de preços'!A:D, 4, FALSE), 0)</f>
        <v>105.20399999999999</v>
      </c>
      <c r="F10" s="10">
        <f t="shared" si="0"/>
        <v>105.20399999999999</v>
      </c>
    </row>
    <row r="11" spans="1:6" x14ac:dyDescent="0.25">
      <c r="A11" s="6" t="s">
        <v>84</v>
      </c>
      <c r="B11" s="5" t="str">
        <f>IFERROR(VLOOKUP(A11, 'Tabela de preços'!A:D, 2, FALSE), "")</f>
        <v>COLAR OBLONGO ACABAMENTO CHAVE 27,5x13mm</v>
      </c>
      <c r="C11" s="14">
        <v>2</v>
      </c>
      <c r="D11" s="6" t="str">
        <f>IFERROR(VLOOKUP(A11, 'Tabela de preços'!A:D, 3, FALSE), "")</f>
        <v>UNID</v>
      </c>
      <c r="E11" s="7">
        <f>IFERROR(VLOOKUP(A11, 'Tabela de preços'!A:D, 4, FALSE), 0)</f>
        <v>40</v>
      </c>
      <c r="F11" s="7">
        <f t="shared" si="0"/>
        <v>80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3060.1287999999995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119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42</v>
      </c>
      <c r="B6" s="8" t="str">
        <f>IFERROR(VLOOKUP(A6, 'Tabela de preços'!A:D, 2, FALSE), "")</f>
        <v>PIVOT HEAVY H143 (300KG) AÇO ESCOVADO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99.99</v>
      </c>
      <c r="F6" s="10">
        <f t="shared" ref="F6:F11" si="0">C6*E6</f>
        <v>99.99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9" t="s">
        <v>64</v>
      </c>
      <c r="B9" s="8" t="str">
        <f>IFERROR(VLOOKUP(A9, 'Tabela de preços'!A:D, 2, FALSE), "")</f>
        <v>FECHADURA AUX LINGUETA RETA INOX FOSCO 911.22.490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105.20399999999999</v>
      </c>
      <c r="F9" s="10">
        <f t="shared" si="0"/>
        <v>105.20399999999999</v>
      </c>
    </row>
    <row r="10" spans="1:6" x14ac:dyDescent="0.25">
      <c r="A10" s="6" t="s">
        <v>66</v>
      </c>
      <c r="B10" s="5" t="str">
        <f>IFERROR(VLOOKUP(A10, 'Tabela de preços'!A:D, 2, FALSE), "")</f>
        <v>ADAPTADOR P/WC ZMK NIQ 911.03.885</v>
      </c>
      <c r="C10" s="14">
        <v>1</v>
      </c>
      <c r="D10" s="6" t="str">
        <f>IFERROR(VLOOKUP(A10, 'Tabela de preços'!A:D, 3, FALSE), "")</f>
        <v>UNID</v>
      </c>
      <c r="E10" s="7">
        <f>IFERROR(VLOOKUP(A10, 'Tabela de preços'!A:D, 4, FALSE), 0)</f>
        <v>19.12</v>
      </c>
      <c r="F10" s="7">
        <f>C10*E10</f>
        <v>19.12</v>
      </c>
    </row>
    <row r="11" spans="1:6" x14ac:dyDescent="0.25">
      <c r="A11" s="6" t="s">
        <v>72</v>
      </c>
      <c r="B11" s="5" t="str">
        <f>IFERROR(VLOOKUP(A11, 'Tabela de preços'!A:D, 2, FALSE), "")</f>
        <v>TRANQUETA GOTINHA AÇO INOX ESCOVADO</v>
      </c>
      <c r="C11" s="14">
        <v>1</v>
      </c>
      <c r="D11" s="6" t="str">
        <f>IFERROR(VLOOKUP(A11, 'Tabela de preços'!A:D, 3, FALSE), "")</f>
        <v>UNID</v>
      </c>
      <c r="E11" s="7">
        <f>IFERROR(VLOOKUP(A11, 'Tabela de preços'!A:D, 4, FALSE), 0)</f>
        <v>293</v>
      </c>
      <c r="F11" s="7">
        <f t="shared" si="0"/>
        <v>293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3258.9887999999996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workbookViewId="0">
      <selection activeCell="F26" sqref="F26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120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52</v>
      </c>
      <c r="B6" s="8" t="str">
        <f>IFERROR(VLOOKUP(A6, 'Tabela de preços'!A:D, 2, FALSE), "")</f>
        <v>PIVOT IL 100 (INVISIVEL) 280KG - ITALY LINE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331.8</v>
      </c>
      <c r="F6" s="10">
        <f t="shared" ref="F6:F10" si="0">C6*E6</f>
        <v>331.8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6" t="s">
        <v>92</v>
      </c>
      <c r="B9" s="5" t="str">
        <f>IFERROR(VLOOKUP(A9, 'Tabela de preços'!A:D, 2, FALSE), "")</f>
        <v>FECHADURA SEGURANÇA 12 PINOS C/ ROLETE 70200 KESO</v>
      </c>
      <c r="C9" s="14">
        <v>1</v>
      </c>
      <c r="D9" s="6" t="str">
        <f>IFERROR(VLOOKUP(A9, 'Tabela de preços'!A:D, 3, FALSE), "")</f>
        <v>CJ</v>
      </c>
      <c r="E9" s="7">
        <f>IFERROR(VLOOKUP(A9, 'Tabela de preços'!A:D, 4, FALSE), 0)</f>
        <v>1301</v>
      </c>
      <c r="F9" s="7">
        <f>C9*E9</f>
        <v>1301</v>
      </c>
    </row>
    <row r="10" spans="1:6" x14ac:dyDescent="0.25">
      <c r="A10" s="6" t="s">
        <v>84</v>
      </c>
      <c r="B10" s="5" t="str">
        <f>IFERROR(VLOOKUP(A10, 'Tabela de preços'!A:D, 2, FALSE), "")</f>
        <v>COLAR OBLONGO ACABAMENTO CHAVE 27,5x13mm</v>
      </c>
      <c r="C10" s="14">
        <v>2</v>
      </c>
      <c r="D10" s="6" t="str">
        <f>IFERROR(VLOOKUP(A10, 'Tabela de preços'!A:D, 3, FALSE), "")</f>
        <v>UNID</v>
      </c>
      <c r="E10" s="7">
        <f>IFERROR(VLOOKUP(A10, 'Tabela de preços'!A:D, 4, FALSE), 0)</f>
        <v>40</v>
      </c>
      <c r="F10" s="7">
        <f t="shared" si="0"/>
        <v>80</v>
      </c>
    </row>
    <row r="11" spans="1:6" x14ac:dyDescent="0.25">
      <c r="A11" s="16" t="s">
        <v>103</v>
      </c>
      <c r="B11" s="17"/>
      <c r="C11" s="17"/>
      <c r="D11" s="17"/>
      <c r="E11" s="17"/>
      <c r="F11" s="17"/>
    </row>
    <row r="12" spans="1:6" x14ac:dyDescent="0.25">
      <c r="A12" s="6" t="s">
        <v>80</v>
      </c>
      <c r="B12" s="5" t="str">
        <f>IFERROR(VLOOKUP(A12, 'Tabela de preços'!A:D, 2, FALSE), "")</f>
        <v>COMPENSADO NAVAL 10MM (10X1200X3000)</v>
      </c>
      <c r="C12" s="14">
        <v>2</v>
      </c>
      <c r="D12" s="6" t="str">
        <f>IFERROR(VLOOKUP(A12, 'Tabela de preços'!A:D, 3, FALSE), "")</f>
        <v>UNID</v>
      </c>
      <c r="E12" s="7">
        <f>IFERROR(VLOOKUP(A12, 'Tabela de preços'!A:D, 4, FALSE), 0)</f>
        <v>185</v>
      </c>
      <c r="F12" s="7">
        <f t="shared" ref="F12:F21" si="1">C12*E12</f>
        <v>370</v>
      </c>
    </row>
    <row r="13" spans="1:6" x14ac:dyDescent="0.25">
      <c r="A13" s="9" t="s">
        <v>22</v>
      </c>
      <c r="B13" s="8" t="str">
        <f>IFERROR(VLOOKUP(A13, 'Tabela de preços'!A:D, 2, FALSE), "")</f>
        <v>LAMINA NATURAL CARVALHO EUROPEU</v>
      </c>
      <c r="C13" s="13">
        <v>20</v>
      </c>
      <c r="D13" s="9" t="str">
        <f>IFERROR(VLOOKUP(A13, 'Tabela de preços'!A:D, 3, FALSE), "")</f>
        <v>M²</v>
      </c>
      <c r="E13" s="10">
        <f>IFERROR(VLOOKUP(A13, 'Tabela de preços'!A:D, 4, FALSE), 0)</f>
        <v>65</v>
      </c>
      <c r="F13" s="10">
        <f t="shared" si="1"/>
        <v>1300</v>
      </c>
    </row>
    <row r="14" spans="1:6" x14ac:dyDescent="0.25">
      <c r="A14" s="6" t="s">
        <v>94</v>
      </c>
      <c r="B14" s="5" t="str">
        <f>IFERROR(VLOOKUP(A14, 'Tabela de preços'!A:D, 2, FALSE), "")</f>
        <v>MADEIRA MACIÇA TAUARI (0.02X0.30X3.00)</v>
      </c>
      <c r="C14" s="14">
        <v>5</v>
      </c>
      <c r="D14" s="6" t="str">
        <f>IFERROR(VLOOKUP(A14, 'Tabela de preços'!A:D, 3, FALSE), "")</f>
        <v>UNID</v>
      </c>
      <c r="E14" s="7">
        <f>IFERROR(VLOOKUP(A14, 'Tabela de preços'!A:D, 4, FALSE), 0)</f>
        <v>52.2</v>
      </c>
      <c r="F14" s="7">
        <f t="shared" si="1"/>
        <v>261</v>
      </c>
    </row>
    <row r="15" spans="1:6" x14ac:dyDescent="0.25">
      <c r="A15" s="9" t="s">
        <v>80</v>
      </c>
      <c r="B15" s="8" t="str">
        <f>IFERROR(VLOOKUP(A15, 'Tabela de preços'!A:D, 2, FALSE), "")</f>
        <v>COMPENSADO NAVAL 10MM (10X1200X3000)</v>
      </c>
      <c r="C15" s="13">
        <v>1.56</v>
      </c>
      <c r="D15" s="9" t="str">
        <f>IFERROR(VLOOKUP(A15, 'Tabela de preços'!A:D, 3, FALSE), "")</f>
        <v>UNID</v>
      </c>
      <c r="E15" s="10">
        <f>IFERROR(VLOOKUP(A15, 'Tabela de preços'!A:D, 4, FALSE), 0)</f>
        <v>185</v>
      </c>
      <c r="F15" s="10">
        <f t="shared" si="1"/>
        <v>288.60000000000002</v>
      </c>
    </row>
    <row r="16" spans="1:6" x14ac:dyDescent="0.25">
      <c r="A16" s="6" t="s">
        <v>36</v>
      </c>
      <c r="B16" s="5" t="str">
        <f>IFERROR(VLOOKUP(A16, 'Tabela de preços'!A:D, 2, FALSE), "")</f>
        <v>COLA TITE BOND 1KG</v>
      </c>
      <c r="C16" s="14">
        <v>1.6</v>
      </c>
      <c r="D16" s="6" t="str">
        <f>IFERROR(VLOOKUP(A16, 'Tabela de preços'!A:D, 3, FALSE), "")</f>
        <v>UNID</v>
      </c>
      <c r="E16" s="7">
        <f>IFERROR(VLOOKUP(A16, 'Tabela de preços'!A:D, 4, FALSE), 0)</f>
        <v>50.76</v>
      </c>
      <c r="F16" s="7">
        <f t="shared" si="1"/>
        <v>81.216000000000008</v>
      </c>
    </row>
    <row r="17" spans="1:6" x14ac:dyDescent="0.25">
      <c r="A17" s="9" t="s">
        <v>58</v>
      </c>
      <c r="B17" s="8" t="str">
        <f>IFERROR(VLOOKUP(A17, 'Tabela de preços'!A:D, 2, FALSE), "")</f>
        <v>BARRA TUBO 20 X 30 X 6,00 CH PRETO</v>
      </c>
      <c r="C17" s="13">
        <v>3</v>
      </c>
      <c r="D17" s="9" t="str">
        <f>IFERROR(VLOOKUP(A17, 'Tabela de preços'!A:D, 3, FALSE), "")</f>
        <v>BARRA</v>
      </c>
      <c r="E17" s="10">
        <f>IFERROR(VLOOKUP(A17, 'Tabela de preços'!A:D, 4, FALSE), 0)</f>
        <v>66.45</v>
      </c>
      <c r="F17" s="10">
        <f t="shared" si="1"/>
        <v>199.35000000000002</v>
      </c>
    </row>
    <row r="18" spans="1:6" x14ac:dyDescent="0.25">
      <c r="A18" s="6" t="s">
        <v>33</v>
      </c>
      <c r="B18" s="5" t="str">
        <f>IFERROR(VLOOKUP(A18, 'Tabela de preços'!A:D, 2, FALSE), "")</f>
        <v>FUNDO ACABAMENTO BRILHO 0 MILESSI</v>
      </c>
      <c r="C18" s="14">
        <v>1</v>
      </c>
      <c r="D18" s="6" t="str">
        <f>IFERROR(VLOOKUP(A18, 'Tabela de preços'!A:D, 3, FALSE), "")</f>
        <v>LT</v>
      </c>
      <c r="E18" s="7">
        <f>IFERROR(VLOOKUP(A18, 'Tabela de preços'!A:D, 4, FALSE), 0)</f>
        <v>87.706800000000001</v>
      </c>
      <c r="F18" s="7">
        <f t="shared" si="1"/>
        <v>87.706800000000001</v>
      </c>
    </row>
    <row r="19" spans="1:6" x14ac:dyDescent="0.25">
      <c r="A19" s="9" t="s">
        <v>29</v>
      </c>
      <c r="B19" s="8" t="str">
        <f>IFERROR(VLOOKUP(A19, 'Tabela de preços'!A:D, 2, FALSE), "")</f>
        <v>COLA PUR TEKBOND 500G</v>
      </c>
      <c r="C19" s="13">
        <v>1</v>
      </c>
      <c r="D19" s="9" t="str">
        <f>IFERROR(VLOOKUP(A19, 'Tabela de preços'!A:D, 3, FALSE), "")</f>
        <v>UNID</v>
      </c>
      <c r="E19" s="10">
        <f>IFERROR(VLOOKUP(A19, 'Tabela de preços'!A:D, 4, FALSE), 0)</f>
        <v>33.64</v>
      </c>
      <c r="F19" s="10">
        <f t="shared" si="1"/>
        <v>33.64</v>
      </c>
    </row>
    <row r="20" spans="1:6" x14ac:dyDescent="0.25">
      <c r="A20" s="6" t="s">
        <v>62</v>
      </c>
      <c r="B20" s="5" t="str">
        <f>IFERROR(VLOOKUP(A20, 'Tabela de preços'!A:D, 2, FALSE), "")</f>
        <v>GRAMPO TIPO ''U'' 80x12MM</v>
      </c>
      <c r="C20" s="14">
        <v>1</v>
      </c>
      <c r="D20" s="6" t="str">
        <f>IFERROR(VLOOKUP(A20, 'Tabela de preços'!A:D, 3, FALSE), "")</f>
        <v>CT</v>
      </c>
      <c r="E20" s="7">
        <f>IFERROR(VLOOKUP(A20, 'Tabela de preços'!A:D, 4, FALSE), 0)</f>
        <v>2</v>
      </c>
      <c r="F20" s="7">
        <f t="shared" si="1"/>
        <v>2</v>
      </c>
    </row>
    <row r="21" spans="1:6" x14ac:dyDescent="0.25">
      <c r="A21" s="9" t="s">
        <v>40</v>
      </c>
      <c r="B21" s="8" t="str">
        <f>IFERROR(VLOOKUP(A21, 'Tabela de preços'!A:D, 2, FALSE), "")</f>
        <v>PINO F30 P/ PINADOR PNEUMATICO</v>
      </c>
      <c r="C21" s="13">
        <v>1</v>
      </c>
      <c r="D21" s="9" t="str">
        <f>IFERROR(VLOOKUP(A21, 'Tabela de preços'!A:D, 3, FALSE), "")</f>
        <v>CT</v>
      </c>
      <c r="E21" s="10">
        <f>IFERROR(VLOOKUP(A21, 'Tabela de preços'!A:D, 4, FALSE), 0)</f>
        <v>0.45200000000000001</v>
      </c>
      <c r="F21" s="10">
        <f t="shared" si="1"/>
        <v>0.45200000000000001</v>
      </c>
    </row>
    <row r="22" spans="1:6" x14ac:dyDescent="0.25">
      <c r="A22" s="16" t="s">
        <v>104</v>
      </c>
      <c r="B22" s="17"/>
      <c r="C22" s="17"/>
      <c r="D22" s="17"/>
      <c r="E22" s="17"/>
      <c r="F22" s="17"/>
    </row>
    <row r="23" spans="1:6" x14ac:dyDescent="0.25">
      <c r="A23" s="9" t="s">
        <v>82</v>
      </c>
      <c r="B23" s="8" t="str">
        <f>IFERROR(VLOOKUP(A23, 'Tabela de preços'!A:D, 2, FALSE), "")</f>
        <v>PARAFUSO BICROMATIZADO PHILIPS 6.0X80MM</v>
      </c>
      <c r="C23" s="13">
        <v>0.2</v>
      </c>
      <c r="D23" s="9" t="str">
        <f>IFERROR(VLOOKUP(A23, 'Tabela de preços'!A:D, 3, FALSE), "")</f>
        <v>CT</v>
      </c>
      <c r="E23" s="10">
        <f>IFERROR(VLOOKUP(A23, 'Tabela de preços'!A:D, 4, FALSE), 0)</f>
        <v>28</v>
      </c>
      <c r="F23" s="10">
        <f>C23*E23</f>
        <v>5.6000000000000005</v>
      </c>
    </row>
    <row r="24" spans="1:6" x14ac:dyDescent="0.25">
      <c r="A24" s="6" t="s">
        <v>23</v>
      </c>
      <c r="B24" s="5" t="str">
        <f>IFERROR(VLOOKUP(A24, 'Tabela de preços'!A:D, 2, FALSE), "")</f>
        <v>BUCHA 08MM</v>
      </c>
      <c r="C24" s="14">
        <v>0.2</v>
      </c>
      <c r="D24" s="6" t="str">
        <f>IFERROR(VLOOKUP(A24, 'Tabela de preços'!A:D, 3, FALSE), "")</f>
        <v>CT</v>
      </c>
      <c r="E24" s="7">
        <f>IFERROR(VLOOKUP(A24, 'Tabela de preços'!A:D, 4, FALSE), 0)</f>
        <v>18</v>
      </c>
      <c r="F24" s="7">
        <f>C24*E24</f>
        <v>3.6</v>
      </c>
    </row>
    <row r="26" spans="1:6" x14ac:dyDescent="0.25">
      <c r="E26" s="11" t="s">
        <v>105</v>
      </c>
      <c r="F26" s="12">
        <f>SUM(F5:F24)</f>
        <v>4454.4748000000018</v>
      </c>
    </row>
  </sheetData>
  <mergeCells count="3">
    <mergeCell ref="A5:F5"/>
    <mergeCell ref="A11:F11"/>
    <mergeCell ref="A22:F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121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52</v>
      </c>
      <c r="B6" s="8" t="str">
        <f>IFERROR(VLOOKUP(A6, 'Tabela de preços'!A:D, 2, FALSE), "")</f>
        <v>PIVOT IL 100 (INVISIVEL) 280KG - ITALY LINE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331.8</v>
      </c>
      <c r="F6" s="10">
        <f t="shared" ref="F6:F11" si="0">C6*E6</f>
        <v>331.8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9" t="s">
        <v>64</v>
      </c>
      <c r="B9" s="8" t="str">
        <f>IFERROR(VLOOKUP(A9, 'Tabela de preços'!A:D, 2, FALSE), "")</f>
        <v>FECHADURA AUX LINGUETA RETA INOX FOSCO 911.22.490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105.20399999999999</v>
      </c>
      <c r="F9" s="10">
        <f t="shared" si="0"/>
        <v>105.20399999999999</v>
      </c>
    </row>
    <row r="10" spans="1:6" x14ac:dyDescent="0.25">
      <c r="A10" s="6" t="s">
        <v>78</v>
      </c>
      <c r="B10" s="5" t="str">
        <f>IFERROR(VLOOKUP(A10, 'Tabela de preços'!A:D, 2, FALSE), "")</f>
        <v>ADAPTADOR INTERNO, PARA FECHADURAS COD 911.03.886</v>
      </c>
      <c r="C10" s="14">
        <v>1</v>
      </c>
      <c r="D10" s="6" t="str">
        <f>IFERROR(VLOOKUP(A10, 'Tabela de preços'!A:D, 3, FALSE), "")</f>
        <v>UNID</v>
      </c>
      <c r="E10" s="7">
        <f>IFERROR(VLOOKUP(A10, 'Tabela de preços'!A:D, 4, FALSE), 0)</f>
        <v>33.26</v>
      </c>
      <c r="F10" s="7">
        <f>C10*E10</f>
        <v>33.26</v>
      </c>
    </row>
    <row r="11" spans="1:6" x14ac:dyDescent="0.25">
      <c r="A11" s="6" t="s">
        <v>84</v>
      </c>
      <c r="B11" s="5" t="str">
        <f>IFERROR(VLOOKUP(A11, 'Tabela de preços'!A:D, 2, FALSE), "")</f>
        <v>COLAR OBLONGO ACABAMENTO CHAVE 27,5x13mm</v>
      </c>
      <c r="C11" s="14">
        <v>2</v>
      </c>
      <c r="D11" s="6" t="str">
        <f>IFERROR(VLOOKUP(A11, 'Tabela de preços'!A:D, 3, FALSE), "")</f>
        <v>UNID</v>
      </c>
      <c r="E11" s="7">
        <f>IFERROR(VLOOKUP(A11, 'Tabela de preços'!A:D, 4, FALSE), 0)</f>
        <v>40</v>
      </c>
      <c r="F11" s="7">
        <f t="shared" si="0"/>
        <v>80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3291.9387999999994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122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52</v>
      </c>
      <c r="B6" s="8" t="str">
        <f>IFERROR(VLOOKUP(A6, 'Tabela de preços'!A:D, 2, FALSE), "")</f>
        <v>PIVOT IL 100 (INVISIVEL) 280KG - ITALY LINE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331.8</v>
      </c>
      <c r="F6" s="10">
        <f t="shared" ref="F6:F11" si="0">C6*E6</f>
        <v>331.8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9" t="s">
        <v>64</v>
      </c>
      <c r="B9" s="8" t="str">
        <f>IFERROR(VLOOKUP(A9, 'Tabela de preços'!A:D, 2, FALSE), "")</f>
        <v>FECHADURA AUX LINGUETA RETA INOX FOSCO 911.22.490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105.20399999999999</v>
      </c>
      <c r="F9" s="10">
        <f t="shared" si="0"/>
        <v>105.20399999999999</v>
      </c>
    </row>
    <row r="10" spans="1:6" x14ac:dyDescent="0.25">
      <c r="A10" s="6" t="s">
        <v>66</v>
      </c>
      <c r="B10" s="5" t="str">
        <f>IFERROR(VLOOKUP(A10, 'Tabela de preços'!A:D, 2, FALSE), "")</f>
        <v>ADAPTADOR P/WC ZMK NIQ 911.03.885</v>
      </c>
      <c r="C10" s="14">
        <v>1</v>
      </c>
      <c r="D10" s="6" t="str">
        <f>IFERROR(VLOOKUP(A10, 'Tabela de preços'!A:D, 3, FALSE), "")</f>
        <v>UNID</v>
      </c>
      <c r="E10" s="7">
        <f>IFERROR(VLOOKUP(A10, 'Tabela de preços'!A:D, 4, FALSE), 0)</f>
        <v>19.12</v>
      </c>
      <c r="F10" s="7">
        <f>C10*E10</f>
        <v>19.12</v>
      </c>
    </row>
    <row r="11" spans="1:6" x14ac:dyDescent="0.25">
      <c r="A11" s="6" t="s">
        <v>72</v>
      </c>
      <c r="B11" s="5" t="str">
        <f>IFERROR(VLOOKUP(A11, 'Tabela de preços'!A:D, 2, FALSE), "")</f>
        <v>TRANQUETA GOTINHA AÇO INOX ESCOVADO</v>
      </c>
      <c r="C11" s="14">
        <v>1</v>
      </c>
      <c r="D11" s="6" t="str">
        <f>IFERROR(VLOOKUP(A11, 'Tabela de preços'!A:D, 3, FALSE), "")</f>
        <v>UNID</v>
      </c>
      <c r="E11" s="7">
        <f>IFERROR(VLOOKUP(A11, 'Tabela de preços'!A:D, 4, FALSE), 0)</f>
        <v>293</v>
      </c>
      <c r="F11" s="7">
        <f t="shared" si="0"/>
        <v>293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3490.7987999999996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123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70</v>
      </c>
      <c r="B6" s="8" t="str">
        <f>IFERROR(VLOOKUP(A6, 'Tabela de preços'!A:D, 2, FALSE), "")</f>
        <v>PIVÔ CIR 80KG - ECLISSE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463.02499999999998</v>
      </c>
      <c r="F6" s="10">
        <f t="shared" ref="F6:F11" si="0">C6*E6</f>
        <v>463.02499999999998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6" t="s">
        <v>64</v>
      </c>
      <c r="B9" s="5" t="str">
        <f>IFERROR(VLOOKUP(A9, 'Tabela de preços'!A:D, 2, FALSE), "")</f>
        <v>FECHADURA AUX LINGUETA RETA INOX FOSCO 911.22.490</v>
      </c>
      <c r="C9" s="14">
        <v>1</v>
      </c>
      <c r="D9" s="6" t="str">
        <f>IFERROR(VLOOKUP(A9, 'Tabela de preços'!A:D, 3, FALSE), "")</f>
        <v>UNID</v>
      </c>
      <c r="E9" s="7">
        <f>IFERROR(VLOOKUP(A9, 'Tabela de preços'!A:D, 4, FALSE), 0)</f>
        <v>105.20399999999999</v>
      </c>
      <c r="F9" s="7">
        <f t="shared" si="0"/>
        <v>105.20399999999999</v>
      </c>
    </row>
    <row r="10" spans="1:6" x14ac:dyDescent="0.25">
      <c r="A10" s="6" t="s">
        <v>78</v>
      </c>
      <c r="B10" s="5" t="str">
        <f>IFERROR(VLOOKUP(A10, 'Tabela de preços'!A:D, 2, FALSE), "")</f>
        <v>ADAPTADOR INTERNO, PARA FECHADURAS COD 911.03.886</v>
      </c>
      <c r="C10" s="14">
        <v>1</v>
      </c>
      <c r="D10" s="6" t="str">
        <f>IFERROR(VLOOKUP(A10, 'Tabela de preços'!A:D, 3, FALSE), "")</f>
        <v>UNID</v>
      </c>
      <c r="E10" s="7">
        <f>IFERROR(VLOOKUP(A10, 'Tabela de preços'!A:D, 4, FALSE), 0)</f>
        <v>33.26</v>
      </c>
      <c r="F10" s="7">
        <f>C10*E10</f>
        <v>33.26</v>
      </c>
    </row>
    <row r="11" spans="1:6" x14ac:dyDescent="0.25">
      <c r="A11" s="9" t="s">
        <v>84</v>
      </c>
      <c r="B11" s="8" t="str">
        <f>IFERROR(VLOOKUP(A11, 'Tabela de preços'!A:D, 2, FALSE), "")</f>
        <v>COLAR OBLONGO ACABAMENTO CHAVE 27,5x13mm</v>
      </c>
      <c r="C11" s="13">
        <v>2</v>
      </c>
      <c r="D11" s="9" t="str">
        <f>IFERROR(VLOOKUP(A11, 'Tabela de preços'!A:D, 3, FALSE), "")</f>
        <v>UNID</v>
      </c>
      <c r="E11" s="10">
        <f>IFERROR(VLOOKUP(A11, 'Tabela de preços'!A:D, 4, FALSE), 0)</f>
        <v>40</v>
      </c>
      <c r="F11" s="10">
        <f t="shared" si="0"/>
        <v>80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3423.1637999999994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124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70</v>
      </c>
      <c r="B6" s="8" t="str">
        <f>IFERROR(VLOOKUP(A6, 'Tabela de preços'!A:D, 2, FALSE), "")</f>
        <v>PIVÔ CIR 80KG - ECLISSE</v>
      </c>
      <c r="C6" s="13">
        <v>1</v>
      </c>
      <c r="D6" s="9" t="str">
        <f>IFERROR(VLOOKUP(A6, 'Tabela de preços'!A:D, 3, FALSE), "")</f>
        <v>UNID</v>
      </c>
      <c r="E6" s="10">
        <f>IFERROR(VLOOKUP(A6, 'Tabela de preços'!A:D, 4, FALSE), 0)</f>
        <v>463.02499999999998</v>
      </c>
      <c r="F6" s="10">
        <f t="shared" ref="F6:F11" si="0">C6*E6</f>
        <v>463.02499999999998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9" t="s">
        <v>64</v>
      </c>
      <c r="B9" s="8" t="str">
        <f>IFERROR(VLOOKUP(A9, 'Tabela de preços'!A:D, 2, FALSE), "")</f>
        <v>FECHADURA AUX LINGUETA RETA INOX FOSCO 911.22.490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105.20399999999999</v>
      </c>
      <c r="F9" s="10">
        <f t="shared" si="0"/>
        <v>105.20399999999999</v>
      </c>
    </row>
    <row r="10" spans="1:6" x14ac:dyDescent="0.25">
      <c r="A10" s="6" t="s">
        <v>66</v>
      </c>
      <c r="B10" s="5" t="str">
        <f>IFERROR(VLOOKUP(A10, 'Tabela de preços'!A:D, 2, FALSE), "")</f>
        <v>ADAPTADOR P/WC ZMK NIQ 911.03.885</v>
      </c>
      <c r="C10" s="14">
        <v>1</v>
      </c>
      <c r="D10" s="6" t="str">
        <f>IFERROR(VLOOKUP(A10, 'Tabela de preços'!A:D, 3, FALSE), "")</f>
        <v>UNID</v>
      </c>
      <c r="E10" s="7">
        <f>IFERROR(VLOOKUP(A10, 'Tabela de preços'!A:D, 4, FALSE), 0)</f>
        <v>19.12</v>
      </c>
      <c r="F10" s="7">
        <f>C10*E10</f>
        <v>19.12</v>
      </c>
    </row>
    <row r="11" spans="1:6" x14ac:dyDescent="0.25">
      <c r="A11" s="6" t="s">
        <v>72</v>
      </c>
      <c r="B11" s="5" t="str">
        <f>IFERROR(VLOOKUP(A11, 'Tabela de preços'!A:D, 2, FALSE), "")</f>
        <v>TRANQUETA GOTINHA AÇO INOX ESCOVADO</v>
      </c>
      <c r="C11" s="14">
        <v>1</v>
      </c>
      <c r="D11" s="6" t="str">
        <f>IFERROR(VLOOKUP(A11, 'Tabela de preços'!A:D, 3, FALSE), "")</f>
        <v>UNID</v>
      </c>
      <c r="E11" s="7">
        <f>IFERROR(VLOOKUP(A11, 'Tabela de preços'!A:D, 4, FALSE), 0)</f>
        <v>293</v>
      </c>
      <c r="F11" s="7">
        <f t="shared" si="0"/>
        <v>293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3622.0237999999995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109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74</v>
      </c>
      <c r="B6" s="8" t="str">
        <f>IFERROR(VLOOKUP(A6, 'Tabela de preços'!A:D, 2, FALSE), "")</f>
        <v>DOBRADIÇA INVISIVEL IN1200 120KG INOX FOSCO 923.03.250</v>
      </c>
      <c r="C6" s="13">
        <v>4</v>
      </c>
      <c r="D6" s="9" t="str">
        <f>IFERROR(VLOOKUP(A6, 'Tabela de preços'!A:D, 3, FALSE), "")</f>
        <v>UNID</v>
      </c>
      <c r="E6" s="10">
        <f>IFERROR(VLOOKUP(A6, 'Tabela de preços'!A:D, 4, FALSE), 0)</f>
        <v>416.11</v>
      </c>
      <c r="F6" s="10">
        <f t="shared" ref="F6:F11" si="0">C6*E6</f>
        <v>1664.44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9" t="s">
        <v>64</v>
      </c>
      <c r="B9" s="8" t="str">
        <f>IFERROR(VLOOKUP(A9, 'Tabela de preços'!A:D, 2, FALSE), "")</f>
        <v>FECHADURA AUX LINGUETA RETA INOX FOSCO 911.22.490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105.20399999999999</v>
      </c>
      <c r="F9" s="10">
        <f t="shared" si="0"/>
        <v>105.20399999999999</v>
      </c>
    </row>
    <row r="10" spans="1:6" x14ac:dyDescent="0.25">
      <c r="A10" s="6" t="s">
        <v>66</v>
      </c>
      <c r="B10" s="5" t="str">
        <f>IFERROR(VLOOKUP(A10, 'Tabela de preços'!A:D, 2, FALSE), "")</f>
        <v>ADAPTADOR P/WC ZMK NIQ 911.03.885</v>
      </c>
      <c r="C10" s="14">
        <v>1</v>
      </c>
      <c r="D10" s="6" t="str">
        <f>IFERROR(VLOOKUP(A10, 'Tabela de preços'!A:D, 3, FALSE), "")</f>
        <v>UNID</v>
      </c>
      <c r="E10" s="7">
        <f>IFERROR(VLOOKUP(A10, 'Tabela de preços'!A:D, 4, FALSE), 0)</f>
        <v>19.12</v>
      </c>
      <c r="F10" s="7">
        <f>C10*E10</f>
        <v>19.12</v>
      </c>
    </row>
    <row r="11" spans="1:6" x14ac:dyDescent="0.25">
      <c r="A11" s="6" t="s">
        <v>72</v>
      </c>
      <c r="B11" s="5" t="str">
        <f>IFERROR(VLOOKUP(A11, 'Tabela de preços'!A:D, 2, FALSE), "")</f>
        <v>TRANQUETA GOTINHA AÇO INOX ESCOVADO</v>
      </c>
      <c r="C11" s="14">
        <v>2</v>
      </c>
      <c r="D11" s="6" t="str">
        <f>IFERROR(VLOOKUP(A11, 'Tabela de preços'!A:D, 3, FALSE), "")</f>
        <v>UNID</v>
      </c>
      <c r="E11" s="7">
        <f>IFERROR(VLOOKUP(A11, 'Tabela de preços'!A:D, 4, FALSE), 0)</f>
        <v>293</v>
      </c>
      <c r="F11" s="7">
        <f t="shared" si="0"/>
        <v>586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5116.4388000000017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workbookViewId="0">
      <selection activeCell="F27" sqref="F27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110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74</v>
      </c>
      <c r="B6" s="8" t="str">
        <f>IFERROR(VLOOKUP(A6, 'Tabela de preços'!A:D, 2, FALSE), "")</f>
        <v>DOBRADIÇA INVISIVEL IN1200 120KG INOX FOSCO 923.03.250</v>
      </c>
      <c r="C6" s="13">
        <v>4</v>
      </c>
      <c r="D6" s="9" t="str">
        <f>IFERROR(VLOOKUP(A6, 'Tabela de preços'!A:D, 3, FALSE), "")</f>
        <v>UNID</v>
      </c>
      <c r="E6" s="10">
        <f>IFERROR(VLOOKUP(A6, 'Tabela de preços'!A:D, 4, FALSE), 0)</f>
        <v>416.11</v>
      </c>
      <c r="F6" s="10">
        <f t="shared" ref="F6:F11" si="0">C6*E6</f>
        <v>1664.44</v>
      </c>
    </row>
    <row r="7" spans="1:6" x14ac:dyDescent="0.25">
      <c r="A7" s="6" t="s">
        <v>31</v>
      </c>
      <c r="B7" s="5" t="str">
        <f>IFERROR(VLOOKUP(A7, 'Tabela de preços'!A:D, 2, FALSE), "")</f>
        <v>VEDA FRESTAS 04 X 09MM MARROM CLARO C/ 06 MT</v>
      </c>
      <c r="C7" s="14">
        <v>1</v>
      </c>
      <c r="D7" s="6" t="str">
        <f>IFERROR(VLOOKUP(A7, 'Tabela de preços'!A:D, 3, FALSE), "")</f>
        <v>UNID</v>
      </c>
      <c r="E7" s="7">
        <f>IFERROR(VLOOKUP(A7, 'Tabela de preços'!A:D, 4, FALSE), 0)</f>
        <v>18.510000000000002</v>
      </c>
      <c r="F7" s="7">
        <f t="shared" si="0"/>
        <v>18.510000000000002</v>
      </c>
    </row>
    <row r="8" spans="1:6" x14ac:dyDescent="0.25">
      <c r="A8" s="9" t="s">
        <v>38</v>
      </c>
      <c r="B8" s="8" t="str">
        <f>IFERROR(VLOOKUP(A8, 'Tabela de preços'!A:D, 2, FALSE), "")</f>
        <v>IMÃ 22X10 N.42</v>
      </c>
      <c r="C8" s="13">
        <v>4</v>
      </c>
      <c r="D8" s="9" t="str">
        <f>IFERROR(VLOOKUP(A8, 'Tabela de preços'!A:D, 3, FALSE), "")</f>
        <v>UNID</v>
      </c>
      <c r="E8" s="10">
        <f>IFERROR(VLOOKUP(A8, 'Tabela de preços'!A:D, 4, FALSE), 0)</f>
        <v>22.5</v>
      </c>
      <c r="F8" s="10">
        <f t="shared" si="0"/>
        <v>90</v>
      </c>
    </row>
    <row r="9" spans="1:6" x14ac:dyDescent="0.25">
      <c r="A9" s="9" t="s">
        <v>64</v>
      </c>
      <c r="B9" s="8" t="str">
        <f>IFERROR(VLOOKUP(A9, 'Tabela de preços'!A:D, 2, FALSE), "")</f>
        <v>FECHADURA AUX LINGUETA RETA INOX FOSCO 911.22.490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105.20399999999999</v>
      </c>
      <c r="F9" s="10">
        <f t="shared" si="0"/>
        <v>105.20399999999999</v>
      </c>
    </row>
    <row r="10" spans="1:6" x14ac:dyDescent="0.25">
      <c r="A10" s="6" t="s">
        <v>78</v>
      </c>
      <c r="B10" s="5" t="str">
        <f>IFERROR(VLOOKUP(A10, 'Tabela de preços'!A:D, 2, FALSE), "")</f>
        <v>ADAPTADOR INTERNO, PARA FECHADURAS COD 911.03.886</v>
      </c>
      <c r="C10" s="14">
        <v>1</v>
      </c>
      <c r="D10" s="6" t="str">
        <f>IFERROR(VLOOKUP(A10, 'Tabela de preços'!A:D, 3, FALSE), "")</f>
        <v>UNID</v>
      </c>
      <c r="E10" s="7">
        <f>IFERROR(VLOOKUP(A10, 'Tabela de preços'!A:D, 4, FALSE), 0)</f>
        <v>33.26</v>
      </c>
      <c r="F10" s="7">
        <f>C10*E10</f>
        <v>33.26</v>
      </c>
    </row>
    <row r="11" spans="1:6" x14ac:dyDescent="0.25">
      <c r="A11" s="6" t="s">
        <v>84</v>
      </c>
      <c r="B11" s="5" t="str">
        <f>IFERROR(VLOOKUP(A11, 'Tabela de preços'!A:D, 2, FALSE), "")</f>
        <v>COLAR OBLONGO ACABAMENTO CHAVE 27,5x13mm</v>
      </c>
      <c r="C11" s="14">
        <v>2</v>
      </c>
      <c r="D11" s="6" t="str">
        <f>IFERROR(VLOOKUP(A11, 'Tabela de preços'!A:D, 3, FALSE), "")</f>
        <v>UNID</v>
      </c>
      <c r="E11" s="7">
        <f>IFERROR(VLOOKUP(A11, 'Tabela de preços'!A:D, 4, FALSE), 0)</f>
        <v>40</v>
      </c>
      <c r="F11" s="7">
        <f t="shared" si="0"/>
        <v>80</v>
      </c>
    </row>
    <row r="12" spans="1:6" x14ac:dyDescent="0.25">
      <c r="A12" s="16" t="s">
        <v>103</v>
      </c>
      <c r="B12" s="17"/>
      <c r="C12" s="17"/>
      <c r="D12" s="17"/>
      <c r="E12" s="17"/>
      <c r="F12" s="17"/>
    </row>
    <row r="13" spans="1:6" x14ac:dyDescent="0.25">
      <c r="A13" s="6" t="s">
        <v>80</v>
      </c>
      <c r="B13" s="5" t="str">
        <f>IFERROR(VLOOKUP(A13, 'Tabela de preços'!A:D, 2, FALSE), "")</f>
        <v>COMPENSADO NAVAL 10MM (10X1200X3000)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185</v>
      </c>
      <c r="F13" s="7">
        <f t="shared" ref="F13:F22" si="1">C13*E13</f>
        <v>370</v>
      </c>
    </row>
    <row r="14" spans="1:6" x14ac:dyDescent="0.25">
      <c r="A14" s="9" t="s">
        <v>22</v>
      </c>
      <c r="B14" s="8" t="str">
        <f>IFERROR(VLOOKUP(A14, 'Tabela de preços'!A:D, 2, FALSE), "")</f>
        <v>LAMINA NATURAL CARVALHO EUROPEU</v>
      </c>
      <c r="C14" s="13">
        <v>20</v>
      </c>
      <c r="D14" s="9" t="str">
        <f>IFERROR(VLOOKUP(A14, 'Tabela de preços'!A:D, 3, FALSE), "")</f>
        <v>M²</v>
      </c>
      <c r="E14" s="10">
        <f>IFERROR(VLOOKUP(A14, 'Tabela de preços'!A:D, 4, FALSE), 0)</f>
        <v>65</v>
      </c>
      <c r="F14" s="10">
        <f t="shared" si="1"/>
        <v>1300</v>
      </c>
    </row>
    <row r="15" spans="1:6" x14ac:dyDescent="0.25">
      <c r="A15" s="6" t="s">
        <v>94</v>
      </c>
      <c r="B15" s="5" t="str">
        <f>IFERROR(VLOOKUP(A15, 'Tabela de preços'!A:D, 2, FALSE), "")</f>
        <v>MADEIRA MACIÇA TAUARI (0.02X0.30X3.00)</v>
      </c>
      <c r="C15" s="14">
        <v>5</v>
      </c>
      <c r="D15" s="6" t="str">
        <f>IFERROR(VLOOKUP(A15, 'Tabela de preços'!A:D, 3, FALSE), "")</f>
        <v>UNID</v>
      </c>
      <c r="E15" s="7">
        <f>IFERROR(VLOOKUP(A15, 'Tabela de preços'!A:D, 4, FALSE), 0)</f>
        <v>52.2</v>
      </c>
      <c r="F15" s="7">
        <f t="shared" si="1"/>
        <v>261</v>
      </c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1.56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si="1"/>
        <v>288.60000000000002</v>
      </c>
    </row>
    <row r="17" spans="1:6" x14ac:dyDescent="0.25">
      <c r="A17" s="6" t="s">
        <v>36</v>
      </c>
      <c r="B17" s="5" t="str">
        <f>IFERROR(VLOOKUP(A17, 'Tabela de preços'!A:D, 2, FALSE), "")</f>
        <v>COLA TITE BOND 1KG</v>
      </c>
      <c r="C17" s="14">
        <v>1.6</v>
      </c>
      <c r="D17" s="6" t="str">
        <f>IFERROR(VLOOKUP(A17, 'Tabela de preços'!A:D, 3, FALSE), "")</f>
        <v>UNID</v>
      </c>
      <c r="E17" s="7">
        <f>IFERROR(VLOOKUP(A17, 'Tabela de preços'!A:D, 4, FALSE), 0)</f>
        <v>50.76</v>
      </c>
      <c r="F17" s="7">
        <f t="shared" si="1"/>
        <v>81.216000000000008</v>
      </c>
    </row>
    <row r="18" spans="1:6" x14ac:dyDescent="0.25">
      <c r="A18" s="9" t="s">
        <v>58</v>
      </c>
      <c r="B18" s="8" t="str">
        <f>IFERROR(VLOOKUP(A18, 'Tabela de preços'!A:D, 2, FALSE), "")</f>
        <v>BARRA TUBO 20 X 30 X 6,00 CH PRETO</v>
      </c>
      <c r="C18" s="13">
        <v>3</v>
      </c>
      <c r="D18" s="9" t="str">
        <f>IFERROR(VLOOKUP(A18, 'Tabela de preços'!A:D, 3, FALSE), "")</f>
        <v>BARRA</v>
      </c>
      <c r="E18" s="10">
        <f>IFERROR(VLOOKUP(A18, 'Tabela de preços'!A:D, 4, FALSE), 0)</f>
        <v>66.45</v>
      </c>
      <c r="F18" s="10">
        <f t="shared" si="1"/>
        <v>199.35000000000002</v>
      </c>
    </row>
    <row r="19" spans="1:6" x14ac:dyDescent="0.25">
      <c r="A19" s="6" t="s">
        <v>33</v>
      </c>
      <c r="B19" s="5" t="str">
        <f>IFERROR(VLOOKUP(A19, 'Tabela de preços'!A:D, 2, FALSE), "")</f>
        <v>FUNDO ACABAMENTO BRILHO 0 MILESSI</v>
      </c>
      <c r="C19" s="14">
        <v>1</v>
      </c>
      <c r="D19" s="6" t="str">
        <f>IFERROR(VLOOKUP(A19, 'Tabela de preços'!A:D, 3, FALSE), "")</f>
        <v>LT</v>
      </c>
      <c r="E19" s="7">
        <f>IFERROR(VLOOKUP(A19, 'Tabela de preços'!A:D, 4, FALSE), 0)</f>
        <v>87.706800000000001</v>
      </c>
      <c r="F19" s="7">
        <f t="shared" si="1"/>
        <v>87.706800000000001</v>
      </c>
    </row>
    <row r="20" spans="1:6" x14ac:dyDescent="0.25">
      <c r="A20" s="9" t="s">
        <v>29</v>
      </c>
      <c r="B20" s="8" t="str">
        <f>IFERROR(VLOOKUP(A20, 'Tabela de preços'!A:D, 2, FALSE), "")</f>
        <v>COLA PUR TEKBOND 500G</v>
      </c>
      <c r="C20" s="13">
        <v>1</v>
      </c>
      <c r="D20" s="9" t="str">
        <f>IFERROR(VLOOKUP(A20, 'Tabela de preços'!A:D, 3, FALSE), "")</f>
        <v>UNID</v>
      </c>
      <c r="E20" s="10">
        <f>IFERROR(VLOOKUP(A20, 'Tabela de preços'!A:D, 4, FALSE), 0)</f>
        <v>33.64</v>
      </c>
      <c r="F20" s="10">
        <f t="shared" si="1"/>
        <v>33.64</v>
      </c>
    </row>
    <row r="21" spans="1:6" x14ac:dyDescent="0.25">
      <c r="A21" s="6" t="s">
        <v>62</v>
      </c>
      <c r="B21" s="5" t="str">
        <f>IFERROR(VLOOKUP(A21, 'Tabela de preços'!A:D, 2, FALSE), "")</f>
        <v>GRAMPO TIPO ''U'' 80x12MM</v>
      </c>
      <c r="C21" s="14">
        <v>1</v>
      </c>
      <c r="D21" s="6" t="str">
        <f>IFERROR(VLOOKUP(A21, 'Tabela de preços'!A:D, 3, FALSE), "")</f>
        <v>CT</v>
      </c>
      <c r="E21" s="7">
        <f>IFERROR(VLOOKUP(A21, 'Tabela de preços'!A:D, 4, FALSE), 0)</f>
        <v>2</v>
      </c>
      <c r="F21" s="7">
        <f t="shared" si="1"/>
        <v>2</v>
      </c>
    </row>
    <row r="22" spans="1:6" x14ac:dyDescent="0.25">
      <c r="A22" s="9" t="s">
        <v>40</v>
      </c>
      <c r="B22" s="8" t="str">
        <f>IFERROR(VLOOKUP(A22, 'Tabela de preços'!A:D, 2, FALSE), "")</f>
        <v>PINO F30 P/ PINADOR PNEUMATICO</v>
      </c>
      <c r="C22" s="13">
        <v>1</v>
      </c>
      <c r="D22" s="9" t="str">
        <f>IFERROR(VLOOKUP(A22, 'Tabela de preços'!A:D, 3, FALSE), "")</f>
        <v>CT</v>
      </c>
      <c r="E22" s="10">
        <f>IFERROR(VLOOKUP(A22, 'Tabela de preços'!A:D, 4, FALSE), 0)</f>
        <v>0.45200000000000001</v>
      </c>
      <c r="F22" s="10">
        <f t="shared" si="1"/>
        <v>0.45200000000000001</v>
      </c>
    </row>
    <row r="23" spans="1:6" x14ac:dyDescent="0.25">
      <c r="A23" s="16" t="s">
        <v>104</v>
      </c>
      <c r="B23" s="17"/>
      <c r="C23" s="17"/>
      <c r="D23" s="17"/>
      <c r="E23" s="17"/>
      <c r="F23" s="17"/>
    </row>
    <row r="24" spans="1:6" x14ac:dyDescent="0.25">
      <c r="A24" s="9" t="s">
        <v>82</v>
      </c>
      <c r="B24" s="8" t="str">
        <f>IFERROR(VLOOKUP(A24, 'Tabela de preços'!A:D, 2, FALSE), "")</f>
        <v>PARAFUSO BICROMATIZADO PHILIPS 6.0X80MM</v>
      </c>
      <c r="C24" s="13">
        <v>0.2</v>
      </c>
      <c r="D24" s="9" t="str">
        <f>IFERROR(VLOOKUP(A24, 'Tabela de preços'!A:D, 3, FALSE), "")</f>
        <v>CT</v>
      </c>
      <c r="E24" s="10">
        <f>IFERROR(VLOOKUP(A24, 'Tabela de preços'!A:D, 4, FALSE), 0)</f>
        <v>28</v>
      </c>
      <c r="F24" s="10">
        <f>C24*E24</f>
        <v>5.6000000000000005</v>
      </c>
    </row>
    <row r="25" spans="1:6" x14ac:dyDescent="0.25">
      <c r="A25" s="6" t="s">
        <v>23</v>
      </c>
      <c r="B25" s="5" t="str">
        <f>IFERROR(VLOOKUP(A25, 'Tabela de preços'!A:D, 2, FALSE), "")</f>
        <v>BUCHA 08MM</v>
      </c>
      <c r="C25" s="14">
        <v>0.2</v>
      </c>
      <c r="D25" s="6" t="str">
        <f>IFERROR(VLOOKUP(A25, 'Tabela de preços'!A:D, 3, FALSE), "")</f>
        <v>CT</v>
      </c>
      <c r="E25" s="7">
        <f>IFERROR(VLOOKUP(A25, 'Tabela de preços'!A:D, 4, FALSE), 0)</f>
        <v>18</v>
      </c>
      <c r="F25" s="7">
        <f>C25*E25</f>
        <v>3.6</v>
      </c>
    </row>
    <row r="27" spans="1:6" x14ac:dyDescent="0.25">
      <c r="E27" s="11" t="s">
        <v>105</v>
      </c>
      <c r="F27" s="12">
        <f>SUM(F5:F25)</f>
        <v>4624.578800000002</v>
      </c>
    </row>
  </sheetData>
  <mergeCells count="3">
    <mergeCell ref="A5:F5"/>
    <mergeCell ref="A12:F12"/>
    <mergeCell ref="A23:F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workbookViewId="0">
      <selection activeCell="F30" sqref="F30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108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44</v>
      </c>
      <c r="B6" s="8" t="str">
        <f>IFERROR(VLOOKUP(A6, 'Tabela de preços'!A:D, 2, FALSE), "")</f>
        <v>KIT RO 82TOP P/ 1 Porta FE9009 80-100kg</v>
      </c>
      <c r="C6" s="13">
        <v>1</v>
      </c>
      <c r="D6" s="9" t="str">
        <f>IFERROR(VLOOKUP(A6, 'Tabela de preços'!A:D, 3, FALSE), "")</f>
        <v>KIT</v>
      </c>
      <c r="E6" s="10">
        <f>IFERROR(VLOOKUP(A6, 'Tabela de preços'!A:D, 4, FALSE), 0)</f>
        <v>473.5</v>
      </c>
      <c r="F6" s="10">
        <f t="shared" ref="F6:F11" si="0">C6*E6</f>
        <v>473.5</v>
      </c>
    </row>
    <row r="7" spans="1:6" x14ac:dyDescent="0.25">
      <c r="A7" s="6" t="s">
        <v>47</v>
      </c>
      <c r="B7" s="5" t="str">
        <f>IFERROR(VLOOKUP(A7, 'Tabela de preços'!A:D, 2, FALSE), "")</f>
        <v>TRILHO SUP RM-003 P/RO82 6M FSC</v>
      </c>
      <c r="C7" s="14">
        <v>1</v>
      </c>
      <c r="D7" s="6" t="str">
        <f>IFERROR(VLOOKUP(A7, 'Tabela de preços'!A:D, 3, FALSE), "")</f>
        <v>BARRA</v>
      </c>
      <c r="E7" s="7">
        <f>IFERROR(VLOOKUP(A7, 'Tabela de preços'!A:D, 4, FALSE), 0)</f>
        <v>452</v>
      </c>
      <c r="F7" s="7">
        <f t="shared" si="0"/>
        <v>452</v>
      </c>
    </row>
    <row r="8" spans="1:6" x14ac:dyDescent="0.25">
      <c r="A8" s="6" t="s">
        <v>60</v>
      </c>
      <c r="B8" s="5" t="str">
        <f>IFERROR(VLOOKUP(A8, 'Tabela de preços'!A:D, 2, FALSE), "")</f>
        <v>PERFIL DE ALUMINIO 1/2 - 02 METROS - 10MM INTERNO</v>
      </c>
      <c r="C8" s="14">
        <v>1</v>
      </c>
      <c r="D8" s="6" t="str">
        <f>IFERROR(VLOOKUP(A8, 'Tabela de preços'!A:D, 3, FALSE), "")</f>
        <v>BARRA</v>
      </c>
      <c r="E8" s="7">
        <f>IFERROR(VLOOKUP(A8, 'Tabela de preços'!A:D, 4, FALSE), 0)</f>
        <v>13.6</v>
      </c>
      <c r="F8" s="7">
        <f>C8*E8</f>
        <v>13.6</v>
      </c>
    </row>
    <row r="9" spans="1:6" x14ac:dyDescent="0.25">
      <c r="A9" s="9" t="s">
        <v>76</v>
      </c>
      <c r="B9" s="8" t="str">
        <f>IFERROR(VLOOKUP(A9, 'Tabela de preços'!A:D, 2, FALSE), "")</f>
        <v>PUXADOR FRONTAL OBLONGO INOX 304 ESCOVADO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110</v>
      </c>
      <c r="F9" s="10">
        <f t="shared" si="0"/>
        <v>110</v>
      </c>
    </row>
    <row r="10" spans="1:6" x14ac:dyDescent="0.25">
      <c r="A10" s="6" t="s">
        <v>38</v>
      </c>
      <c r="B10" s="5" t="str">
        <f>IFERROR(VLOOKUP(A10, 'Tabela de preços'!A:D, 2, FALSE), "")</f>
        <v>IMÃ 22X10 N.42</v>
      </c>
      <c r="C10" s="14">
        <v>4</v>
      </c>
      <c r="D10" s="6" t="str">
        <f>IFERROR(VLOOKUP(A10, 'Tabela de preços'!A:D, 3, FALSE), "")</f>
        <v>UNID</v>
      </c>
      <c r="E10" s="7">
        <f>IFERROR(VLOOKUP(A10, 'Tabela de preços'!A:D, 4, FALSE), 0)</f>
        <v>22.5</v>
      </c>
      <c r="F10" s="7">
        <f>C10*E10</f>
        <v>90</v>
      </c>
    </row>
    <row r="11" spans="1:6" x14ac:dyDescent="0.25">
      <c r="A11" s="9" t="s">
        <v>68</v>
      </c>
      <c r="B11" s="8" t="str">
        <f>IFERROR(VLOOKUP(A11, 'Tabela de preços'!A:D, 2, FALSE), "")</f>
        <v>FECHADURA AUX P.CORRER RETA INOX FOSCO 911.26.335</v>
      </c>
      <c r="C11" s="13">
        <v>1</v>
      </c>
      <c r="D11" s="9" t="str">
        <f>IFERROR(VLOOKUP(A11, 'Tabela de preços'!A:D, 3, FALSE), "")</f>
        <v>UNID</v>
      </c>
      <c r="E11" s="10">
        <f>IFERROR(VLOOKUP(A11, 'Tabela de preços'!A:D, 4, FALSE), 0)</f>
        <v>104.43</v>
      </c>
      <c r="F11" s="10">
        <f t="shared" si="0"/>
        <v>104.43</v>
      </c>
    </row>
    <row r="12" spans="1:6" x14ac:dyDescent="0.25">
      <c r="A12" s="6" t="s">
        <v>66</v>
      </c>
      <c r="B12" s="5" t="str">
        <f>IFERROR(VLOOKUP(A12, 'Tabela de preços'!A:D, 2, FALSE), "")</f>
        <v>ADAPTADOR P/WC ZMK NIQ 911.03.885</v>
      </c>
      <c r="C12" s="14">
        <v>2</v>
      </c>
      <c r="D12" s="6" t="str">
        <f>IFERROR(VLOOKUP(A12, 'Tabela de preços'!A:D, 3, FALSE), "")</f>
        <v>UNID</v>
      </c>
      <c r="E12" s="7">
        <f>IFERROR(VLOOKUP(A12, 'Tabela de preços'!A:D, 4, FALSE), 0)</f>
        <v>19.12</v>
      </c>
      <c r="F12" s="7">
        <f>C12*E12</f>
        <v>38.24</v>
      </c>
    </row>
    <row r="13" spans="1:6" x14ac:dyDescent="0.25">
      <c r="A13" s="9" t="s">
        <v>72</v>
      </c>
      <c r="B13" s="8" t="str">
        <f>IFERROR(VLOOKUP(A13, 'Tabela de preços'!A:D, 2, FALSE), "")</f>
        <v>TRANQUETA GOTINHA AÇO INOX ESCOVADO</v>
      </c>
      <c r="C13" s="13">
        <v>1</v>
      </c>
      <c r="D13" s="9" t="str">
        <f>IFERROR(VLOOKUP(A13, 'Tabela de preços'!A:D, 3, FALSE), "")</f>
        <v>UNID</v>
      </c>
      <c r="E13" s="10">
        <f>IFERROR(VLOOKUP(A13, 'Tabela de preços'!A:D, 4, FALSE), 0)</f>
        <v>293</v>
      </c>
      <c r="F13" s="10">
        <f t="shared" ref="F13" si="1">C13*E13</f>
        <v>293</v>
      </c>
    </row>
    <row r="14" spans="1:6" x14ac:dyDescent="0.25">
      <c r="A14" s="9" t="s">
        <v>54</v>
      </c>
      <c r="B14" s="8" t="str">
        <f>IFERROR(VLOOKUP(A14, 'Tabela de preços'!A:D, 2, FALSE), "")</f>
        <v>ACABAMENTO REDONDO PERSONALIZADO  PARA WC</v>
      </c>
      <c r="C14" s="13">
        <v>1</v>
      </c>
      <c r="D14" s="9" t="str">
        <f>IFERROR(VLOOKUP(A14, 'Tabela de preços'!A:D, 3, FALSE), "")</f>
        <v>UNID</v>
      </c>
      <c r="E14" s="10">
        <f>IFERROR(VLOOKUP(A14, 'Tabela de preços'!A:D, 4, FALSE), 0)</f>
        <v>25</v>
      </c>
      <c r="F14" s="10">
        <f>C14*E14</f>
        <v>25</v>
      </c>
    </row>
    <row r="15" spans="1:6" x14ac:dyDescent="0.25">
      <c r="A15" s="16" t="s">
        <v>103</v>
      </c>
      <c r="B15" s="17"/>
      <c r="C15" s="17"/>
      <c r="D15" s="17"/>
      <c r="E15" s="17"/>
      <c r="F15" s="17"/>
    </row>
    <row r="16" spans="1:6" x14ac:dyDescent="0.25">
      <c r="A16" s="6" t="s">
        <v>80</v>
      </c>
      <c r="B16" s="5" t="str">
        <f>IFERROR(VLOOKUP(A16, 'Tabela de preços'!A:D, 2, FALSE), "")</f>
        <v>COMPENSADO NAVAL 10MM (10X1200X3000)</v>
      </c>
      <c r="C16" s="14">
        <v>2</v>
      </c>
      <c r="D16" s="6" t="str">
        <f>IFERROR(VLOOKUP(A16, 'Tabela de preços'!A:D, 3, FALSE), "")</f>
        <v>UNID</v>
      </c>
      <c r="E16" s="7">
        <f>IFERROR(VLOOKUP(A16, 'Tabela de preços'!A:D, 4, FALSE), 0)</f>
        <v>185</v>
      </c>
      <c r="F16" s="7">
        <f t="shared" ref="F16:F25" si="2">C16*E16</f>
        <v>370</v>
      </c>
    </row>
    <row r="17" spans="1:6" x14ac:dyDescent="0.25">
      <c r="A17" s="9" t="s">
        <v>22</v>
      </c>
      <c r="B17" s="8" t="str">
        <f>IFERROR(VLOOKUP(A17, 'Tabela de preços'!A:D, 2, FALSE), "")</f>
        <v>LAMINA NATURAL CARVALHO EUROPEU</v>
      </c>
      <c r="C17" s="13">
        <v>20</v>
      </c>
      <c r="D17" s="9" t="str">
        <f>IFERROR(VLOOKUP(A17, 'Tabela de preços'!A:D, 3, FALSE), "")</f>
        <v>M²</v>
      </c>
      <c r="E17" s="10">
        <f>IFERROR(VLOOKUP(A17, 'Tabela de preços'!A:D, 4, FALSE), 0)</f>
        <v>65</v>
      </c>
      <c r="F17" s="10">
        <f t="shared" si="2"/>
        <v>1300</v>
      </c>
    </row>
    <row r="18" spans="1:6" x14ac:dyDescent="0.25">
      <c r="A18" s="6" t="s">
        <v>94</v>
      </c>
      <c r="B18" s="5" t="str">
        <f>IFERROR(VLOOKUP(A18, 'Tabela de preços'!A:D, 2, FALSE), "")</f>
        <v>MADEIRA MACIÇA TAUARI (0.02X0.30X3.00)</v>
      </c>
      <c r="C18" s="14">
        <v>5</v>
      </c>
      <c r="D18" s="6" t="str">
        <f>IFERROR(VLOOKUP(A18, 'Tabela de preços'!A:D, 3, FALSE), "")</f>
        <v>UNID</v>
      </c>
      <c r="E18" s="7">
        <f>IFERROR(VLOOKUP(A18, 'Tabela de preços'!A:D, 4, FALSE), 0)</f>
        <v>52.2</v>
      </c>
      <c r="F18" s="7">
        <f t="shared" si="2"/>
        <v>261</v>
      </c>
    </row>
    <row r="19" spans="1:6" x14ac:dyDescent="0.25">
      <c r="A19" s="9" t="s">
        <v>80</v>
      </c>
      <c r="B19" s="8" t="str">
        <f>IFERROR(VLOOKUP(A19, 'Tabela de preços'!A:D, 2, FALSE), "")</f>
        <v>COMPENSADO NAVAL 10MM (10X1200X3000)</v>
      </c>
      <c r="C19" s="13">
        <v>1.56</v>
      </c>
      <c r="D19" s="9" t="str">
        <f>IFERROR(VLOOKUP(A19, 'Tabela de preços'!A:D, 3, FALSE), "")</f>
        <v>UNID</v>
      </c>
      <c r="E19" s="10">
        <f>IFERROR(VLOOKUP(A19, 'Tabela de preços'!A:D, 4, FALSE), 0)</f>
        <v>185</v>
      </c>
      <c r="F19" s="10">
        <f t="shared" si="2"/>
        <v>288.60000000000002</v>
      </c>
    </row>
    <row r="20" spans="1:6" x14ac:dyDescent="0.25">
      <c r="A20" s="6" t="s">
        <v>36</v>
      </c>
      <c r="B20" s="5" t="str">
        <f>IFERROR(VLOOKUP(A20, 'Tabela de preços'!A:D, 2, FALSE), "")</f>
        <v>COLA TITE BOND 1KG</v>
      </c>
      <c r="C20" s="14">
        <v>1.6</v>
      </c>
      <c r="D20" s="6" t="str">
        <f>IFERROR(VLOOKUP(A20, 'Tabela de preços'!A:D, 3, FALSE), "")</f>
        <v>UNID</v>
      </c>
      <c r="E20" s="7">
        <f>IFERROR(VLOOKUP(A20, 'Tabela de preços'!A:D, 4, FALSE), 0)</f>
        <v>50.76</v>
      </c>
      <c r="F20" s="7">
        <f t="shared" si="2"/>
        <v>81.216000000000008</v>
      </c>
    </row>
    <row r="21" spans="1:6" x14ac:dyDescent="0.25">
      <c r="A21" s="9" t="s">
        <v>58</v>
      </c>
      <c r="B21" s="8" t="str">
        <f>IFERROR(VLOOKUP(A21, 'Tabela de preços'!A:D, 2, FALSE), "")</f>
        <v>BARRA TUBO 20 X 30 X 6,00 CH PRETO</v>
      </c>
      <c r="C21" s="13">
        <v>3</v>
      </c>
      <c r="D21" s="9" t="str">
        <f>IFERROR(VLOOKUP(A21, 'Tabela de preços'!A:D, 3, FALSE), "")</f>
        <v>BARRA</v>
      </c>
      <c r="E21" s="10">
        <f>IFERROR(VLOOKUP(A21, 'Tabela de preços'!A:D, 4, FALSE), 0)</f>
        <v>66.45</v>
      </c>
      <c r="F21" s="10">
        <f t="shared" si="2"/>
        <v>199.35000000000002</v>
      </c>
    </row>
    <row r="22" spans="1:6" x14ac:dyDescent="0.25">
      <c r="A22" s="6" t="s">
        <v>33</v>
      </c>
      <c r="B22" s="5" t="str">
        <f>IFERROR(VLOOKUP(A22, 'Tabela de preços'!A:D, 2, FALSE), "")</f>
        <v>FUNDO ACABAMENTO BRILHO 0 MILESSI</v>
      </c>
      <c r="C22" s="14">
        <v>1</v>
      </c>
      <c r="D22" s="6" t="str">
        <f>IFERROR(VLOOKUP(A22, 'Tabela de preços'!A:D, 3, FALSE), "")</f>
        <v>LT</v>
      </c>
      <c r="E22" s="7">
        <f>IFERROR(VLOOKUP(A22, 'Tabela de preços'!A:D, 4, FALSE), 0)</f>
        <v>87.706800000000001</v>
      </c>
      <c r="F22" s="7">
        <f t="shared" si="2"/>
        <v>87.706800000000001</v>
      </c>
    </row>
    <row r="23" spans="1:6" x14ac:dyDescent="0.25">
      <c r="A23" s="9" t="s">
        <v>29</v>
      </c>
      <c r="B23" s="8" t="str">
        <f>IFERROR(VLOOKUP(A23, 'Tabela de preços'!A:D, 2, FALSE), "")</f>
        <v>COLA PUR TEKBOND 500G</v>
      </c>
      <c r="C23" s="13">
        <v>1</v>
      </c>
      <c r="D23" s="9" t="str">
        <f>IFERROR(VLOOKUP(A23, 'Tabela de preços'!A:D, 3, FALSE), "")</f>
        <v>UNID</v>
      </c>
      <c r="E23" s="10">
        <f>IFERROR(VLOOKUP(A23, 'Tabela de preços'!A:D, 4, FALSE), 0)</f>
        <v>33.64</v>
      </c>
      <c r="F23" s="10">
        <f t="shared" si="2"/>
        <v>33.64</v>
      </c>
    </row>
    <row r="24" spans="1:6" x14ac:dyDescent="0.25">
      <c r="A24" s="6" t="s">
        <v>62</v>
      </c>
      <c r="B24" s="5" t="str">
        <f>IFERROR(VLOOKUP(A24, 'Tabela de preços'!A:D, 2, FALSE), "")</f>
        <v>GRAMPO TIPO ''U'' 80x12MM</v>
      </c>
      <c r="C24" s="14">
        <v>1</v>
      </c>
      <c r="D24" s="6" t="str">
        <f>IFERROR(VLOOKUP(A24, 'Tabela de preços'!A:D, 3, FALSE), "")</f>
        <v>CT</v>
      </c>
      <c r="E24" s="7">
        <f>IFERROR(VLOOKUP(A24, 'Tabela de preços'!A:D, 4, FALSE), 0)</f>
        <v>2</v>
      </c>
      <c r="F24" s="7">
        <f t="shared" si="2"/>
        <v>2</v>
      </c>
    </row>
    <row r="25" spans="1:6" x14ac:dyDescent="0.25">
      <c r="A25" s="9" t="s">
        <v>40</v>
      </c>
      <c r="B25" s="8" t="str">
        <f>IFERROR(VLOOKUP(A25, 'Tabela de preços'!A:D, 2, FALSE), "")</f>
        <v>PINO F30 P/ PINADOR PNEUMATICO</v>
      </c>
      <c r="C25" s="13">
        <v>1</v>
      </c>
      <c r="D25" s="9" t="str">
        <f>IFERROR(VLOOKUP(A25, 'Tabela de preços'!A:D, 3, FALSE), "")</f>
        <v>CT</v>
      </c>
      <c r="E25" s="10">
        <f>IFERROR(VLOOKUP(A25, 'Tabela de preços'!A:D, 4, FALSE), 0)</f>
        <v>0.45200000000000001</v>
      </c>
      <c r="F25" s="10">
        <f t="shared" si="2"/>
        <v>0.45200000000000001</v>
      </c>
    </row>
    <row r="26" spans="1:6" x14ac:dyDescent="0.25">
      <c r="A26" s="16" t="s">
        <v>104</v>
      </c>
      <c r="B26" s="17"/>
      <c r="C26" s="17"/>
      <c r="D26" s="17"/>
      <c r="E26" s="17"/>
      <c r="F26" s="17"/>
    </row>
    <row r="27" spans="1:6" x14ac:dyDescent="0.25">
      <c r="A27" s="9" t="s">
        <v>82</v>
      </c>
      <c r="B27" s="8" t="str">
        <f>IFERROR(VLOOKUP(A27, 'Tabela de preços'!A:D, 2, FALSE), "")</f>
        <v>PARAFUSO BICROMATIZADO PHILIPS 6.0X80MM</v>
      </c>
      <c r="C27" s="13">
        <v>0.4</v>
      </c>
      <c r="D27" s="9" t="str">
        <f>IFERROR(VLOOKUP(A27, 'Tabela de preços'!A:D, 3, FALSE), "")</f>
        <v>CT</v>
      </c>
      <c r="E27" s="10">
        <f>IFERROR(VLOOKUP(A27, 'Tabela de preços'!A:D, 4, FALSE), 0)</f>
        <v>28</v>
      </c>
      <c r="F27" s="10">
        <f>C27*E27</f>
        <v>11.200000000000001</v>
      </c>
    </row>
    <row r="28" spans="1:6" x14ac:dyDescent="0.25">
      <c r="A28" s="6" t="s">
        <v>23</v>
      </c>
      <c r="B28" s="5" t="str">
        <f>IFERROR(VLOOKUP(A28, 'Tabela de preços'!A:D, 2, FALSE), "")</f>
        <v>BUCHA 08MM</v>
      </c>
      <c r="C28" s="14">
        <v>0.4</v>
      </c>
      <c r="D28" s="6" t="str">
        <f>IFERROR(VLOOKUP(A28, 'Tabela de preços'!A:D, 3, FALSE), "")</f>
        <v>CT</v>
      </c>
      <c r="E28" s="7">
        <f>IFERROR(VLOOKUP(A28, 'Tabela de preços'!A:D, 4, FALSE), 0)</f>
        <v>18</v>
      </c>
      <c r="F28" s="7">
        <f>C28*E28</f>
        <v>7.2</v>
      </c>
    </row>
    <row r="30" spans="1:6" x14ac:dyDescent="0.25">
      <c r="E30" s="11" t="s">
        <v>105</v>
      </c>
      <c r="F30" s="12">
        <f>SUM(F5:F28)</f>
        <v>4242.1347999999998</v>
      </c>
    </row>
  </sheetData>
  <mergeCells count="3">
    <mergeCell ref="A15:F15"/>
    <mergeCell ref="A5:F5"/>
    <mergeCell ref="A26:F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workbookViewId="0">
      <selection activeCell="F30" sqref="F30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107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44</v>
      </c>
      <c r="B6" s="8" t="str">
        <f>IFERROR(VLOOKUP(A6, 'Tabela de preços'!A:D, 2, FALSE), "")</f>
        <v>KIT RO 82TOP P/ 1 Porta FE9009 80-100kg</v>
      </c>
      <c r="C6" s="13">
        <v>1</v>
      </c>
      <c r="D6" s="9" t="str">
        <f>IFERROR(VLOOKUP(A6, 'Tabela de preços'!A:D, 3, FALSE), "")</f>
        <v>KIT</v>
      </c>
      <c r="E6" s="10">
        <f>IFERROR(VLOOKUP(A6, 'Tabela de preços'!A:D, 4, FALSE), 0)</f>
        <v>473.5</v>
      </c>
      <c r="F6" s="10">
        <f t="shared" ref="F6:F13" si="0">C6*E6</f>
        <v>473.5</v>
      </c>
    </row>
    <row r="7" spans="1:6" x14ac:dyDescent="0.25">
      <c r="A7" s="6" t="s">
        <v>47</v>
      </c>
      <c r="B7" s="5" t="str">
        <f>IFERROR(VLOOKUP(A7, 'Tabela de preços'!A:D, 2, FALSE), "")</f>
        <v>TRILHO SUP RM-003 P/RO82 6M FSC</v>
      </c>
      <c r="C7" s="14">
        <v>1</v>
      </c>
      <c r="D7" s="6" t="str">
        <f>IFERROR(VLOOKUP(A7, 'Tabela de preços'!A:D, 3, FALSE), "")</f>
        <v>BARRA</v>
      </c>
      <c r="E7" s="7">
        <f>IFERROR(VLOOKUP(A7, 'Tabela de preços'!A:D, 4, FALSE), 0)</f>
        <v>452</v>
      </c>
      <c r="F7" s="7">
        <f t="shared" si="0"/>
        <v>452</v>
      </c>
    </row>
    <row r="8" spans="1:6" x14ac:dyDescent="0.25">
      <c r="A8" s="6" t="s">
        <v>60</v>
      </c>
      <c r="B8" s="5" t="str">
        <f>IFERROR(VLOOKUP(A8, 'Tabela de preços'!A:D, 2, FALSE), "")</f>
        <v>PERFIL DE ALUMINIO 1/2 - 02 METROS - 10MM INTERNO</v>
      </c>
      <c r="C8" s="14">
        <v>1</v>
      </c>
      <c r="D8" s="6" t="str">
        <f>IFERROR(VLOOKUP(A8, 'Tabela de preços'!A:D, 3, FALSE), "")</f>
        <v>BARRA</v>
      </c>
      <c r="E8" s="7">
        <f>IFERROR(VLOOKUP(A8, 'Tabela de preços'!A:D, 4, FALSE), 0)</f>
        <v>13.6</v>
      </c>
      <c r="F8" s="7">
        <f t="shared" si="0"/>
        <v>13.6</v>
      </c>
    </row>
    <row r="9" spans="1:6" x14ac:dyDescent="0.25">
      <c r="A9" s="9" t="s">
        <v>76</v>
      </c>
      <c r="B9" s="8" t="str">
        <f>IFERROR(VLOOKUP(A9, 'Tabela de preços'!A:D, 2, FALSE), "")</f>
        <v>PUXADOR FRONTAL OBLONGO INOX 304 ESCOVADO</v>
      </c>
      <c r="C9" s="13">
        <v>1</v>
      </c>
      <c r="D9" s="9" t="str">
        <f>IFERROR(VLOOKUP(A9, 'Tabela de preços'!A:D, 3, FALSE), "")</f>
        <v>UNID</v>
      </c>
      <c r="E9" s="10">
        <f>IFERROR(VLOOKUP(A9, 'Tabela de preços'!A:D, 4, FALSE), 0)</f>
        <v>110</v>
      </c>
      <c r="F9" s="10">
        <f>C9*E9</f>
        <v>110</v>
      </c>
    </row>
    <row r="10" spans="1:6" x14ac:dyDescent="0.25">
      <c r="A10" s="9" t="s">
        <v>38</v>
      </c>
      <c r="B10" s="8" t="str">
        <f>IFERROR(VLOOKUP(A10, 'Tabela de preços'!A:D, 2, FALSE), "")</f>
        <v>IMÃ 22X10 N.42</v>
      </c>
      <c r="C10" s="13">
        <v>1</v>
      </c>
      <c r="D10" s="9" t="str">
        <f>IFERROR(VLOOKUP(A10, 'Tabela de preços'!A:D, 3, FALSE), "")</f>
        <v>UNID</v>
      </c>
      <c r="E10" s="10">
        <f>IFERROR(VLOOKUP(A10, 'Tabela de preços'!A:D, 4, FALSE), 0)</f>
        <v>22.5</v>
      </c>
      <c r="F10" s="10">
        <f t="shared" si="0"/>
        <v>22.5</v>
      </c>
    </row>
    <row r="11" spans="1:6" x14ac:dyDescent="0.25">
      <c r="A11" s="6" t="s">
        <v>68</v>
      </c>
      <c r="B11" s="5" t="str">
        <f>IFERROR(VLOOKUP(A11, 'Tabela de preços'!A:D, 2, FALSE), "")</f>
        <v>FECHADURA AUX P.CORRER RETA INOX FOSCO 911.26.335</v>
      </c>
      <c r="C11" s="14">
        <v>4</v>
      </c>
      <c r="D11" s="6" t="str">
        <f>IFERROR(VLOOKUP(A11, 'Tabela de preços'!A:D, 3, FALSE), "")</f>
        <v>UNID</v>
      </c>
      <c r="E11" s="7">
        <f>IFERROR(VLOOKUP(A11, 'Tabela de preços'!A:D, 4, FALSE), 0)</f>
        <v>104.43</v>
      </c>
      <c r="F11" s="7">
        <f t="shared" si="0"/>
        <v>417.72</v>
      </c>
    </row>
    <row r="12" spans="1:6" x14ac:dyDescent="0.25">
      <c r="A12" s="9" t="s">
        <v>66</v>
      </c>
      <c r="B12" s="8" t="str">
        <f>IFERROR(VLOOKUP(A12, 'Tabela de preços'!A:D, 2, FALSE), "")</f>
        <v>ADAPTADOR P/WC ZMK NIQ 911.03.885</v>
      </c>
      <c r="C12" s="13">
        <v>5</v>
      </c>
      <c r="D12" s="9" t="str">
        <f>IFERROR(VLOOKUP(A12, 'Tabela de preços'!A:D, 3, FALSE), "")</f>
        <v>UNID</v>
      </c>
      <c r="E12" s="10">
        <f>IFERROR(VLOOKUP(A12, 'Tabela de preços'!A:D, 4, FALSE), 0)</f>
        <v>19.12</v>
      </c>
      <c r="F12" s="10">
        <f t="shared" si="0"/>
        <v>95.600000000000009</v>
      </c>
    </row>
    <row r="13" spans="1:6" x14ac:dyDescent="0.25">
      <c r="A13" s="9" t="s">
        <v>72</v>
      </c>
      <c r="B13" s="8" t="str">
        <f>IFERROR(VLOOKUP(A13, 'Tabela de preços'!A:D, 2, FALSE), "")</f>
        <v>TRANQUETA GOTINHA AÇO INOX ESCOVADO</v>
      </c>
      <c r="C13" s="13">
        <v>1</v>
      </c>
      <c r="D13" s="9" t="str">
        <f>IFERROR(VLOOKUP(A13, 'Tabela de preços'!A:D, 3, FALSE), "")</f>
        <v>UNID</v>
      </c>
      <c r="E13" s="10">
        <f>IFERROR(VLOOKUP(A13, 'Tabela de preços'!A:D, 4, FALSE), 0)</f>
        <v>293</v>
      </c>
      <c r="F13" s="10">
        <f t="shared" si="0"/>
        <v>293</v>
      </c>
    </row>
    <row r="14" spans="1:6" x14ac:dyDescent="0.25">
      <c r="A14" s="6" t="s">
        <v>54</v>
      </c>
      <c r="B14" s="5" t="str">
        <f>IFERROR(VLOOKUP(A14, 'Tabela de preços'!A:D, 2, FALSE), "")</f>
        <v>ACABAMENTO REDONDO PERSONALIZADO  PARA WC</v>
      </c>
      <c r="C14" s="14">
        <v>1</v>
      </c>
      <c r="D14" s="6" t="str">
        <f>IFERROR(VLOOKUP(A14, 'Tabela de preços'!A:D, 3, FALSE), "")</f>
        <v>UNID</v>
      </c>
      <c r="E14" s="7">
        <f>IFERROR(VLOOKUP(A14, 'Tabela de preços'!A:D, 4, FALSE), 0)</f>
        <v>25</v>
      </c>
      <c r="F14" s="7">
        <f>C14*E14</f>
        <v>25</v>
      </c>
    </row>
    <row r="15" spans="1:6" x14ac:dyDescent="0.25">
      <c r="A15" s="16" t="s">
        <v>103</v>
      </c>
      <c r="B15" s="17"/>
      <c r="C15" s="17"/>
      <c r="D15" s="17"/>
      <c r="E15" s="17"/>
      <c r="F15" s="17"/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2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ref="F16:F25" si="1">C16*E16</f>
        <v>370</v>
      </c>
    </row>
    <row r="17" spans="1:6" x14ac:dyDescent="0.25">
      <c r="A17" s="6" t="s">
        <v>22</v>
      </c>
      <c r="B17" s="5" t="str">
        <f>IFERROR(VLOOKUP(A17, 'Tabela de preços'!A:D, 2, FALSE), "")</f>
        <v>LAMINA NATURAL CARVALHO EUROPEU</v>
      </c>
      <c r="C17" s="14">
        <v>20</v>
      </c>
      <c r="D17" s="6" t="str">
        <f>IFERROR(VLOOKUP(A17, 'Tabela de preços'!A:D, 3, FALSE), "")</f>
        <v>M²</v>
      </c>
      <c r="E17" s="7">
        <f>IFERROR(VLOOKUP(A17, 'Tabela de preços'!A:D, 4, FALSE), 0)</f>
        <v>65</v>
      </c>
      <c r="F17" s="7">
        <f t="shared" si="1"/>
        <v>1300</v>
      </c>
    </row>
    <row r="18" spans="1:6" x14ac:dyDescent="0.25">
      <c r="A18" s="9" t="s">
        <v>94</v>
      </c>
      <c r="B18" s="8" t="str">
        <f>IFERROR(VLOOKUP(A18, 'Tabela de preços'!A:D, 2, FALSE), "")</f>
        <v>MADEIRA MACIÇA TAUARI (0.02X0.30X3.00)</v>
      </c>
      <c r="C18" s="13">
        <v>5</v>
      </c>
      <c r="D18" s="9" t="str">
        <f>IFERROR(VLOOKUP(A18, 'Tabela de preços'!A:D, 3, FALSE), "")</f>
        <v>UNID</v>
      </c>
      <c r="E18" s="10">
        <f>IFERROR(VLOOKUP(A18, 'Tabela de preços'!A:D, 4, FALSE), 0)</f>
        <v>52.2</v>
      </c>
      <c r="F18" s="10">
        <f t="shared" si="1"/>
        <v>261</v>
      </c>
    </row>
    <row r="19" spans="1:6" x14ac:dyDescent="0.25">
      <c r="A19" s="6" t="s">
        <v>80</v>
      </c>
      <c r="B19" s="5" t="str">
        <f>IFERROR(VLOOKUP(A19, 'Tabela de preços'!A:D, 2, FALSE), "")</f>
        <v>COMPENSADO NAVAL 10MM (10X1200X3000)</v>
      </c>
      <c r="C19" s="14">
        <v>1.56</v>
      </c>
      <c r="D19" s="6" t="str">
        <f>IFERROR(VLOOKUP(A19, 'Tabela de preços'!A:D, 3, FALSE), "")</f>
        <v>UNID</v>
      </c>
      <c r="E19" s="7">
        <f>IFERROR(VLOOKUP(A19, 'Tabela de preços'!A:D, 4, FALSE), 0)</f>
        <v>185</v>
      </c>
      <c r="F19" s="7">
        <f t="shared" si="1"/>
        <v>288.60000000000002</v>
      </c>
    </row>
    <row r="20" spans="1:6" x14ac:dyDescent="0.25">
      <c r="A20" s="9" t="s">
        <v>36</v>
      </c>
      <c r="B20" s="8" t="str">
        <f>IFERROR(VLOOKUP(A20, 'Tabela de preços'!A:D, 2, FALSE), "")</f>
        <v>COLA TITE BOND 1KG</v>
      </c>
      <c r="C20" s="13">
        <v>1.6</v>
      </c>
      <c r="D20" s="9" t="str">
        <f>IFERROR(VLOOKUP(A20, 'Tabela de preços'!A:D, 3, FALSE), "")</f>
        <v>UNID</v>
      </c>
      <c r="E20" s="10">
        <f>IFERROR(VLOOKUP(A20, 'Tabela de preços'!A:D, 4, FALSE), 0)</f>
        <v>50.76</v>
      </c>
      <c r="F20" s="10">
        <f t="shared" si="1"/>
        <v>81.216000000000008</v>
      </c>
    </row>
    <row r="21" spans="1:6" x14ac:dyDescent="0.25">
      <c r="A21" s="6" t="s">
        <v>58</v>
      </c>
      <c r="B21" s="5" t="str">
        <f>IFERROR(VLOOKUP(A21, 'Tabela de preços'!A:D, 2, FALSE), "")</f>
        <v>BARRA TUBO 20 X 30 X 6,00 CH PRETO</v>
      </c>
      <c r="C21" s="14">
        <v>3</v>
      </c>
      <c r="D21" s="6" t="str">
        <f>IFERROR(VLOOKUP(A21, 'Tabela de preços'!A:D, 3, FALSE), "")</f>
        <v>BARRA</v>
      </c>
      <c r="E21" s="7">
        <f>IFERROR(VLOOKUP(A21, 'Tabela de preços'!A:D, 4, FALSE), 0)</f>
        <v>66.45</v>
      </c>
      <c r="F21" s="7">
        <f t="shared" si="1"/>
        <v>199.35000000000002</v>
      </c>
    </row>
    <row r="22" spans="1:6" x14ac:dyDescent="0.25">
      <c r="A22" s="9" t="s">
        <v>33</v>
      </c>
      <c r="B22" s="8" t="str">
        <f>IFERROR(VLOOKUP(A22, 'Tabela de preços'!A:D, 2, FALSE), "")</f>
        <v>FUNDO ACABAMENTO BRILHO 0 MILESSI</v>
      </c>
      <c r="C22" s="13">
        <v>1</v>
      </c>
      <c r="D22" s="9" t="str">
        <f>IFERROR(VLOOKUP(A22, 'Tabela de preços'!A:D, 3, FALSE), "")</f>
        <v>LT</v>
      </c>
      <c r="E22" s="10">
        <f>IFERROR(VLOOKUP(A22, 'Tabela de preços'!A:D, 4, FALSE), 0)</f>
        <v>87.706800000000001</v>
      </c>
      <c r="F22" s="10">
        <f t="shared" si="1"/>
        <v>87.706800000000001</v>
      </c>
    </row>
    <row r="23" spans="1:6" x14ac:dyDescent="0.25">
      <c r="A23" s="6" t="s">
        <v>29</v>
      </c>
      <c r="B23" s="5" t="str">
        <f>IFERROR(VLOOKUP(A23, 'Tabela de preços'!A:D, 2, FALSE), "")</f>
        <v>COLA PUR TEKBOND 500G</v>
      </c>
      <c r="C23" s="14">
        <v>1</v>
      </c>
      <c r="D23" s="6" t="str">
        <f>IFERROR(VLOOKUP(A23, 'Tabela de preços'!A:D, 3, FALSE), "")</f>
        <v>UNID</v>
      </c>
      <c r="E23" s="7">
        <f>IFERROR(VLOOKUP(A23, 'Tabela de preços'!A:D, 4, FALSE), 0)</f>
        <v>33.64</v>
      </c>
      <c r="F23" s="7">
        <f t="shared" si="1"/>
        <v>33.64</v>
      </c>
    </row>
    <row r="24" spans="1:6" x14ac:dyDescent="0.25">
      <c r="A24" s="9" t="s">
        <v>62</v>
      </c>
      <c r="B24" s="8" t="str">
        <f>IFERROR(VLOOKUP(A24, 'Tabela de preços'!A:D, 2, FALSE), "")</f>
        <v>GRAMPO TIPO ''U'' 80x12MM</v>
      </c>
      <c r="C24" s="13">
        <v>1</v>
      </c>
      <c r="D24" s="9" t="str">
        <f>IFERROR(VLOOKUP(A24, 'Tabela de preços'!A:D, 3, FALSE), "")</f>
        <v>CT</v>
      </c>
      <c r="E24" s="10">
        <f>IFERROR(VLOOKUP(A24, 'Tabela de preços'!A:D, 4, FALSE), 0)</f>
        <v>2</v>
      </c>
      <c r="F24" s="10">
        <f t="shared" si="1"/>
        <v>2</v>
      </c>
    </row>
    <row r="25" spans="1:6" x14ac:dyDescent="0.25">
      <c r="A25" s="6" t="s">
        <v>40</v>
      </c>
      <c r="B25" s="5" t="str">
        <f>IFERROR(VLOOKUP(A25, 'Tabela de preços'!A:D, 2, FALSE), "")</f>
        <v>PINO F30 P/ PINADOR PNEUMATICO</v>
      </c>
      <c r="C25" s="14">
        <v>1</v>
      </c>
      <c r="D25" s="6" t="str">
        <f>IFERROR(VLOOKUP(A25, 'Tabela de preços'!A:D, 3, FALSE), "")</f>
        <v>CT</v>
      </c>
      <c r="E25" s="7">
        <f>IFERROR(VLOOKUP(A25, 'Tabela de preços'!A:D, 4, FALSE), 0)</f>
        <v>0.45200000000000001</v>
      </c>
      <c r="F25" s="7">
        <f t="shared" si="1"/>
        <v>0.45200000000000001</v>
      </c>
    </row>
    <row r="26" spans="1:6" x14ac:dyDescent="0.25">
      <c r="A26" s="16" t="s">
        <v>104</v>
      </c>
      <c r="B26" s="17"/>
      <c r="C26" s="17"/>
      <c r="D26" s="17"/>
      <c r="E26" s="17"/>
      <c r="F26" s="17"/>
    </row>
    <row r="27" spans="1:6" x14ac:dyDescent="0.25">
      <c r="A27" s="6" t="s">
        <v>82</v>
      </c>
      <c r="B27" s="5" t="str">
        <f>IFERROR(VLOOKUP(A27, 'Tabela de preços'!A:D, 2, FALSE), "")</f>
        <v>PARAFUSO BICROMATIZADO PHILIPS 6.0X80MM</v>
      </c>
      <c r="C27" s="14">
        <v>0.4</v>
      </c>
      <c r="D27" s="6" t="str">
        <f>IFERROR(VLOOKUP(A27, 'Tabela de preços'!A:D, 3, FALSE), "")</f>
        <v>CT</v>
      </c>
      <c r="E27" s="7">
        <f>IFERROR(VLOOKUP(A27, 'Tabela de preços'!A:D, 4, FALSE), 0)</f>
        <v>28</v>
      </c>
      <c r="F27" s="7">
        <f>C27*E27</f>
        <v>11.200000000000001</v>
      </c>
    </row>
    <row r="28" spans="1:6" x14ac:dyDescent="0.25">
      <c r="A28" s="9" t="s">
        <v>23</v>
      </c>
      <c r="B28" s="8" t="str">
        <f>IFERROR(VLOOKUP(A28, 'Tabela de preços'!A:D, 2, FALSE), "")</f>
        <v>BUCHA 08MM</v>
      </c>
      <c r="C28" s="13">
        <v>0.4</v>
      </c>
      <c r="D28" s="9" t="str">
        <f>IFERROR(VLOOKUP(A28, 'Tabela de preços'!A:D, 3, FALSE), "")</f>
        <v>CT</v>
      </c>
      <c r="E28" s="10">
        <f>IFERROR(VLOOKUP(A28, 'Tabela de preços'!A:D, 4, FALSE), 0)</f>
        <v>18</v>
      </c>
      <c r="F28" s="10">
        <f>C28*E28</f>
        <v>7.2</v>
      </c>
    </row>
    <row r="30" spans="1:6" x14ac:dyDescent="0.25">
      <c r="E30" s="11" t="s">
        <v>105</v>
      </c>
      <c r="F30" s="12">
        <f>SUM(F5:F28)</f>
        <v>4545.2848000000013</v>
      </c>
    </row>
  </sheetData>
  <mergeCells count="3">
    <mergeCell ref="A26:F26"/>
    <mergeCell ref="A5:F5"/>
    <mergeCell ref="A15:F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workbookViewId="0">
      <selection activeCell="F29" sqref="F29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125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50</v>
      </c>
      <c r="B6" s="8" t="str">
        <f>IFERROR(VLOOKUP(A6, 'Tabela de preços'!A:D, 2, FALSE), "")</f>
        <v>KIT DN150 COM AMORTECIMENTO PARA 01 PORTA - DUCASSE</v>
      </c>
      <c r="C6" s="13">
        <v>1</v>
      </c>
      <c r="D6" s="9" t="str">
        <f>IFERROR(VLOOKUP(A6, 'Tabela de preços'!A:D, 3, FALSE), "")</f>
        <v>KIT</v>
      </c>
      <c r="E6" s="10">
        <f>IFERROR(VLOOKUP(A6, 'Tabela de preços'!A:D, 4, FALSE), 0)</f>
        <v>979.98</v>
      </c>
      <c r="F6" s="10">
        <f t="shared" ref="F6:F13" si="0">C6*E6</f>
        <v>979.98</v>
      </c>
    </row>
    <row r="7" spans="1:6" x14ac:dyDescent="0.25">
      <c r="A7" s="6" t="s">
        <v>56</v>
      </c>
      <c r="B7" s="5" t="str">
        <f>IFERROR(VLOOKUP(A7, 'Tabela de preços'!A:D, 2, FALSE), "")</f>
        <v>TRILHO U150 ANODIZADO PRATA 6MT- DUCASSE</v>
      </c>
      <c r="C7" s="14">
        <v>1</v>
      </c>
      <c r="D7" s="6" t="str">
        <f>IFERROR(VLOOKUP(A7, 'Tabela de preços'!A:D, 3, FALSE), "")</f>
        <v>BARRA</v>
      </c>
      <c r="E7" s="7">
        <f>IFERROR(VLOOKUP(A7, 'Tabela de preços'!A:D, 4, FALSE), 0)</f>
        <v>862.02</v>
      </c>
      <c r="F7" s="7">
        <f t="shared" si="0"/>
        <v>862.02</v>
      </c>
    </row>
    <row r="8" spans="1:6" x14ac:dyDescent="0.25">
      <c r="A8" s="9" t="s">
        <v>76</v>
      </c>
      <c r="B8" s="8" t="str">
        <f>IFERROR(VLOOKUP(A8, 'Tabela de preços'!A:D, 2, FALSE), "")</f>
        <v>PUXADOR FRONTAL OBLONGO INOX 304 ESCOVADO</v>
      </c>
      <c r="C8" s="13">
        <v>1</v>
      </c>
      <c r="D8" s="9" t="str">
        <f>IFERROR(VLOOKUP(A8, 'Tabela de preços'!A:D, 3, FALSE), "")</f>
        <v>UNID</v>
      </c>
      <c r="E8" s="10">
        <f>IFERROR(VLOOKUP(A8, 'Tabela de preços'!A:D, 4, FALSE), 0)</f>
        <v>110</v>
      </c>
      <c r="F8" s="10">
        <f t="shared" si="0"/>
        <v>110</v>
      </c>
    </row>
    <row r="9" spans="1:6" x14ac:dyDescent="0.25">
      <c r="A9" s="6" t="s">
        <v>60</v>
      </c>
      <c r="B9" s="5" t="str">
        <f>IFERROR(VLOOKUP(A9, 'Tabela de preços'!A:D, 2, FALSE), "")</f>
        <v>PERFIL DE ALUMINIO 1/2 - 02 METROS - 10MM INTERNO</v>
      </c>
      <c r="C9" s="14">
        <v>1</v>
      </c>
      <c r="D9" s="6" t="str">
        <f>IFERROR(VLOOKUP(A9, 'Tabela de preços'!A:D, 3, FALSE), "")</f>
        <v>BARRA</v>
      </c>
      <c r="E9" s="7">
        <f>IFERROR(VLOOKUP(A9, 'Tabela de preços'!A:D, 4, FALSE), 0)</f>
        <v>13.6</v>
      </c>
      <c r="F9" s="7">
        <f t="shared" si="0"/>
        <v>13.6</v>
      </c>
    </row>
    <row r="10" spans="1:6" x14ac:dyDescent="0.25">
      <c r="A10" s="9" t="s">
        <v>38</v>
      </c>
      <c r="B10" s="8" t="str">
        <f>IFERROR(VLOOKUP(A10, 'Tabela de preços'!A:D, 2, FALSE), "")</f>
        <v>IMÃ 22X10 N.42</v>
      </c>
      <c r="C10" s="13">
        <v>4</v>
      </c>
      <c r="D10" s="9" t="str">
        <f>IFERROR(VLOOKUP(A10, 'Tabela de preços'!A:D, 3, FALSE), "")</f>
        <v>UNID</v>
      </c>
      <c r="E10" s="10">
        <f>IFERROR(VLOOKUP(A10, 'Tabela de preços'!A:D, 4, FALSE), 0)</f>
        <v>22.5</v>
      </c>
      <c r="F10" s="10">
        <f t="shared" si="0"/>
        <v>90</v>
      </c>
    </row>
    <row r="11" spans="1:6" x14ac:dyDescent="0.25">
      <c r="A11" s="6" t="s">
        <v>64</v>
      </c>
      <c r="B11" s="5" t="str">
        <f>IFERROR(VLOOKUP(A11, 'Tabela de preços'!A:D, 2, FALSE), "")</f>
        <v>FECHADURA AUX LINGUETA RETA INOX FOSCO 911.22.490</v>
      </c>
      <c r="C11" s="14">
        <v>1</v>
      </c>
      <c r="D11" s="6" t="str">
        <f>IFERROR(VLOOKUP(A11, 'Tabela de preços'!A:D, 3, FALSE), "")</f>
        <v>UNID</v>
      </c>
      <c r="E11" s="7">
        <f>IFERROR(VLOOKUP(A11, 'Tabela de preços'!A:D, 4, FALSE), 0)</f>
        <v>105.20399999999999</v>
      </c>
      <c r="F11" s="7">
        <f t="shared" si="0"/>
        <v>105.20399999999999</v>
      </c>
    </row>
    <row r="12" spans="1:6" x14ac:dyDescent="0.25">
      <c r="A12" s="9" t="s">
        <v>78</v>
      </c>
      <c r="B12" s="8" t="str">
        <f>IFERROR(VLOOKUP(A12, 'Tabela de preços'!A:D, 2, FALSE), "")</f>
        <v>ADAPTADOR INTERNO, PARA FECHADURAS COD 911.03.886</v>
      </c>
      <c r="C12" s="13">
        <v>1</v>
      </c>
      <c r="D12" s="9" t="str">
        <f>IFERROR(VLOOKUP(A12, 'Tabela de preços'!A:D, 3, FALSE), "")</f>
        <v>UNID</v>
      </c>
      <c r="E12" s="10">
        <f>IFERROR(VLOOKUP(A12, 'Tabela de preços'!A:D, 4, FALSE), 0)</f>
        <v>33.26</v>
      </c>
      <c r="F12" s="10">
        <f t="shared" si="0"/>
        <v>33.26</v>
      </c>
    </row>
    <row r="13" spans="1:6" x14ac:dyDescent="0.25">
      <c r="A13" s="6" t="s">
        <v>84</v>
      </c>
      <c r="B13" s="5" t="str">
        <f>IFERROR(VLOOKUP(A13, 'Tabela de preços'!A:D, 2, FALSE), "")</f>
        <v>COLAR OBLONGO ACABAMENTO CHAVE 27,5x13mm</v>
      </c>
      <c r="C13" s="14">
        <v>2</v>
      </c>
      <c r="D13" s="6" t="str">
        <f>IFERROR(VLOOKUP(A13, 'Tabela de preços'!A:D, 3, FALSE), "")</f>
        <v>UNID</v>
      </c>
      <c r="E13" s="7">
        <f>IFERROR(VLOOKUP(A13, 'Tabela de preços'!A:D, 4, FALSE), 0)</f>
        <v>40</v>
      </c>
      <c r="F13" s="7">
        <f t="shared" si="0"/>
        <v>80</v>
      </c>
    </row>
    <row r="14" spans="1:6" x14ac:dyDescent="0.25">
      <c r="A14" s="16" t="s">
        <v>103</v>
      </c>
      <c r="B14" s="17"/>
      <c r="C14" s="17"/>
      <c r="D14" s="17"/>
      <c r="E14" s="17"/>
      <c r="F14" s="17"/>
    </row>
    <row r="15" spans="1:6" x14ac:dyDescent="0.25">
      <c r="A15" s="6" t="s">
        <v>80</v>
      </c>
      <c r="B15" s="5" t="str">
        <f>IFERROR(VLOOKUP(A15, 'Tabela de preços'!A:D, 2, FALSE), "")</f>
        <v>COMPENSADO NAVAL 10MM (10X1200X3000)</v>
      </c>
      <c r="C15" s="14">
        <v>2</v>
      </c>
      <c r="D15" s="6" t="str">
        <f>IFERROR(VLOOKUP(A15, 'Tabela de preços'!A:D, 3, FALSE), "")</f>
        <v>UNID</v>
      </c>
      <c r="E15" s="7">
        <f>IFERROR(VLOOKUP(A15, 'Tabela de preços'!A:D, 4, FALSE), 0)</f>
        <v>185</v>
      </c>
      <c r="F15" s="7">
        <f t="shared" ref="F15:F24" si="1">C15*E15</f>
        <v>370</v>
      </c>
    </row>
    <row r="16" spans="1:6" x14ac:dyDescent="0.25">
      <c r="A16" s="9" t="s">
        <v>22</v>
      </c>
      <c r="B16" s="8" t="str">
        <f>IFERROR(VLOOKUP(A16, 'Tabela de preços'!A:D, 2, FALSE), "")</f>
        <v>LAMINA NATURAL CARVALHO EUROPEU</v>
      </c>
      <c r="C16" s="13">
        <v>20</v>
      </c>
      <c r="D16" s="9" t="str">
        <f>IFERROR(VLOOKUP(A16, 'Tabela de preços'!A:D, 3, FALSE), "")</f>
        <v>M²</v>
      </c>
      <c r="E16" s="10">
        <f>IFERROR(VLOOKUP(A16, 'Tabela de preços'!A:D, 4, FALSE), 0)</f>
        <v>65</v>
      </c>
      <c r="F16" s="10">
        <f t="shared" si="1"/>
        <v>1300</v>
      </c>
    </row>
    <row r="17" spans="1:6" x14ac:dyDescent="0.25">
      <c r="A17" s="6" t="s">
        <v>80</v>
      </c>
      <c r="B17" s="5" t="str">
        <f>IFERROR(VLOOKUP(A17, 'Tabela de preços'!A:D, 2, FALSE), "")</f>
        <v>COMPENSADO NAVAL 10MM (10X1200X3000)</v>
      </c>
      <c r="C17" s="14">
        <v>1.56</v>
      </c>
      <c r="D17" s="6" t="str">
        <f>IFERROR(VLOOKUP(A17, 'Tabela de preços'!A:D, 3, FALSE), "")</f>
        <v>UNID</v>
      </c>
      <c r="E17" s="7">
        <f>IFERROR(VLOOKUP(A17, 'Tabela de preços'!A:D, 4, FALSE), 0)</f>
        <v>185</v>
      </c>
      <c r="F17" s="7">
        <f t="shared" si="1"/>
        <v>288.60000000000002</v>
      </c>
    </row>
    <row r="18" spans="1:6" x14ac:dyDescent="0.25">
      <c r="A18" s="9" t="s">
        <v>94</v>
      </c>
      <c r="B18" s="8" t="str">
        <f>IFERROR(VLOOKUP(A18, 'Tabela de preços'!A:D, 2, FALSE), "")</f>
        <v>MADEIRA MACIÇA TAUARI (0.02X0.30X3.00)</v>
      </c>
      <c r="C18" s="13">
        <v>5</v>
      </c>
      <c r="D18" s="9" t="str">
        <f>IFERROR(VLOOKUP(A18, 'Tabela de preços'!A:D, 3, FALSE), "")</f>
        <v>UNID</v>
      </c>
      <c r="E18" s="10">
        <f>IFERROR(VLOOKUP(A18, 'Tabela de preços'!A:D, 4, FALSE), 0)</f>
        <v>52.2</v>
      </c>
      <c r="F18" s="10">
        <f t="shared" si="1"/>
        <v>261</v>
      </c>
    </row>
    <row r="19" spans="1:6" x14ac:dyDescent="0.25">
      <c r="A19" s="6" t="s">
        <v>36</v>
      </c>
      <c r="B19" s="5" t="str">
        <f>IFERROR(VLOOKUP(A19, 'Tabela de preços'!A:D, 2, FALSE), "")</f>
        <v>COLA TITE BOND 1KG</v>
      </c>
      <c r="C19" s="14">
        <v>2</v>
      </c>
      <c r="D19" s="6" t="str">
        <f>IFERROR(VLOOKUP(A19, 'Tabela de preços'!A:D, 3, FALSE), "")</f>
        <v>UNID</v>
      </c>
      <c r="E19" s="7">
        <f>IFERROR(VLOOKUP(A19, 'Tabela de preços'!A:D, 4, FALSE), 0)</f>
        <v>50.76</v>
      </c>
      <c r="F19" s="7">
        <f t="shared" si="1"/>
        <v>101.52</v>
      </c>
    </row>
    <row r="20" spans="1:6" x14ac:dyDescent="0.25">
      <c r="A20" s="9" t="s">
        <v>58</v>
      </c>
      <c r="B20" s="8" t="str">
        <f>IFERROR(VLOOKUP(A20, 'Tabela de preços'!A:D, 2, FALSE), "")</f>
        <v>BARRA TUBO 20 X 30 X 6,00 CH PRETO</v>
      </c>
      <c r="C20" s="13">
        <v>3</v>
      </c>
      <c r="D20" s="9" t="str">
        <f>IFERROR(VLOOKUP(A20, 'Tabela de preços'!A:D, 3, FALSE), "")</f>
        <v>BARRA</v>
      </c>
      <c r="E20" s="10">
        <f>IFERROR(VLOOKUP(A20, 'Tabela de preços'!A:D, 4, FALSE), 0)</f>
        <v>66.45</v>
      </c>
      <c r="F20" s="10">
        <f t="shared" si="1"/>
        <v>199.35000000000002</v>
      </c>
    </row>
    <row r="21" spans="1:6" x14ac:dyDescent="0.25">
      <c r="A21" s="6" t="s">
        <v>33</v>
      </c>
      <c r="B21" s="5" t="str">
        <f>IFERROR(VLOOKUP(A21, 'Tabela de preços'!A:D, 2, FALSE), "")</f>
        <v>FUNDO ACABAMENTO BRILHO 0 MILESSI</v>
      </c>
      <c r="C21" s="14">
        <v>1</v>
      </c>
      <c r="D21" s="6" t="str">
        <f>IFERROR(VLOOKUP(A21, 'Tabela de preços'!A:D, 3, FALSE), "")</f>
        <v>LT</v>
      </c>
      <c r="E21" s="7">
        <f>IFERROR(VLOOKUP(A21, 'Tabela de preços'!A:D, 4, FALSE), 0)</f>
        <v>87.706800000000001</v>
      </c>
      <c r="F21" s="7">
        <f t="shared" si="1"/>
        <v>87.706800000000001</v>
      </c>
    </row>
    <row r="22" spans="1:6" x14ac:dyDescent="0.25">
      <c r="A22" s="9" t="s">
        <v>29</v>
      </c>
      <c r="B22" s="8" t="str">
        <f>IFERROR(VLOOKUP(A22, 'Tabela de preços'!A:D, 2, FALSE), "")</f>
        <v>COLA PUR TEKBOND 500G</v>
      </c>
      <c r="C22" s="13">
        <v>1</v>
      </c>
      <c r="D22" s="9" t="str">
        <f>IFERROR(VLOOKUP(A22, 'Tabela de preços'!A:D, 3, FALSE), "")</f>
        <v>UNID</v>
      </c>
      <c r="E22" s="10">
        <f>IFERROR(VLOOKUP(A22, 'Tabela de preços'!A:D, 4, FALSE), 0)</f>
        <v>33.64</v>
      </c>
      <c r="F22" s="10">
        <f t="shared" si="1"/>
        <v>33.64</v>
      </c>
    </row>
    <row r="23" spans="1:6" x14ac:dyDescent="0.25">
      <c r="A23" s="6" t="s">
        <v>62</v>
      </c>
      <c r="B23" s="5" t="str">
        <f>IFERROR(VLOOKUP(A23, 'Tabela de preços'!A:D, 2, FALSE), "")</f>
        <v>GRAMPO TIPO ''U'' 80x12MM</v>
      </c>
      <c r="C23" s="14">
        <v>0.1</v>
      </c>
      <c r="D23" s="6" t="str">
        <f>IFERROR(VLOOKUP(A23, 'Tabela de preços'!A:D, 3, FALSE), "")</f>
        <v>CT</v>
      </c>
      <c r="E23" s="7">
        <f>IFERROR(VLOOKUP(A23, 'Tabela de preços'!A:D, 4, FALSE), 0)</f>
        <v>2</v>
      </c>
      <c r="F23" s="7">
        <f t="shared" si="1"/>
        <v>0.2</v>
      </c>
    </row>
    <row r="24" spans="1:6" x14ac:dyDescent="0.25">
      <c r="A24" s="9" t="s">
        <v>40</v>
      </c>
      <c r="B24" s="8" t="str">
        <f>IFERROR(VLOOKUP(A24, 'Tabela de preços'!A:D, 2, FALSE), "")</f>
        <v>PINO F30 P/ PINADOR PNEUMATICO</v>
      </c>
      <c r="C24" s="13">
        <v>0.1</v>
      </c>
      <c r="D24" s="9" t="str">
        <f>IFERROR(VLOOKUP(A24, 'Tabela de preços'!A:D, 3, FALSE), "")</f>
        <v>CT</v>
      </c>
      <c r="E24" s="10">
        <f>IFERROR(VLOOKUP(A24, 'Tabela de preços'!A:D, 4, FALSE), 0)</f>
        <v>0.45200000000000001</v>
      </c>
      <c r="F24" s="10">
        <f t="shared" si="1"/>
        <v>4.5200000000000004E-2</v>
      </c>
    </row>
    <row r="25" spans="1:6" x14ac:dyDescent="0.25">
      <c r="A25" s="16" t="s">
        <v>104</v>
      </c>
      <c r="B25" s="17"/>
      <c r="C25" s="17"/>
      <c r="D25" s="17"/>
      <c r="E25" s="17"/>
      <c r="F25" s="17"/>
    </row>
    <row r="26" spans="1:6" x14ac:dyDescent="0.25">
      <c r="A26" s="9" t="s">
        <v>82</v>
      </c>
      <c r="B26" s="8" t="str">
        <f>IFERROR(VLOOKUP(A26, 'Tabela de preços'!A:D, 2, FALSE), "")</f>
        <v>PARAFUSO BICROMATIZADO PHILIPS 6.0X80MM</v>
      </c>
      <c r="C26" s="13">
        <v>0.4</v>
      </c>
      <c r="D26" s="9" t="str">
        <f>IFERROR(VLOOKUP(A26, 'Tabela de preços'!A:D, 3, FALSE), "")</f>
        <v>CT</v>
      </c>
      <c r="E26" s="10">
        <f>IFERROR(VLOOKUP(A26, 'Tabela de preços'!A:D, 4, FALSE), 0)</f>
        <v>28</v>
      </c>
      <c r="F26" s="10">
        <f>C26*E26</f>
        <v>11.200000000000001</v>
      </c>
    </row>
    <row r="27" spans="1:6" x14ac:dyDescent="0.25">
      <c r="A27" s="6" t="s">
        <v>23</v>
      </c>
      <c r="B27" s="5" t="str">
        <f>IFERROR(VLOOKUP(A27, 'Tabela de preços'!A:D, 2, FALSE), "")</f>
        <v>BUCHA 08MM</v>
      </c>
      <c r="C27" s="14">
        <v>0.4</v>
      </c>
      <c r="D27" s="6" t="str">
        <f>IFERROR(VLOOKUP(A27, 'Tabela de preços'!A:D, 3, FALSE), "")</f>
        <v>CT</v>
      </c>
      <c r="E27" s="7">
        <f>IFERROR(VLOOKUP(A27, 'Tabela de preços'!A:D, 4, FALSE), 0)</f>
        <v>18</v>
      </c>
      <c r="F27" s="7">
        <f>C27*E27</f>
        <v>7.2</v>
      </c>
    </row>
    <row r="29" spans="1:6" x14ac:dyDescent="0.25">
      <c r="E29" s="11" t="s">
        <v>105</v>
      </c>
      <c r="F29" s="12">
        <f>SUM(F5:F27)</f>
        <v>4934.5260000000007</v>
      </c>
    </row>
  </sheetData>
  <mergeCells count="3">
    <mergeCell ref="A14:F14"/>
    <mergeCell ref="A5:F5"/>
    <mergeCell ref="A25:F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tabSelected="1" workbookViewId="0">
      <selection activeCell="H23" sqref="H23"/>
    </sheetView>
  </sheetViews>
  <sheetFormatPr defaultRowHeight="15" x14ac:dyDescent="0.25"/>
  <cols>
    <col min="1" max="1" width="19" customWidth="1"/>
    <col min="2" max="2" width="64" customWidth="1"/>
    <col min="3" max="3" width="14" customWidth="1"/>
    <col min="4" max="4" width="21.42578125" customWidth="1"/>
    <col min="5" max="5" width="23.7109375" customWidth="1"/>
    <col min="6" max="6" width="20" customWidth="1"/>
  </cols>
  <sheetData>
    <row r="1" spans="1:6" ht="24" x14ac:dyDescent="0.45">
      <c r="A1" s="1" t="s">
        <v>126</v>
      </c>
    </row>
    <row r="2" spans="1:6" x14ac:dyDescent="0.25">
      <c r="A2" s="2" t="s">
        <v>96</v>
      </c>
    </row>
    <row r="4" spans="1:6" ht="16.5" x14ac:dyDescent="0.25">
      <c r="A4" s="4" t="s">
        <v>97</v>
      </c>
      <c r="B4" s="3" t="s">
        <v>98</v>
      </c>
      <c r="C4" s="4" t="s">
        <v>99</v>
      </c>
      <c r="D4" s="4" t="s">
        <v>17</v>
      </c>
      <c r="E4" s="3" t="s">
        <v>100</v>
      </c>
      <c r="F4" s="3" t="s">
        <v>101</v>
      </c>
    </row>
    <row r="5" spans="1:6" x14ac:dyDescent="0.25">
      <c r="A5" s="16" t="s">
        <v>102</v>
      </c>
      <c r="B5" s="17"/>
      <c r="C5" s="17"/>
      <c r="D5" s="17"/>
      <c r="E5" s="17"/>
      <c r="F5" s="17"/>
    </row>
    <row r="6" spans="1:6" x14ac:dyDescent="0.25">
      <c r="A6" s="9" t="s">
        <v>50</v>
      </c>
      <c r="B6" s="8" t="str">
        <f>IFERROR(VLOOKUP(A6, 'Tabela de preços'!A:D, 2, FALSE), "")</f>
        <v>KIT DN150 COM AMORTECIMENTO PARA 01 PORTA - DUCASSE</v>
      </c>
      <c r="C6" s="13">
        <v>1</v>
      </c>
      <c r="D6" s="9" t="str">
        <f>IFERROR(VLOOKUP(A6, 'Tabela de preços'!A:D, 3, FALSE), "")</f>
        <v>KIT</v>
      </c>
      <c r="E6" s="10">
        <f>IFERROR(VLOOKUP(A6, 'Tabela de preços'!A:D, 4, FALSE), 0)</f>
        <v>979.98</v>
      </c>
      <c r="F6" s="10">
        <f t="shared" ref="F6:F13" si="0">C6*E6</f>
        <v>979.98</v>
      </c>
    </row>
    <row r="7" spans="1:6" x14ac:dyDescent="0.25">
      <c r="A7" s="6" t="s">
        <v>56</v>
      </c>
      <c r="B7" s="5" t="str">
        <f>IFERROR(VLOOKUP(A7, 'Tabela de preços'!A:D, 2, FALSE), "")</f>
        <v>TRILHO U150 ANODIZADO PRATA 6MT- DUCASSE</v>
      </c>
      <c r="C7" s="14">
        <v>1</v>
      </c>
      <c r="D7" s="6" t="str">
        <f>IFERROR(VLOOKUP(A7, 'Tabela de preços'!A:D, 3, FALSE), "")</f>
        <v>BARRA</v>
      </c>
      <c r="E7" s="7">
        <f>IFERROR(VLOOKUP(A7, 'Tabela de preços'!A:D, 4, FALSE), 0)</f>
        <v>862.02</v>
      </c>
      <c r="F7" s="7">
        <f t="shared" si="0"/>
        <v>862.02</v>
      </c>
    </row>
    <row r="8" spans="1:6" x14ac:dyDescent="0.25">
      <c r="A8" s="9" t="s">
        <v>76</v>
      </c>
      <c r="B8" s="8" t="str">
        <f>IFERROR(VLOOKUP(A8, 'Tabela de preços'!A:D, 2, FALSE), "")</f>
        <v>PUXADOR FRONTAL OBLONGO INOX 304 ESCOVADO</v>
      </c>
      <c r="C8" s="13">
        <v>1</v>
      </c>
      <c r="D8" s="9" t="str">
        <f>IFERROR(VLOOKUP(A8, 'Tabela de preços'!A:D, 3, FALSE), "")</f>
        <v>UNID</v>
      </c>
      <c r="E8" s="10">
        <f>IFERROR(VLOOKUP(A8, 'Tabela de preços'!A:D, 4, FALSE), 0)</f>
        <v>110</v>
      </c>
      <c r="F8" s="10">
        <f t="shared" si="0"/>
        <v>110</v>
      </c>
    </row>
    <row r="9" spans="1:6" x14ac:dyDescent="0.25">
      <c r="A9" s="6" t="s">
        <v>60</v>
      </c>
      <c r="B9" s="5" t="str">
        <f>IFERROR(VLOOKUP(A9, 'Tabela de preços'!A:D, 2, FALSE), "")</f>
        <v>PERFIL DE ALUMINIO 1/2 - 02 METROS - 10MM INTERNO</v>
      </c>
      <c r="C9" s="14">
        <v>1</v>
      </c>
      <c r="D9" s="6" t="str">
        <f>IFERROR(VLOOKUP(A9, 'Tabela de preços'!A:D, 3, FALSE), "")</f>
        <v>BARRA</v>
      </c>
      <c r="E9" s="7">
        <f>IFERROR(VLOOKUP(A9, 'Tabela de preços'!A:D, 4, FALSE), 0)</f>
        <v>13.6</v>
      </c>
      <c r="F9" s="7">
        <f t="shared" si="0"/>
        <v>13.6</v>
      </c>
    </row>
    <row r="10" spans="1:6" x14ac:dyDescent="0.25">
      <c r="A10" s="9" t="s">
        <v>38</v>
      </c>
      <c r="B10" s="8" t="str">
        <f>IFERROR(VLOOKUP(A10, 'Tabela de preços'!A:D, 2, FALSE), "")</f>
        <v>IMÃ 22X10 N.42</v>
      </c>
      <c r="C10" s="13">
        <v>4</v>
      </c>
      <c r="D10" s="9" t="str">
        <f>IFERROR(VLOOKUP(A10, 'Tabela de preços'!A:D, 3, FALSE), "")</f>
        <v>UNID</v>
      </c>
      <c r="E10" s="10">
        <f>IFERROR(VLOOKUP(A10, 'Tabela de preços'!A:D, 4, FALSE), 0)</f>
        <v>22.5</v>
      </c>
      <c r="F10" s="10">
        <f t="shared" si="0"/>
        <v>90</v>
      </c>
    </row>
    <row r="11" spans="1:6" x14ac:dyDescent="0.25">
      <c r="A11" s="6" t="s">
        <v>64</v>
      </c>
      <c r="B11" s="5" t="str">
        <f>IFERROR(VLOOKUP(A11, 'Tabela de preços'!A:D, 2, FALSE), "")</f>
        <v>FECHADURA AUX LINGUETA RETA INOX FOSCO 911.22.490</v>
      </c>
      <c r="C11" s="14">
        <v>1</v>
      </c>
      <c r="D11" s="6" t="str">
        <f>IFERROR(VLOOKUP(A11, 'Tabela de preços'!A:D, 3, FALSE), "")</f>
        <v>UNID</v>
      </c>
      <c r="E11" s="7">
        <f>IFERROR(VLOOKUP(A11, 'Tabela de preços'!A:D, 4, FALSE), 0)</f>
        <v>105.20399999999999</v>
      </c>
      <c r="F11" s="7">
        <f t="shared" si="0"/>
        <v>105.20399999999999</v>
      </c>
    </row>
    <row r="12" spans="1:6" x14ac:dyDescent="0.25">
      <c r="A12" s="9" t="s">
        <v>66</v>
      </c>
      <c r="B12" s="8" t="str">
        <f>IFERROR(VLOOKUP(A12, 'Tabela de preços'!A:D, 2, FALSE), "")</f>
        <v>ADAPTADOR P/WC ZMK NIQ 911.03.885</v>
      </c>
      <c r="C12" s="13">
        <v>1</v>
      </c>
      <c r="D12" s="9" t="str">
        <f>IFERROR(VLOOKUP(A12, 'Tabela de preços'!A:D, 3, FALSE), "")</f>
        <v>UNID</v>
      </c>
      <c r="E12" s="10">
        <f>IFERROR(VLOOKUP(A12, 'Tabela de preços'!A:D, 4, FALSE), 0)</f>
        <v>19.12</v>
      </c>
      <c r="F12" s="10">
        <f t="shared" si="0"/>
        <v>19.12</v>
      </c>
    </row>
    <row r="13" spans="1:6" x14ac:dyDescent="0.25">
      <c r="A13" s="9" t="s">
        <v>72</v>
      </c>
      <c r="B13" s="8" t="str">
        <f>IFERROR(VLOOKUP(A13, 'Tabela de preços'!A:D, 2, FALSE), "")</f>
        <v>TRANQUETA GOTINHA AÇO INOX ESCOVADO</v>
      </c>
      <c r="C13" s="13">
        <v>1</v>
      </c>
      <c r="D13" s="9" t="str">
        <f>IFERROR(VLOOKUP(A13, 'Tabela de preços'!A:D, 3, FALSE), "")</f>
        <v>UNID</v>
      </c>
      <c r="E13" s="10">
        <f>IFERROR(VLOOKUP(A13, 'Tabela de preços'!A:D, 4, FALSE), 0)</f>
        <v>293</v>
      </c>
      <c r="F13" s="10">
        <f t="shared" si="0"/>
        <v>293</v>
      </c>
    </row>
    <row r="14" spans="1:6" x14ac:dyDescent="0.25">
      <c r="A14" s="6" t="s">
        <v>54</v>
      </c>
      <c r="B14" s="5" t="str">
        <f>IFERROR(VLOOKUP(A14, 'Tabela de preços'!A:D, 2, FALSE), "")</f>
        <v>ACABAMENTO REDONDO PERSONALIZADO  PARA WC</v>
      </c>
      <c r="C14" s="14">
        <v>1</v>
      </c>
      <c r="D14" s="6" t="str">
        <f>IFERROR(VLOOKUP(A14, 'Tabela de preços'!A:D, 3, FALSE), "")</f>
        <v>UNID</v>
      </c>
      <c r="E14" s="7">
        <f>IFERROR(VLOOKUP(A14, 'Tabela de preços'!A:D, 4, FALSE), 0)</f>
        <v>25</v>
      </c>
      <c r="F14" s="7">
        <f>C14*E14</f>
        <v>25</v>
      </c>
    </row>
    <row r="15" spans="1:6" x14ac:dyDescent="0.25">
      <c r="A15" s="16" t="s">
        <v>103</v>
      </c>
      <c r="B15" s="17"/>
      <c r="C15" s="17"/>
      <c r="D15" s="17"/>
      <c r="E15" s="17"/>
      <c r="F15" s="17"/>
    </row>
    <row r="16" spans="1:6" x14ac:dyDescent="0.25">
      <c r="A16" s="9" t="s">
        <v>80</v>
      </c>
      <c r="B16" s="8" t="str">
        <f>IFERROR(VLOOKUP(A16, 'Tabela de preços'!A:D, 2, FALSE), "")</f>
        <v>COMPENSADO NAVAL 10MM (10X1200X3000)</v>
      </c>
      <c r="C16" s="13">
        <v>2</v>
      </c>
      <c r="D16" s="9" t="str">
        <f>IFERROR(VLOOKUP(A16, 'Tabela de preços'!A:D, 3, FALSE), "")</f>
        <v>UNID</v>
      </c>
      <c r="E16" s="10">
        <f>IFERROR(VLOOKUP(A16, 'Tabela de preços'!A:D, 4, FALSE), 0)</f>
        <v>185</v>
      </c>
      <c r="F16" s="10">
        <f t="shared" ref="F16:F25" si="1">C16*E16</f>
        <v>370</v>
      </c>
    </row>
    <row r="17" spans="1:6" x14ac:dyDescent="0.25">
      <c r="A17" s="6" t="s">
        <v>22</v>
      </c>
      <c r="B17" s="5" t="str">
        <f>IFERROR(VLOOKUP(A17, 'Tabela de preços'!A:D, 2, FALSE), "")</f>
        <v>LAMINA NATURAL CARVALHO EUROPEU</v>
      </c>
      <c r="C17" s="14">
        <v>20</v>
      </c>
      <c r="D17" s="6" t="str">
        <f>IFERROR(VLOOKUP(A17, 'Tabela de preços'!A:D, 3, FALSE), "")</f>
        <v>M²</v>
      </c>
      <c r="E17" s="7">
        <f>IFERROR(VLOOKUP(A17, 'Tabela de preços'!A:D, 4, FALSE), 0)</f>
        <v>65</v>
      </c>
      <c r="F17" s="7">
        <f t="shared" si="1"/>
        <v>1300</v>
      </c>
    </row>
    <row r="18" spans="1:6" x14ac:dyDescent="0.25">
      <c r="A18" s="9" t="s">
        <v>80</v>
      </c>
      <c r="B18" s="8" t="str">
        <f>IFERROR(VLOOKUP(A18, 'Tabela de preços'!A:D, 2, FALSE), "")</f>
        <v>COMPENSADO NAVAL 10MM (10X1200X3000)</v>
      </c>
      <c r="C18" s="13">
        <v>1.56</v>
      </c>
      <c r="D18" s="9" t="str">
        <f>IFERROR(VLOOKUP(A18, 'Tabela de preços'!A:D, 3, FALSE), "")</f>
        <v>UNID</v>
      </c>
      <c r="E18" s="10">
        <f>IFERROR(VLOOKUP(A18, 'Tabela de preços'!A:D, 4, FALSE), 0)</f>
        <v>185</v>
      </c>
      <c r="F18" s="10">
        <f t="shared" si="1"/>
        <v>288.60000000000002</v>
      </c>
    </row>
    <row r="19" spans="1:6" x14ac:dyDescent="0.25">
      <c r="A19" s="6" t="s">
        <v>94</v>
      </c>
      <c r="B19" s="5" t="str">
        <f>IFERROR(VLOOKUP(A19, 'Tabela de preços'!A:D, 2, FALSE), "")</f>
        <v>MADEIRA MACIÇA TAUARI (0.02X0.30X3.00)</v>
      </c>
      <c r="C19" s="14">
        <v>5</v>
      </c>
      <c r="D19" s="6" t="str">
        <f>IFERROR(VLOOKUP(A19, 'Tabela de preços'!A:D, 3, FALSE), "")</f>
        <v>UNID</v>
      </c>
      <c r="E19" s="7">
        <f>IFERROR(VLOOKUP(A19, 'Tabela de preços'!A:D, 4, FALSE), 0)</f>
        <v>52.2</v>
      </c>
      <c r="F19" s="7">
        <f t="shared" si="1"/>
        <v>261</v>
      </c>
    </row>
    <row r="20" spans="1:6" x14ac:dyDescent="0.25">
      <c r="A20" s="9" t="s">
        <v>36</v>
      </c>
      <c r="B20" s="8" t="str">
        <f>IFERROR(VLOOKUP(A20, 'Tabela de preços'!A:D, 2, FALSE), "")</f>
        <v>COLA TITE BOND 1KG</v>
      </c>
      <c r="C20" s="13">
        <v>2</v>
      </c>
      <c r="D20" s="9" t="str">
        <f>IFERROR(VLOOKUP(A20, 'Tabela de preços'!A:D, 3, FALSE), "")</f>
        <v>UNID</v>
      </c>
      <c r="E20" s="10">
        <f>IFERROR(VLOOKUP(A20, 'Tabela de preços'!A:D, 4, FALSE), 0)</f>
        <v>50.76</v>
      </c>
      <c r="F20" s="10">
        <f t="shared" si="1"/>
        <v>101.52</v>
      </c>
    </row>
    <row r="21" spans="1:6" x14ac:dyDescent="0.25">
      <c r="A21" s="6" t="s">
        <v>58</v>
      </c>
      <c r="B21" s="5" t="str">
        <f>IFERROR(VLOOKUP(A21, 'Tabela de preços'!A:D, 2, FALSE), "")</f>
        <v>BARRA TUBO 20 X 30 X 6,00 CH PRETO</v>
      </c>
      <c r="C21" s="14">
        <v>3</v>
      </c>
      <c r="D21" s="6" t="str">
        <f>IFERROR(VLOOKUP(A21, 'Tabela de preços'!A:D, 3, FALSE), "")</f>
        <v>BARRA</v>
      </c>
      <c r="E21" s="7">
        <f>IFERROR(VLOOKUP(A21, 'Tabela de preços'!A:D, 4, FALSE), 0)</f>
        <v>66.45</v>
      </c>
      <c r="F21" s="7">
        <f t="shared" si="1"/>
        <v>199.35000000000002</v>
      </c>
    </row>
    <row r="22" spans="1:6" x14ac:dyDescent="0.25">
      <c r="A22" s="9" t="s">
        <v>33</v>
      </c>
      <c r="B22" s="8" t="str">
        <f>IFERROR(VLOOKUP(A22, 'Tabela de preços'!A:D, 2, FALSE), "")</f>
        <v>FUNDO ACABAMENTO BRILHO 0 MILESSI</v>
      </c>
      <c r="C22" s="13">
        <v>1</v>
      </c>
      <c r="D22" s="9" t="str">
        <f>IFERROR(VLOOKUP(A22, 'Tabela de preços'!A:D, 3, FALSE), "")</f>
        <v>LT</v>
      </c>
      <c r="E22" s="10">
        <f>IFERROR(VLOOKUP(A22, 'Tabela de preços'!A:D, 4, FALSE), 0)</f>
        <v>87.706800000000001</v>
      </c>
      <c r="F22" s="10">
        <f t="shared" si="1"/>
        <v>87.706800000000001</v>
      </c>
    </row>
    <row r="23" spans="1:6" x14ac:dyDescent="0.25">
      <c r="A23" s="6" t="s">
        <v>29</v>
      </c>
      <c r="B23" s="5" t="str">
        <f>IFERROR(VLOOKUP(A23, 'Tabela de preços'!A:D, 2, FALSE), "")</f>
        <v>COLA PUR TEKBOND 500G</v>
      </c>
      <c r="C23" s="14">
        <v>1</v>
      </c>
      <c r="D23" s="6" t="str">
        <f>IFERROR(VLOOKUP(A23, 'Tabela de preços'!A:D, 3, FALSE), "")</f>
        <v>UNID</v>
      </c>
      <c r="E23" s="7">
        <f>IFERROR(VLOOKUP(A23, 'Tabela de preços'!A:D, 4, FALSE), 0)</f>
        <v>33.64</v>
      </c>
      <c r="F23" s="7">
        <f t="shared" si="1"/>
        <v>33.64</v>
      </c>
    </row>
    <row r="24" spans="1:6" x14ac:dyDescent="0.25">
      <c r="A24" s="9" t="s">
        <v>62</v>
      </c>
      <c r="B24" s="8" t="str">
        <f>IFERROR(VLOOKUP(A24, 'Tabela de preços'!A:D, 2, FALSE), "")</f>
        <v>GRAMPO TIPO ''U'' 80x12MM</v>
      </c>
      <c r="C24" s="13">
        <v>0.1</v>
      </c>
      <c r="D24" s="9" t="str">
        <f>IFERROR(VLOOKUP(A24, 'Tabela de preços'!A:D, 3, FALSE), "")</f>
        <v>CT</v>
      </c>
      <c r="E24" s="10">
        <f>IFERROR(VLOOKUP(A24, 'Tabela de preços'!A:D, 4, FALSE), 0)</f>
        <v>2</v>
      </c>
      <c r="F24" s="10">
        <f t="shared" si="1"/>
        <v>0.2</v>
      </c>
    </row>
    <row r="25" spans="1:6" x14ac:dyDescent="0.25">
      <c r="A25" s="6" t="s">
        <v>40</v>
      </c>
      <c r="B25" s="5" t="str">
        <f>IFERROR(VLOOKUP(A25, 'Tabela de preços'!A:D, 2, FALSE), "")</f>
        <v>PINO F30 P/ PINADOR PNEUMATICO</v>
      </c>
      <c r="C25" s="14">
        <v>0.1</v>
      </c>
      <c r="D25" s="6" t="str">
        <f>IFERROR(VLOOKUP(A25, 'Tabela de preços'!A:D, 3, FALSE), "")</f>
        <v>CT</v>
      </c>
      <c r="E25" s="7">
        <f>IFERROR(VLOOKUP(A25, 'Tabela de preços'!A:D, 4, FALSE), 0)</f>
        <v>0.45200000000000001</v>
      </c>
      <c r="F25" s="7">
        <f t="shared" si="1"/>
        <v>4.5200000000000004E-2</v>
      </c>
    </row>
    <row r="26" spans="1:6" x14ac:dyDescent="0.25">
      <c r="A26" s="16" t="s">
        <v>104</v>
      </c>
      <c r="B26" s="17"/>
      <c r="C26" s="17"/>
      <c r="D26" s="17"/>
      <c r="E26" s="17"/>
      <c r="F26" s="17"/>
    </row>
    <row r="27" spans="1:6" x14ac:dyDescent="0.25">
      <c r="A27" s="6" t="s">
        <v>82</v>
      </c>
      <c r="B27" s="5" t="str">
        <f>IFERROR(VLOOKUP(A27, 'Tabela de preços'!A:D, 2, FALSE), "")</f>
        <v>PARAFUSO BICROMATIZADO PHILIPS 6.0X80MM</v>
      </c>
      <c r="C27" s="14">
        <v>0.4</v>
      </c>
      <c r="D27" s="6" t="str">
        <f>IFERROR(VLOOKUP(A27, 'Tabela de preços'!A:D, 3, FALSE), "")</f>
        <v>CT</v>
      </c>
      <c r="E27" s="7">
        <f>IFERROR(VLOOKUP(A27, 'Tabela de preços'!A:D, 4, FALSE), 0)</f>
        <v>28</v>
      </c>
      <c r="F27" s="7">
        <f>C27*E27</f>
        <v>11.200000000000001</v>
      </c>
    </row>
    <row r="28" spans="1:6" x14ac:dyDescent="0.25">
      <c r="A28" s="9" t="s">
        <v>23</v>
      </c>
      <c r="B28" s="8" t="str">
        <f>IFERROR(VLOOKUP(A28, 'Tabela de preços'!A:D, 2, FALSE), "")</f>
        <v>BUCHA 08MM</v>
      </c>
      <c r="C28" s="13">
        <v>0.4</v>
      </c>
      <c r="D28" s="9" t="str">
        <f>IFERROR(VLOOKUP(A28, 'Tabela de preços'!A:D, 3, FALSE), "")</f>
        <v>CT</v>
      </c>
      <c r="E28" s="10">
        <f>IFERROR(VLOOKUP(A28, 'Tabela de preços'!A:D, 4, FALSE), 0)</f>
        <v>18</v>
      </c>
      <c r="F28" s="10">
        <f>C28*E28</f>
        <v>7.2</v>
      </c>
    </row>
    <row r="30" spans="1:6" x14ac:dyDescent="0.25">
      <c r="E30" s="11" t="s">
        <v>105</v>
      </c>
      <c r="F30" s="12">
        <f>SUM(F5:F28)</f>
        <v>5158.3860000000004</v>
      </c>
    </row>
  </sheetData>
  <mergeCells count="3">
    <mergeCell ref="A26:F26"/>
    <mergeCell ref="A5:F5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Resumo Geral</vt:lpstr>
      <vt:lpstr>Tabela de preços</vt:lpstr>
      <vt:lpstr>PT PIVO GERIS EXT</vt:lpstr>
      <vt:lpstr>PT PIVO GERIS INTERNA</vt:lpstr>
      <vt:lpstr>PT PIVO GERIS WC</vt:lpstr>
      <vt:lpstr>PT PIVO ITALY LINE EXT</vt:lpstr>
      <vt:lpstr>PT PIVO ITALY LINE INT</vt:lpstr>
      <vt:lpstr>PT PIVO ITALYNE WC</vt:lpstr>
      <vt:lpstr>PT PIVO CIR INTERNA</vt:lpstr>
      <vt:lpstr>PT PIVO CIR WC</vt:lpstr>
      <vt:lpstr>PT PASSAGEM WC 3D</vt:lpstr>
      <vt:lpstr>PT PASSAGEM INTERNA 3D</vt:lpstr>
      <vt:lpstr>PT CORRER RO82 TOP INT</vt:lpstr>
      <vt:lpstr>PT CORRER RO82 TOP WC</vt:lpstr>
      <vt:lpstr>PORTA CORRER DN150 INT</vt:lpstr>
      <vt:lpstr>PORTA CORRER DN150 WC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Leandro</cp:lastModifiedBy>
  <dcterms:created xsi:type="dcterms:W3CDTF">2026-09-12T01:25:45Z</dcterms:created>
  <dcterms:modified xsi:type="dcterms:W3CDTF">2026-09-12T18:21:45Z</dcterms:modified>
</cp:coreProperties>
</file>